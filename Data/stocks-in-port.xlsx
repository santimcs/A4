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Data/"/>
    </mc:Choice>
  </mc:AlternateContent>
  <xr:revisionPtr revIDLastSave="47" documentId="11_E26E99DC1DCDF12C2843E0BFFB6C5B8E956E9E70" xr6:coauthVersionLast="47" xr6:coauthVersionMax="47" xr10:uidLastSave="{4AC22D41-E96B-4350-9D44-27A8418A76A1}"/>
  <bookViews>
    <workbookView xWindow="-96" yWindow="2172" windowWidth="4560" windowHeight="95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N16" i="1"/>
  <c r="O20" i="1"/>
  <c r="P20" i="1" s="1"/>
  <c r="N20" i="1"/>
  <c r="O8" i="1"/>
  <c r="P8" i="1" s="1"/>
</calcChain>
</file>

<file path=xl/sharedStrings.xml><?xml version="1.0" encoding="utf-8"?>
<sst xmlns="http://schemas.openxmlformats.org/spreadsheetml/2006/main" count="139" uniqueCount="66">
  <si>
    <t>name</t>
  </si>
  <si>
    <t>year</t>
  </si>
  <si>
    <t>quarter</t>
  </si>
  <si>
    <t>q_amt</t>
  </si>
  <si>
    <t>y_amt</t>
  </si>
  <si>
    <t>yoy_gain</t>
  </si>
  <si>
    <t>aq_amt</t>
  </si>
  <si>
    <t>ay_amt</t>
  </si>
  <si>
    <t>acc_gain</t>
  </si>
  <si>
    <t>date</t>
  </si>
  <si>
    <t>qty</t>
  </si>
  <si>
    <t>buy_price</t>
  </si>
  <si>
    <t>mkt_price</t>
  </si>
  <si>
    <t>amtcst</t>
  </si>
  <si>
    <t>amtmkt</t>
  </si>
  <si>
    <t>amtpol</t>
  </si>
  <si>
    <t>dividend</t>
  </si>
  <si>
    <t>yield</t>
  </si>
  <si>
    <t>yoy_pct</t>
  </si>
  <si>
    <t>acc_pct</t>
  </si>
  <si>
    <t>percent</t>
  </si>
  <si>
    <t>period</t>
  </si>
  <si>
    <t>grade</t>
  </si>
  <si>
    <t>new</t>
  </si>
  <si>
    <t>ticker_id</t>
  </si>
  <si>
    <t>BCH</t>
  </si>
  <si>
    <t>B2</t>
  </si>
  <si>
    <t>JMT</t>
  </si>
  <si>
    <t>C4</t>
  </si>
  <si>
    <t>NER</t>
  </si>
  <si>
    <t>A1</t>
  </si>
  <si>
    <t>PTG</t>
  </si>
  <si>
    <t>B4</t>
  </si>
  <si>
    <t>3BBIF</t>
  </si>
  <si>
    <t>A4</t>
  </si>
  <si>
    <t>ADVANC</t>
  </si>
  <si>
    <t>AIMIRT</t>
  </si>
  <si>
    <t>B1</t>
  </si>
  <si>
    <t>CPNREIT</t>
  </si>
  <si>
    <t>DIF</t>
  </si>
  <si>
    <t>GVREIT</t>
  </si>
  <si>
    <t>MCS</t>
  </si>
  <si>
    <t>PROSPECT</t>
  </si>
  <si>
    <t>SENA</t>
  </si>
  <si>
    <t>C1</t>
  </si>
  <si>
    <t>TFFIF</t>
  </si>
  <si>
    <t>TVO</t>
  </si>
  <si>
    <t>WHAIR</t>
  </si>
  <si>
    <t>WHART</t>
  </si>
  <si>
    <t>A3</t>
  </si>
  <si>
    <t>AH</t>
  </si>
  <si>
    <t>IVL</t>
  </si>
  <si>
    <t>C3</t>
  </si>
  <si>
    <t>PTT</t>
  </si>
  <si>
    <t>STA</t>
  </si>
  <si>
    <t>SYNEX</t>
  </si>
  <si>
    <t>TOA</t>
  </si>
  <si>
    <t>AWC</t>
  </si>
  <si>
    <t>CPF</t>
  </si>
  <si>
    <t>A2</t>
  </si>
  <si>
    <t>ORI</t>
  </si>
  <si>
    <t>C2</t>
  </si>
  <si>
    <t>PTTGC</t>
  </si>
  <si>
    <t>RCL</t>
  </si>
  <si>
    <t>B3</t>
  </si>
  <si>
    <t>SINGER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</si>
</sst>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3">
    <font>
      <sz val="11"/>
      <color theme="1"/>
      <name val="Calibri"/>
      <charset val="134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" fontId="0" fillId="0" borderId="1" xfId="0" applyNumberFormat="1" applyBorder="1"/>
    <xf numFmtId="164" fontId="1" fillId="0" borderId="0" xfId="0" applyNumberFormat="1" applyFont="1" applyAlignment="1">
      <alignment horizontal="center" vertical="top"/>
    </xf>
    <xf numFmtId="164" fontId="0" fillId="0" borderId="1" xfId="0" applyNumberFormat="1" applyBorder="1"/>
    <xf numFmtId="2" fontId="1" fillId="0" borderId="0" xfId="0" applyNumberFormat="1" applyFont="1" applyAlignment="1">
      <alignment horizontal="center" vertical="top"/>
    </xf>
    <xf numFmtId="2" fontId="0" fillId="0" borderId="1" xfId="0" applyNumberFormat="1" applyBorder="1"/>
    <xf numFmtId="3" fontId="1" fillId="0" borderId="0" xfId="0" applyNumberFormat="1" applyFont="1" applyAlignment="1">
      <alignment horizontal="center" vertical="top"/>
    </xf>
    <xf numFmtId="3" fontId="0" fillId="0" borderId="1" xfId="0" applyNumberFormat="1" applyBorder="1"/>
    <xf numFmtId="3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3" fontId="0" fillId="2" borderId="0" xfId="0" applyNumberFormat="1" applyFill="1"/>
    <xf numFmtId="2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topLeftCell="V1" workbookViewId="0">
      <selection activeCell="W6" sqref="W6"/>
    </sheetView>
  </sheetViews>
  <sheetFormatPr defaultColWidth="9" defaultRowHeight="14.4"/>
  <cols>
    <col min="4" max="9" width="13.5546875" style="2" bestFit="1" customWidth="1"/>
    <col min="10" max="10" width="11.109375"/>
    <col min="11" max="11" width="9" style="17"/>
    <col min="14" max="15" width="12.44140625" style="2" bestFit="1" customWidth="1"/>
    <col min="16" max="16" width="11.6640625" style="2" bestFit="1" customWidth="1"/>
    <col min="18" max="18" width="5.5546875" style="3" bestFit="1" customWidth="1"/>
    <col min="21" max="21" width="9.6640625" style="1" customWidth="1"/>
    <col min="22" max="22" width="6.44140625" bestFit="1" customWidth="1"/>
    <col min="23" max="23" width="5.77734375" bestFit="1" customWidth="1"/>
    <col min="24" max="24" width="4.5546875" customWidth="1"/>
    <col min="27" max="28" width="12.44140625" style="2" customWidth="1"/>
    <col min="29" max="29" width="4.5546875" style="3" customWidth="1"/>
  </cols>
  <sheetData>
    <row r="1" spans="1:29">
      <c r="A1" s="4" t="s">
        <v>0</v>
      </c>
      <c r="B1" s="4" t="s">
        <v>1</v>
      </c>
      <c r="C1" s="4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4" t="s">
        <v>9</v>
      </c>
      <c r="K1" s="15" t="s">
        <v>10</v>
      </c>
      <c r="L1" s="4" t="s">
        <v>11</v>
      </c>
      <c r="M1" s="4" t="s">
        <v>12</v>
      </c>
      <c r="N1" s="11" t="s">
        <v>13</v>
      </c>
      <c r="O1" s="11" t="s">
        <v>14</v>
      </c>
      <c r="P1" s="11" t="s">
        <v>15</v>
      </c>
      <c r="Q1" s="4" t="s">
        <v>16</v>
      </c>
      <c r="R1" s="13" t="s">
        <v>17</v>
      </c>
      <c r="S1" s="4" t="s">
        <v>18</v>
      </c>
      <c r="T1" s="4" t="s">
        <v>19</v>
      </c>
      <c r="U1" s="8" t="s">
        <v>20</v>
      </c>
      <c r="V1" s="4" t="s">
        <v>21</v>
      </c>
      <c r="W1" s="4" t="s">
        <v>22</v>
      </c>
      <c r="X1" s="9" t="s">
        <v>23</v>
      </c>
      <c r="Y1" s="4" t="s">
        <v>0</v>
      </c>
      <c r="Z1" s="4" t="s">
        <v>24</v>
      </c>
    </row>
    <row r="2" spans="1:29">
      <c r="A2" t="s">
        <v>33</v>
      </c>
      <c r="B2">
        <v>2026</v>
      </c>
      <c r="C2">
        <v>2</v>
      </c>
      <c r="D2" s="2">
        <v>4211921</v>
      </c>
      <c r="E2" s="2">
        <v>2907279</v>
      </c>
      <c r="F2" s="2">
        <v>1304642</v>
      </c>
      <c r="G2" s="2">
        <v>1522921</v>
      </c>
      <c r="H2" s="2">
        <v>4214537</v>
      </c>
      <c r="I2" s="2">
        <v>-2691616</v>
      </c>
      <c r="J2" s="7">
        <v>43237</v>
      </c>
      <c r="K2" s="17">
        <v>120000</v>
      </c>
      <c r="L2">
        <v>10.1</v>
      </c>
      <c r="M2">
        <v>6.65</v>
      </c>
      <c r="N2" s="2">
        <v>1212000</v>
      </c>
      <c r="O2" s="2">
        <v>798000</v>
      </c>
      <c r="P2" s="2">
        <v>-414000</v>
      </c>
      <c r="Q2">
        <v>0.50129999999999997</v>
      </c>
      <c r="R2" s="3">
        <v>7.5383458646616504</v>
      </c>
      <c r="S2">
        <v>44.88</v>
      </c>
      <c r="T2">
        <v>-63.87</v>
      </c>
      <c r="U2" s="1">
        <v>-34.158415841584201</v>
      </c>
      <c r="V2">
        <v>2</v>
      </c>
      <c r="W2" t="s">
        <v>34</v>
      </c>
      <c r="X2">
        <v>2</v>
      </c>
      <c r="Y2" t="s">
        <v>33</v>
      </c>
      <c r="Z2">
        <v>241</v>
      </c>
    </row>
    <row r="3" spans="1:29">
      <c r="A3" s="5" t="s">
        <v>35</v>
      </c>
      <c r="B3" s="5">
        <v>2026</v>
      </c>
      <c r="C3" s="5">
        <v>2</v>
      </c>
      <c r="D3" s="12">
        <v>13716006</v>
      </c>
      <c r="E3" s="12">
        <v>10981885</v>
      </c>
      <c r="F3" s="12">
        <v>2734121</v>
      </c>
      <c r="G3" s="12">
        <v>27211511</v>
      </c>
      <c r="H3" s="12">
        <v>21565411</v>
      </c>
      <c r="I3" s="12">
        <v>5646100</v>
      </c>
      <c r="J3" s="6">
        <v>46080</v>
      </c>
      <c r="K3" s="16">
        <v>400</v>
      </c>
      <c r="L3" s="5">
        <v>355</v>
      </c>
      <c r="M3" s="5">
        <v>371</v>
      </c>
      <c r="N3" s="12">
        <v>142000</v>
      </c>
      <c r="O3" s="12">
        <v>148400</v>
      </c>
      <c r="P3" s="12">
        <v>6400</v>
      </c>
      <c r="Q3" s="5">
        <v>36.1</v>
      </c>
      <c r="R3" s="14">
        <v>9.7304582210242607</v>
      </c>
      <c r="S3" s="5">
        <v>24.9</v>
      </c>
      <c r="T3" s="5">
        <v>26.18</v>
      </c>
      <c r="U3" s="10">
        <v>4.5070422535211296</v>
      </c>
      <c r="V3" s="5">
        <v>3</v>
      </c>
      <c r="W3" s="5" t="s">
        <v>34</v>
      </c>
      <c r="X3" s="5">
        <v>2</v>
      </c>
      <c r="Y3" s="5" t="s">
        <v>35</v>
      </c>
      <c r="Z3" s="5">
        <v>8</v>
      </c>
    </row>
    <row r="4" spans="1:29">
      <c r="A4" t="s">
        <v>50</v>
      </c>
      <c r="B4">
        <v>2026</v>
      </c>
      <c r="C4">
        <v>2</v>
      </c>
      <c r="D4" s="2">
        <v>195383</v>
      </c>
      <c r="E4" s="2">
        <v>108071</v>
      </c>
      <c r="F4" s="2">
        <v>87312</v>
      </c>
      <c r="G4" s="2">
        <v>509743</v>
      </c>
      <c r="H4" s="2">
        <v>414253</v>
      </c>
      <c r="I4" s="2">
        <v>95490</v>
      </c>
      <c r="J4" s="7">
        <v>45085</v>
      </c>
      <c r="K4" s="17">
        <v>1200</v>
      </c>
      <c r="L4">
        <v>37</v>
      </c>
      <c r="M4">
        <v>16.100000000000001</v>
      </c>
      <c r="N4" s="2">
        <v>44400</v>
      </c>
      <c r="O4" s="2">
        <v>19320</v>
      </c>
      <c r="P4" s="2">
        <v>-25080</v>
      </c>
      <c r="Q4">
        <v>0.86</v>
      </c>
      <c r="R4" s="3">
        <v>5.3416149068322998</v>
      </c>
      <c r="S4">
        <v>80.790000000000006</v>
      </c>
      <c r="T4">
        <v>23.05</v>
      </c>
      <c r="U4" s="1">
        <v>-56.486486486486498</v>
      </c>
      <c r="V4">
        <v>3</v>
      </c>
      <c r="W4" t="s">
        <v>37</v>
      </c>
      <c r="X4">
        <v>3</v>
      </c>
      <c r="Y4" t="s">
        <v>50</v>
      </c>
      <c r="Z4">
        <v>11</v>
      </c>
    </row>
    <row r="5" spans="1:29">
      <c r="A5" t="s">
        <v>36</v>
      </c>
      <c r="B5">
        <v>2026</v>
      </c>
      <c r="C5">
        <v>2</v>
      </c>
      <c r="D5" s="2">
        <v>145587</v>
      </c>
      <c r="E5" s="2">
        <v>173311</v>
      </c>
      <c r="F5" s="2">
        <v>-27724</v>
      </c>
      <c r="G5" s="2">
        <v>326052</v>
      </c>
      <c r="H5" s="2">
        <v>335356</v>
      </c>
      <c r="I5" s="2">
        <v>-9304</v>
      </c>
      <c r="J5" s="7">
        <v>46163</v>
      </c>
      <c r="K5" s="17">
        <v>10000</v>
      </c>
      <c r="L5">
        <v>11.3</v>
      </c>
      <c r="M5">
        <v>12.4</v>
      </c>
      <c r="N5" s="2">
        <v>113000</v>
      </c>
      <c r="O5" s="2">
        <v>124000</v>
      </c>
      <c r="P5" s="2">
        <v>11000</v>
      </c>
      <c r="Q5">
        <v>0.82</v>
      </c>
      <c r="R5" s="3">
        <v>6.6129032258064502</v>
      </c>
      <c r="S5">
        <v>-16</v>
      </c>
      <c r="T5">
        <v>-2.77</v>
      </c>
      <c r="U5" s="1">
        <v>9.7345132743362797</v>
      </c>
      <c r="V5">
        <v>2</v>
      </c>
      <c r="W5" t="s">
        <v>28</v>
      </c>
      <c r="X5">
        <v>2</v>
      </c>
      <c r="Y5" t="s">
        <v>36</v>
      </c>
      <c r="Z5">
        <v>13</v>
      </c>
    </row>
    <row r="6" spans="1:29">
      <c r="A6" t="s">
        <v>57</v>
      </c>
      <c r="B6">
        <v>2026</v>
      </c>
      <c r="C6">
        <v>2</v>
      </c>
      <c r="D6" s="2">
        <v>1468404</v>
      </c>
      <c r="E6" s="2">
        <v>1404480</v>
      </c>
      <c r="F6" s="2">
        <v>63924</v>
      </c>
      <c r="G6" s="2">
        <v>3454875</v>
      </c>
      <c r="H6" s="2">
        <v>3373807</v>
      </c>
      <c r="I6" s="2">
        <v>81068</v>
      </c>
      <c r="J6" s="7">
        <v>45092</v>
      </c>
      <c r="K6" s="17">
        <v>9000</v>
      </c>
      <c r="L6">
        <v>4.96</v>
      </c>
      <c r="M6">
        <v>3.02</v>
      </c>
      <c r="N6" s="2">
        <v>44640</v>
      </c>
      <c r="O6" s="2">
        <v>27180</v>
      </c>
      <c r="P6" s="2">
        <v>-17460</v>
      </c>
      <c r="Q6">
        <v>0.08</v>
      </c>
      <c r="R6" s="3">
        <v>2.64900662251656</v>
      </c>
      <c r="S6">
        <v>4.55</v>
      </c>
      <c r="T6">
        <v>2.4</v>
      </c>
      <c r="U6" s="1">
        <v>-39.112903225806399</v>
      </c>
      <c r="V6">
        <v>3</v>
      </c>
      <c r="W6" t="s">
        <v>37</v>
      </c>
      <c r="X6">
        <v>4</v>
      </c>
      <c r="Y6" t="s">
        <v>57</v>
      </c>
      <c r="Z6">
        <v>668</v>
      </c>
    </row>
    <row r="7" spans="1:29">
      <c r="A7" t="s">
        <v>25</v>
      </c>
      <c r="B7">
        <v>2026</v>
      </c>
      <c r="C7">
        <v>2</v>
      </c>
      <c r="D7" s="2">
        <v>343101</v>
      </c>
      <c r="E7" s="2">
        <v>388219</v>
      </c>
      <c r="F7" s="2">
        <v>-45118</v>
      </c>
      <c r="G7" s="2">
        <v>610656</v>
      </c>
      <c r="H7" s="2">
        <v>709531</v>
      </c>
      <c r="I7" s="2">
        <v>-98875</v>
      </c>
      <c r="J7" s="7">
        <v>44446</v>
      </c>
      <c r="K7" s="17">
        <v>4000</v>
      </c>
      <c r="L7">
        <v>21.7</v>
      </c>
      <c r="M7">
        <v>11</v>
      </c>
      <c r="N7" s="2">
        <v>86800</v>
      </c>
      <c r="O7" s="2">
        <v>44000</v>
      </c>
      <c r="P7" s="2">
        <v>-42800</v>
      </c>
      <c r="Q7">
        <v>0.65</v>
      </c>
      <c r="R7" s="3">
        <v>5.9090909090909101</v>
      </c>
      <c r="S7">
        <v>-11.62</v>
      </c>
      <c r="T7">
        <v>-13.94</v>
      </c>
      <c r="U7" s="1">
        <v>-49.308755760368697</v>
      </c>
      <c r="V7">
        <v>3</v>
      </c>
      <c r="W7" t="s">
        <v>26</v>
      </c>
      <c r="X7">
        <v>1</v>
      </c>
      <c r="Y7" t="s">
        <v>25</v>
      </c>
      <c r="Z7">
        <v>55</v>
      </c>
    </row>
    <row r="8" spans="1:29">
      <c r="A8" t="s">
        <v>58</v>
      </c>
      <c r="B8">
        <v>2026</v>
      </c>
      <c r="C8">
        <v>2</v>
      </c>
      <c r="D8" s="2">
        <v>4075964</v>
      </c>
      <c r="E8" s="2">
        <v>10376538</v>
      </c>
      <c r="F8" s="2">
        <v>-6300574</v>
      </c>
      <c r="G8" s="2">
        <v>8950762</v>
      </c>
      <c r="H8" s="2">
        <v>18925721</v>
      </c>
      <c r="I8" s="2">
        <v>-9974959</v>
      </c>
      <c r="J8" s="7">
        <v>45890</v>
      </c>
      <c r="K8" s="17">
        <v>10000</v>
      </c>
      <c r="L8">
        <v>23.4</v>
      </c>
      <c r="M8">
        <v>23.7</v>
      </c>
      <c r="N8" s="2">
        <v>234000</v>
      </c>
      <c r="O8" s="2">
        <f>K8*M8</f>
        <v>237000</v>
      </c>
      <c r="P8" s="2">
        <f>O8-N8</f>
        <v>3000</v>
      </c>
      <c r="Q8">
        <v>1.25</v>
      </c>
      <c r="R8" s="3">
        <v>5.7339449541284404</v>
      </c>
      <c r="S8">
        <v>-60.72</v>
      </c>
      <c r="T8">
        <v>-52.71</v>
      </c>
      <c r="U8" s="1">
        <v>-6.8376068376068302</v>
      </c>
      <c r="V8">
        <v>3</v>
      </c>
      <c r="W8" t="s">
        <v>59</v>
      </c>
      <c r="X8">
        <v>4</v>
      </c>
      <c r="Y8" t="s">
        <v>58</v>
      </c>
      <c r="Z8">
        <v>121</v>
      </c>
    </row>
    <row r="9" spans="1:29">
      <c r="A9" t="s">
        <v>38</v>
      </c>
      <c r="B9">
        <v>2026</v>
      </c>
      <c r="C9">
        <v>2</v>
      </c>
      <c r="D9" s="2">
        <v>893491</v>
      </c>
      <c r="E9" s="2">
        <v>818029</v>
      </c>
      <c r="F9" s="2">
        <v>75462</v>
      </c>
      <c r="G9" s="2">
        <v>1702872</v>
      </c>
      <c r="H9" s="2">
        <v>1725607</v>
      </c>
      <c r="I9" s="2">
        <v>-22735</v>
      </c>
      <c r="J9" s="7">
        <v>44789</v>
      </c>
      <c r="K9" s="17">
        <v>55000</v>
      </c>
      <c r="L9">
        <v>18</v>
      </c>
      <c r="M9">
        <v>13.6</v>
      </c>
      <c r="N9" s="2">
        <v>990000</v>
      </c>
      <c r="O9" s="2">
        <v>748000</v>
      </c>
      <c r="P9" s="2">
        <v>-242000</v>
      </c>
      <c r="Q9">
        <v>0.90849999999999997</v>
      </c>
      <c r="R9" s="3">
        <v>6.6801470588235299</v>
      </c>
      <c r="S9">
        <v>9.2200000000000006</v>
      </c>
      <c r="T9">
        <v>-1.32</v>
      </c>
      <c r="U9" s="1">
        <v>-24.4444444444444</v>
      </c>
      <c r="V9">
        <v>2</v>
      </c>
      <c r="W9" t="s">
        <v>34</v>
      </c>
      <c r="X9">
        <v>2</v>
      </c>
      <c r="Y9" t="s">
        <v>38</v>
      </c>
      <c r="Z9">
        <v>127</v>
      </c>
    </row>
    <row r="10" spans="1:29">
      <c r="A10" t="s">
        <v>39</v>
      </c>
      <c r="B10">
        <v>2026</v>
      </c>
      <c r="C10">
        <v>2</v>
      </c>
      <c r="D10" s="2">
        <v>2675993</v>
      </c>
      <c r="E10" s="2">
        <v>2764853</v>
      </c>
      <c r="F10" s="2">
        <v>-88860</v>
      </c>
      <c r="G10" s="2">
        <v>5443473</v>
      </c>
      <c r="H10" s="2">
        <v>5496796</v>
      </c>
      <c r="I10" s="2">
        <v>-53323</v>
      </c>
      <c r="J10" s="7">
        <v>44044</v>
      </c>
      <c r="K10" s="17">
        <v>45000</v>
      </c>
      <c r="L10">
        <v>12.7</v>
      </c>
      <c r="M10">
        <v>10.199999999999999</v>
      </c>
      <c r="N10" s="2">
        <v>571500</v>
      </c>
      <c r="O10" s="2">
        <v>459000</v>
      </c>
      <c r="P10" s="2">
        <v>-112500</v>
      </c>
      <c r="Q10">
        <v>0.88880000000000003</v>
      </c>
      <c r="R10" s="3">
        <v>8.7137254901960794</v>
      </c>
      <c r="S10">
        <v>-3.21</v>
      </c>
      <c r="T10">
        <v>-0.97</v>
      </c>
      <c r="U10" s="1">
        <v>-19.685039370078702</v>
      </c>
      <c r="V10">
        <v>2</v>
      </c>
      <c r="W10" t="s">
        <v>34</v>
      </c>
      <c r="X10">
        <v>2</v>
      </c>
      <c r="Y10" t="s">
        <v>39</v>
      </c>
      <c r="Z10">
        <v>146</v>
      </c>
    </row>
    <row r="11" spans="1:29">
      <c r="A11" t="s">
        <v>51</v>
      </c>
      <c r="B11">
        <v>2026</v>
      </c>
      <c r="C11">
        <v>2</v>
      </c>
      <c r="D11" s="2">
        <v>5961384</v>
      </c>
      <c r="E11" s="2">
        <v>-521012</v>
      </c>
      <c r="F11" s="2">
        <v>6482396</v>
      </c>
      <c r="G11" s="2">
        <v>3144933</v>
      </c>
      <c r="H11" s="2">
        <v>-1833092</v>
      </c>
      <c r="I11" s="2">
        <v>4978025</v>
      </c>
      <c r="J11" s="7">
        <v>44802</v>
      </c>
      <c r="K11" s="17">
        <v>7200</v>
      </c>
      <c r="L11">
        <v>40</v>
      </c>
      <c r="M11">
        <v>21.2</v>
      </c>
      <c r="N11" s="2">
        <v>288000</v>
      </c>
      <c r="O11" s="2">
        <v>152640</v>
      </c>
      <c r="P11" s="2">
        <v>-135360</v>
      </c>
      <c r="Q11">
        <v>0.7</v>
      </c>
      <c r="R11" s="3">
        <v>3.3018867924528301</v>
      </c>
      <c r="S11">
        <v>1244.19</v>
      </c>
      <c r="T11">
        <v>271.56</v>
      </c>
      <c r="U11" s="1">
        <v>-47</v>
      </c>
      <c r="V11">
        <v>4</v>
      </c>
      <c r="W11" t="s">
        <v>52</v>
      </c>
      <c r="X11">
        <v>3</v>
      </c>
      <c r="Y11" t="s">
        <v>51</v>
      </c>
      <c r="Z11">
        <v>238</v>
      </c>
    </row>
    <row r="12" spans="1:29">
      <c r="A12" t="s">
        <v>27</v>
      </c>
      <c r="B12">
        <v>2026</v>
      </c>
      <c r="C12">
        <v>2</v>
      </c>
      <c r="D12" s="2">
        <v>233958</v>
      </c>
      <c r="E12" s="2">
        <v>246468</v>
      </c>
      <c r="F12" s="2">
        <v>-12510</v>
      </c>
      <c r="G12" s="2">
        <v>486159</v>
      </c>
      <c r="H12" s="2">
        <v>576497</v>
      </c>
      <c r="I12" s="2">
        <v>-90338</v>
      </c>
      <c r="J12" s="7">
        <v>44952</v>
      </c>
      <c r="K12" s="17">
        <v>7000</v>
      </c>
      <c r="L12">
        <v>37.700000000000003</v>
      </c>
      <c r="M12">
        <v>11.4</v>
      </c>
      <c r="N12" s="2">
        <v>263900</v>
      </c>
      <c r="O12" s="2">
        <v>79800</v>
      </c>
      <c r="P12" s="2">
        <v>-184100</v>
      </c>
      <c r="Q12">
        <v>0.7</v>
      </c>
      <c r="R12" s="3">
        <v>6.1403508771929802</v>
      </c>
      <c r="S12">
        <v>-5.08</v>
      </c>
      <c r="T12">
        <v>-15.67</v>
      </c>
      <c r="U12" s="1">
        <v>-69.761273209549103</v>
      </c>
      <c r="V12">
        <v>4</v>
      </c>
      <c r="W12" t="s">
        <v>28</v>
      </c>
      <c r="X12">
        <v>1</v>
      </c>
      <c r="Y12" t="s">
        <v>27</v>
      </c>
      <c r="Z12">
        <v>245</v>
      </c>
    </row>
    <row r="13" spans="1:29" s="18" customFormat="1">
      <c r="A13" t="s">
        <v>41</v>
      </c>
      <c r="B13">
        <v>2026</v>
      </c>
      <c r="C13">
        <v>2</v>
      </c>
      <c r="D13" s="2">
        <v>153720</v>
      </c>
      <c r="E13" s="2">
        <v>240524</v>
      </c>
      <c r="F13" s="2">
        <v>-86804</v>
      </c>
      <c r="G13" s="2">
        <v>251168</v>
      </c>
      <c r="H13" s="2">
        <v>460718</v>
      </c>
      <c r="I13" s="2">
        <v>-209550</v>
      </c>
      <c r="J13" s="7">
        <v>42633</v>
      </c>
      <c r="K13" s="17">
        <v>75000</v>
      </c>
      <c r="L13">
        <v>15.3</v>
      </c>
      <c r="M13">
        <v>7.9</v>
      </c>
      <c r="N13" s="2">
        <v>1147500</v>
      </c>
      <c r="O13" s="2">
        <v>592500</v>
      </c>
      <c r="P13" s="2">
        <v>-555000</v>
      </c>
      <c r="Q13">
        <v>0.95</v>
      </c>
      <c r="R13" s="3">
        <v>12.025316455696199</v>
      </c>
      <c r="S13">
        <v>-36.090000000000003</v>
      </c>
      <c r="T13">
        <v>-45.48</v>
      </c>
      <c r="U13" s="1">
        <v>-48.366013071895402</v>
      </c>
      <c r="V13">
        <v>2</v>
      </c>
      <c r="W13" t="s">
        <v>34</v>
      </c>
      <c r="X13">
        <v>2</v>
      </c>
      <c r="Y13" t="s">
        <v>41</v>
      </c>
      <c r="Z13">
        <v>301</v>
      </c>
      <c r="AA13" s="2"/>
      <c r="AB13" s="2"/>
      <c r="AC13" s="3"/>
    </row>
    <row r="14" spans="1:29">
      <c r="A14" t="s">
        <v>29</v>
      </c>
      <c r="B14">
        <v>2026</v>
      </c>
      <c r="C14">
        <v>2</v>
      </c>
      <c r="D14" s="2">
        <v>436359</v>
      </c>
      <c r="E14" s="2">
        <v>553998</v>
      </c>
      <c r="F14" s="2">
        <v>-117639</v>
      </c>
      <c r="G14" s="2">
        <v>690728</v>
      </c>
      <c r="H14" s="2">
        <v>1162834</v>
      </c>
      <c r="I14" s="2">
        <v>-472106</v>
      </c>
      <c r="J14" s="7">
        <v>44440</v>
      </c>
      <c r="K14" s="17">
        <v>27000</v>
      </c>
      <c r="L14">
        <v>7.45</v>
      </c>
      <c r="M14">
        <v>4.54</v>
      </c>
      <c r="N14" s="2">
        <v>201150</v>
      </c>
      <c r="O14" s="2">
        <v>122580</v>
      </c>
      <c r="P14" s="2">
        <v>-78570</v>
      </c>
      <c r="Q14">
        <v>0.31</v>
      </c>
      <c r="R14" s="3">
        <v>6.8281938325991201</v>
      </c>
      <c r="S14">
        <v>-21.23</v>
      </c>
      <c r="T14">
        <v>-40.6</v>
      </c>
      <c r="U14" s="1">
        <v>-39.060402684563797</v>
      </c>
      <c r="V14">
        <v>2</v>
      </c>
      <c r="W14" t="s">
        <v>30</v>
      </c>
      <c r="X14">
        <v>1</v>
      </c>
      <c r="Y14" t="s">
        <v>29</v>
      </c>
      <c r="Z14">
        <v>649</v>
      </c>
    </row>
    <row r="15" spans="1:29">
      <c r="A15" t="s">
        <v>60</v>
      </c>
      <c r="B15">
        <v>2026</v>
      </c>
      <c r="C15">
        <v>2</v>
      </c>
      <c r="D15" s="2">
        <v>151108</v>
      </c>
      <c r="E15" s="2">
        <v>319358</v>
      </c>
      <c r="F15" s="2">
        <v>-168250</v>
      </c>
      <c r="G15" s="2">
        <v>254581</v>
      </c>
      <c r="H15" s="2">
        <v>430971</v>
      </c>
      <c r="I15" s="2">
        <v>-176390</v>
      </c>
      <c r="J15" s="7">
        <v>44658</v>
      </c>
      <c r="K15" s="17">
        <v>50000</v>
      </c>
      <c r="L15">
        <v>9</v>
      </c>
      <c r="M15">
        <v>1.96</v>
      </c>
      <c r="N15" s="2">
        <v>450000</v>
      </c>
      <c r="O15" s="2">
        <v>98000</v>
      </c>
      <c r="P15" s="2">
        <v>-352000</v>
      </c>
      <c r="Q15">
        <v>7.0000000000000007E-2</v>
      </c>
      <c r="R15" s="3">
        <v>3.5714285714285698</v>
      </c>
      <c r="S15">
        <v>-52.68</v>
      </c>
      <c r="T15">
        <v>-40.93</v>
      </c>
      <c r="U15" s="1">
        <v>-78.2222222222222</v>
      </c>
      <c r="V15">
        <v>4</v>
      </c>
      <c r="W15" t="s">
        <v>61</v>
      </c>
      <c r="X15">
        <v>4</v>
      </c>
      <c r="Y15" t="s">
        <v>60</v>
      </c>
      <c r="Z15">
        <v>347</v>
      </c>
    </row>
    <row r="16" spans="1:29">
      <c r="A16" s="18" t="s">
        <v>42</v>
      </c>
      <c r="B16" s="18">
        <v>2026</v>
      </c>
      <c r="C16" s="18">
        <v>2</v>
      </c>
      <c r="D16" s="19">
        <v>168022</v>
      </c>
      <c r="E16" s="19">
        <v>99432</v>
      </c>
      <c r="F16" s="19">
        <v>68590</v>
      </c>
      <c r="G16" s="19">
        <v>342811</v>
      </c>
      <c r="H16" s="19">
        <v>176796</v>
      </c>
      <c r="I16" s="19">
        <v>166015</v>
      </c>
      <c r="J16" s="20">
        <v>46183</v>
      </c>
      <c r="K16" s="21">
        <v>30000</v>
      </c>
      <c r="L16" s="18">
        <v>9.6999999999999993</v>
      </c>
      <c r="M16" s="18">
        <v>10.3</v>
      </c>
      <c r="N16" s="19">
        <f>K16*L16</f>
        <v>291000</v>
      </c>
      <c r="O16" s="19">
        <f>K16*M16</f>
        <v>309000</v>
      </c>
      <c r="P16" s="19">
        <v>18000</v>
      </c>
      <c r="Q16" s="18">
        <v>0.79200000000000004</v>
      </c>
      <c r="R16" s="22">
        <v>7.0048543689320404</v>
      </c>
      <c r="S16" s="18">
        <v>68.98</v>
      </c>
      <c r="T16" s="18">
        <v>93.9</v>
      </c>
      <c r="U16" s="23">
        <v>9.5744680851063908</v>
      </c>
      <c r="V16" s="18">
        <v>2</v>
      </c>
      <c r="W16" s="18" t="s">
        <v>37</v>
      </c>
      <c r="X16" s="18">
        <v>2</v>
      </c>
      <c r="Y16" s="18" t="s">
        <v>42</v>
      </c>
      <c r="Z16" s="18">
        <v>750</v>
      </c>
      <c r="AA16" s="19"/>
      <c r="AB16" s="19"/>
      <c r="AC16" s="22"/>
    </row>
    <row r="17" spans="1:26">
      <c r="A17" t="s">
        <v>31</v>
      </c>
      <c r="B17">
        <v>2026</v>
      </c>
      <c r="C17">
        <v>2</v>
      </c>
      <c r="D17" s="2">
        <v>73903</v>
      </c>
      <c r="E17" s="2">
        <v>312003</v>
      </c>
      <c r="F17" s="2">
        <v>-238100</v>
      </c>
      <c r="G17" s="2">
        <v>-131470</v>
      </c>
      <c r="H17" s="2">
        <v>502048</v>
      </c>
      <c r="I17" s="2">
        <v>-633518</v>
      </c>
      <c r="J17" s="7">
        <v>45119</v>
      </c>
      <c r="K17" s="17">
        <v>3600</v>
      </c>
      <c r="L17">
        <v>11.4</v>
      </c>
      <c r="M17">
        <v>7.3</v>
      </c>
      <c r="N17" s="2">
        <v>41040</v>
      </c>
      <c r="O17" s="2">
        <v>26280</v>
      </c>
      <c r="P17" s="2">
        <v>-14760</v>
      </c>
      <c r="Q17">
        <v>0.45</v>
      </c>
      <c r="R17" s="3">
        <v>6.1643835616438398</v>
      </c>
      <c r="S17">
        <v>-76.31</v>
      </c>
      <c r="T17">
        <v>-126.19</v>
      </c>
      <c r="U17" s="1">
        <v>-35.964912280701803</v>
      </c>
      <c r="V17">
        <v>3</v>
      </c>
      <c r="W17" t="s">
        <v>32</v>
      </c>
      <c r="X17">
        <v>1</v>
      </c>
      <c r="Y17" t="s">
        <v>31</v>
      </c>
      <c r="Z17">
        <v>387</v>
      </c>
    </row>
    <row r="18" spans="1:26">
      <c r="A18" t="s">
        <v>53</v>
      </c>
      <c r="B18">
        <v>2026</v>
      </c>
      <c r="C18">
        <v>2</v>
      </c>
      <c r="D18" s="2">
        <v>52524592</v>
      </c>
      <c r="E18" s="2">
        <v>21532882</v>
      </c>
      <c r="F18" s="2">
        <v>30991710</v>
      </c>
      <c r="G18" s="2">
        <v>78262891</v>
      </c>
      <c r="H18" s="2">
        <v>44848371</v>
      </c>
      <c r="I18" s="2">
        <v>33414520</v>
      </c>
      <c r="J18" s="7">
        <v>45877</v>
      </c>
      <c r="K18" s="17">
        <v>7500</v>
      </c>
      <c r="L18">
        <v>32</v>
      </c>
      <c r="M18">
        <v>39.75</v>
      </c>
      <c r="N18" s="2">
        <v>240000</v>
      </c>
      <c r="O18" s="2">
        <v>298125</v>
      </c>
      <c r="P18" s="2">
        <v>58125</v>
      </c>
      <c r="Q18">
        <v>2.2999999999999998</v>
      </c>
      <c r="R18" s="3">
        <v>5.78616352201258</v>
      </c>
      <c r="S18">
        <v>143.93</v>
      </c>
      <c r="T18">
        <v>74.510000000000005</v>
      </c>
      <c r="U18" s="1">
        <v>24.21875</v>
      </c>
      <c r="V18">
        <v>2</v>
      </c>
      <c r="W18" t="s">
        <v>32</v>
      </c>
      <c r="X18">
        <v>3</v>
      </c>
      <c r="Y18" t="s">
        <v>53</v>
      </c>
      <c r="Z18">
        <v>389</v>
      </c>
    </row>
    <row r="19" spans="1:26">
      <c r="A19" t="s">
        <v>62</v>
      </c>
      <c r="B19">
        <v>2026</v>
      </c>
      <c r="C19">
        <v>2</v>
      </c>
      <c r="D19" s="2">
        <v>12208350</v>
      </c>
      <c r="E19" s="2">
        <v>-3616135</v>
      </c>
      <c r="F19" s="2">
        <v>15824485</v>
      </c>
      <c r="G19" s="2">
        <v>15440108</v>
      </c>
      <c r="H19" s="2">
        <v>-6183329</v>
      </c>
      <c r="I19" s="2">
        <v>21623437</v>
      </c>
      <c r="J19" s="7">
        <v>44272</v>
      </c>
      <c r="K19" s="17">
        <v>6000</v>
      </c>
      <c r="L19">
        <v>64.75</v>
      </c>
      <c r="M19">
        <v>38.25</v>
      </c>
      <c r="N19" s="2">
        <v>388500</v>
      </c>
      <c r="O19" s="2">
        <v>229500</v>
      </c>
      <c r="P19" s="2">
        <v>-159000</v>
      </c>
      <c r="Q19">
        <v>0.5</v>
      </c>
      <c r="R19" s="3">
        <v>1.3071895424836599</v>
      </c>
      <c r="S19">
        <v>437.61</v>
      </c>
      <c r="T19">
        <v>349.71</v>
      </c>
      <c r="U19" s="1">
        <v>-40.9266409266409</v>
      </c>
      <c r="V19">
        <v>1</v>
      </c>
      <c r="W19" t="s">
        <v>30</v>
      </c>
      <c r="X19">
        <v>4</v>
      </c>
      <c r="Y19" t="s">
        <v>62</v>
      </c>
      <c r="Z19">
        <v>391</v>
      </c>
    </row>
    <row r="20" spans="1:26">
      <c r="A20" t="s">
        <v>63</v>
      </c>
      <c r="B20">
        <v>2026</v>
      </c>
      <c r="C20">
        <v>2</v>
      </c>
      <c r="D20" s="2">
        <v>1980872</v>
      </c>
      <c r="E20" s="2">
        <v>2004879</v>
      </c>
      <c r="F20" s="2">
        <v>-24007</v>
      </c>
      <c r="G20" s="2">
        <v>3651958</v>
      </c>
      <c r="H20" s="2">
        <v>4062964</v>
      </c>
      <c r="I20" s="2">
        <v>-411006</v>
      </c>
      <c r="J20" s="7">
        <v>44508</v>
      </c>
      <c r="K20" s="17">
        <v>24000</v>
      </c>
      <c r="L20">
        <v>40</v>
      </c>
      <c r="M20">
        <v>45</v>
      </c>
      <c r="N20" s="2">
        <f>K20*L20</f>
        <v>960000</v>
      </c>
      <c r="O20" s="2">
        <f>K20*M20</f>
        <v>1080000</v>
      </c>
      <c r="P20" s="2">
        <f>O20-N20</f>
        <v>120000</v>
      </c>
      <c r="Q20">
        <v>2.5</v>
      </c>
      <c r="R20" s="3">
        <v>6.0975609756097597</v>
      </c>
      <c r="S20">
        <v>-1.2</v>
      </c>
      <c r="T20">
        <v>-10.119999999999999</v>
      </c>
      <c r="U20" s="1">
        <v>5.7246003094378501</v>
      </c>
      <c r="V20">
        <v>3</v>
      </c>
      <c r="W20" t="s">
        <v>64</v>
      </c>
      <c r="X20">
        <v>3</v>
      </c>
      <c r="Y20" t="s">
        <v>63</v>
      </c>
      <c r="Z20">
        <v>401</v>
      </c>
    </row>
    <row r="21" spans="1:26">
      <c r="A21" t="s">
        <v>43</v>
      </c>
      <c r="B21">
        <v>2026</v>
      </c>
      <c r="C21">
        <v>2</v>
      </c>
      <c r="D21" s="2">
        <v>19768</v>
      </c>
      <c r="E21" s="2">
        <v>98835</v>
      </c>
      <c r="F21" s="2">
        <v>-79067</v>
      </c>
      <c r="G21" s="2">
        <v>70364</v>
      </c>
      <c r="H21" s="2">
        <v>210208</v>
      </c>
      <c r="I21" s="2">
        <v>-139844</v>
      </c>
      <c r="J21" s="7">
        <v>44649</v>
      </c>
      <c r="K21" s="17">
        <v>105000</v>
      </c>
      <c r="L21">
        <v>4.4800000000000004</v>
      </c>
      <c r="M21">
        <v>1.77</v>
      </c>
      <c r="N21" s="2">
        <v>470400</v>
      </c>
      <c r="O21" s="2">
        <v>185850</v>
      </c>
      <c r="P21" s="2">
        <v>-284550</v>
      </c>
      <c r="Q21">
        <v>0.13830000000000001</v>
      </c>
      <c r="R21" s="3">
        <v>7.8135593220338997</v>
      </c>
      <c r="S21">
        <v>-80</v>
      </c>
      <c r="T21">
        <v>-66.53</v>
      </c>
      <c r="U21" s="1">
        <v>-60.491071428571402</v>
      </c>
      <c r="V21">
        <v>2</v>
      </c>
      <c r="W21" t="s">
        <v>44</v>
      </c>
      <c r="X21">
        <v>2</v>
      </c>
      <c r="Y21" t="s">
        <v>43</v>
      </c>
      <c r="Z21">
        <v>443</v>
      </c>
    </row>
    <row r="22" spans="1:26">
      <c r="A22" t="s">
        <v>65</v>
      </c>
      <c r="B22">
        <v>2026</v>
      </c>
      <c r="C22">
        <v>2</v>
      </c>
      <c r="D22" s="2">
        <v>148839</v>
      </c>
      <c r="E22" s="2">
        <v>-13606</v>
      </c>
      <c r="F22" s="2">
        <v>162445</v>
      </c>
      <c r="G22" s="2">
        <v>291781</v>
      </c>
      <c r="H22" s="2">
        <v>-14552</v>
      </c>
      <c r="I22" s="2">
        <v>306333</v>
      </c>
      <c r="J22" s="7">
        <v>44945</v>
      </c>
      <c r="K22" s="17">
        <v>6000</v>
      </c>
      <c r="L22">
        <v>24.8</v>
      </c>
      <c r="M22">
        <v>11.2</v>
      </c>
      <c r="N22" s="2">
        <v>148800</v>
      </c>
      <c r="O22" s="2">
        <v>67200</v>
      </c>
      <c r="P22" s="2">
        <v>-81600</v>
      </c>
      <c r="Q22">
        <v>0</v>
      </c>
      <c r="R22" s="3">
        <v>0</v>
      </c>
      <c r="S22">
        <v>1193.92</v>
      </c>
      <c r="T22">
        <v>2105.09</v>
      </c>
      <c r="U22" s="1">
        <v>-54.838709677419402</v>
      </c>
      <c r="V22">
        <v>1</v>
      </c>
      <c r="W22" t="s">
        <v>34</v>
      </c>
      <c r="X22">
        <v>4</v>
      </c>
      <c r="Y22" t="s">
        <v>65</v>
      </c>
      <c r="Z22">
        <v>452</v>
      </c>
    </row>
    <row r="23" spans="1:26">
      <c r="A23" t="s">
        <v>54</v>
      </c>
      <c r="B23">
        <v>2026</v>
      </c>
      <c r="C23">
        <v>2</v>
      </c>
      <c r="D23" s="2">
        <v>894996</v>
      </c>
      <c r="E23" s="2">
        <v>-786796</v>
      </c>
      <c r="F23" s="2">
        <v>1681792</v>
      </c>
      <c r="G23" s="2">
        <v>1540430</v>
      </c>
      <c r="H23" s="2">
        <v>-98106</v>
      </c>
      <c r="I23" s="2">
        <v>1638536</v>
      </c>
      <c r="J23" s="7">
        <v>44362</v>
      </c>
      <c r="K23" s="17">
        <v>10000</v>
      </c>
      <c r="L23">
        <v>30</v>
      </c>
      <c r="M23">
        <v>18.600000000000001</v>
      </c>
      <c r="N23" s="2">
        <v>300000</v>
      </c>
      <c r="O23" s="2">
        <v>186000</v>
      </c>
      <c r="P23" s="2">
        <v>-114000</v>
      </c>
      <c r="Q23">
        <v>0.5</v>
      </c>
      <c r="R23" s="3">
        <v>2.6881720430107499</v>
      </c>
      <c r="S23">
        <v>213.75</v>
      </c>
      <c r="T23">
        <v>1670.17</v>
      </c>
      <c r="U23" s="1">
        <v>-38</v>
      </c>
      <c r="V23">
        <v>1</v>
      </c>
      <c r="W23" t="s">
        <v>52</v>
      </c>
      <c r="X23">
        <v>3</v>
      </c>
      <c r="Y23" t="s">
        <v>54</v>
      </c>
      <c r="Z23">
        <v>489</v>
      </c>
    </row>
    <row r="24" spans="1:26">
      <c r="A24" t="s">
        <v>55</v>
      </c>
      <c r="B24">
        <v>2026</v>
      </c>
      <c r="C24">
        <v>2</v>
      </c>
      <c r="D24" s="2">
        <v>222698</v>
      </c>
      <c r="E24" s="2">
        <v>190158</v>
      </c>
      <c r="F24" s="2">
        <v>32540</v>
      </c>
      <c r="G24" s="2">
        <v>444077</v>
      </c>
      <c r="H24" s="2">
        <v>378375</v>
      </c>
      <c r="I24" s="2">
        <v>65702</v>
      </c>
      <c r="J24" s="7">
        <v>44568</v>
      </c>
      <c r="K24" s="17">
        <v>17500</v>
      </c>
      <c r="L24">
        <v>26.4</v>
      </c>
      <c r="M24">
        <v>9.4</v>
      </c>
      <c r="N24" s="2">
        <v>462000</v>
      </c>
      <c r="O24" s="2">
        <v>164500</v>
      </c>
      <c r="P24" s="2">
        <v>-297500</v>
      </c>
      <c r="Q24">
        <v>0.48</v>
      </c>
      <c r="R24" s="3">
        <v>5.1063829787234001</v>
      </c>
      <c r="S24">
        <v>17.11</v>
      </c>
      <c r="T24">
        <v>17.36</v>
      </c>
      <c r="U24" s="1">
        <v>-64.393939393939405</v>
      </c>
      <c r="V24">
        <v>3</v>
      </c>
      <c r="W24" t="s">
        <v>49</v>
      </c>
      <c r="X24">
        <v>3</v>
      </c>
      <c r="Y24" t="s">
        <v>55</v>
      </c>
      <c r="Z24">
        <v>504</v>
      </c>
    </row>
    <row r="25" spans="1:26">
      <c r="A25" t="s">
        <v>56</v>
      </c>
      <c r="B25">
        <v>2026</v>
      </c>
      <c r="C25">
        <v>2</v>
      </c>
      <c r="D25" s="2">
        <v>717746</v>
      </c>
      <c r="E25" s="2">
        <v>651794</v>
      </c>
      <c r="F25" s="2">
        <v>65952</v>
      </c>
      <c r="G25" s="2">
        <v>1670993</v>
      </c>
      <c r="H25" s="2">
        <v>1384893</v>
      </c>
      <c r="I25" s="2">
        <v>286100</v>
      </c>
      <c r="J25" s="7">
        <v>45175</v>
      </c>
      <c r="K25" s="17">
        <v>1000</v>
      </c>
      <c r="L25">
        <v>26</v>
      </c>
      <c r="M25">
        <v>15.1</v>
      </c>
      <c r="N25" s="2">
        <v>26000</v>
      </c>
      <c r="O25" s="2">
        <v>15100</v>
      </c>
      <c r="P25" s="2">
        <v>-10900</v>
      </c>
      <c r="Q25">
        <v>0.77</v>
      </c>
      <c r="R25" s="3">
        <v>5.0993377483443698</v>
      </c>
      <c r="S25">
        <v>10.119999999999999</v>
      </c>
      <c r="T25">
        <v>20.66</v>
      </c>
      <c r="U25" s="1">
        <v>-41.923076923076898</v>
      </c>
      <c r="V25">
        <v>3</v>
      </c>
      <c r="W25" t="s">
        <v>34</v>
      </c>
      <c r="X25">
        <v>3</v>
      </c>
      <c r="Y25" t="s">
        <v>56</v>
      </c>
      <c r="Z25">
        <v>562</v>
      </c>
    </row>
    <row r="26" spans="1:26">
      <c r="A26" t="s">
        <v>46</v>
      </c>
      <c r="B26">
        <v>2026</v>
      </c>
      <c r="C26">
        <v>2</v>
      </c>
      <c r="D26" s="2">
        <v>877107</v>
      </c>
      <c r="E26" s="2">
        <v>647618</v>
      </c>
      <c r="F26" s="2">
        <v>229489</v>
      </c>
      <c r="G26" s="2">
        <v>1586032</v>
      </c>
      <c r="H26" s="2">
        <v>1181233</v>
      </c>
      <c r="I26" s="2">
        <v>404799</v>
      </c>
      <c r="J26" s="7">
        <v>45602</v>
      </c>
      <c r="K26" s="17">
        <v>4000</v>
      </c>
      <c r="L26">
        <v>24.9</v>
      </c>
      <c r="M26">
        <v>27.5</v>
      </c>
      <c r="N26" s="2">
        <v>99600</v>
      </c>
      <c r="O26" s="2">
        <v>110000</v>
      </c>
      <c r="P26" s="2">
        <v>10400</v>
      </c>
      <c r="Q26">
        <v>1.97</v>
      </c>
      <c r="R26" s="3">
        <v>7.1636363636363596</v>
      </c>
      <c r="S26">
        <v>35.44</v>
      </c>
      <c r="T26">
        <v>34.270000000000003</v>
      </c>
      <c r="U26" s="1">
        <v>10.4417670682731</v>
      </c>
      <c r="V26">
        <v>3</v>
      </c>
      <c r="W26" t="s">
        <v>26</v>
      </c>
      <c r="X26">
        <v>2</v>
      </c>
      <c r="Y26" t="s">
        <v>46</v>
      </c>
      <c r="Z26">
        <v>594</v>
      </c>
    </row>
    <row r="27" spans="1:26">
      <c r="A27" t="s">
        <v>47</v>
      </c>
      <c r="B27">
        <v>2026</v>
      </c>
      <c r="C27">
        <v>2</v>
      </c>
      <c r="D27" s="2">
        <v>171170</v>
      </c>
      <c r="E27" s="2">
        <v>171802</v>
      </c>
      <c r="F27" s="2">
        <v>-632</v>
      </c>
      <c r="G27" s="2">
        <v>349702</v>
      </c>
      <c r="H27" s="2">
        <v>417520</v>
      </c>
      <c r="I27" s="2">
        <v>-67818</v>
      </c>
      <c r="J27" s="7">
        <v>44480</v>
      </c>
      <c r="K27" s="17">
        <v>50000</v>
      </c>
      <c r="L27">
        <v>8.6999999999999993</v>
      </c>
      <c r="M27">
        <v>8.4499999999999993</v>
      </c>
      <c r="N27" s="2">
        <v>435000</v>
      </c>
      <c r="O27" s="2">
        <v>422500</v>
      </c>
      <c r="P27" s="2">
        <v>-12500</v>
      </c>
      <c r="Q27">
        <v>0.58389999999999997</v>
      </c>
      <c r="R27" s="3">
        <v>6.9100591715976298</v>
      </c>
      <c r="S27">
        <v>-0.37</v>
      </c>
      <c r="T27">
        <v>-16.239999999999998</v>
      </c>
      <c r="U27" s="1">
        <v>-2.8735632183908</v>
      </c>
      <c r="V27">
        <v>2</v>
      </c>
      <c r="W27" t="s">
        <v>30</v>
      </c>
      <c r="X27">
        <v>2</v>
      </c>
      <c r="Y27" t="s">
        <v>47</v>
      </c>
      <c r="Z27">
        <v>217</v>
      </c>
    </row>
    <row r="28" spans="1:26">
      <c r="A28" t="s">
        <v>48</v>
      </c>
      <c r="B28">
        <v>2026</v>
      </c>
      <c r="C28">
        <v>2</v>
      </c>
      <c r="D28" s="2">
        <v>696766</v>
      </c>
      <c r="E28" s="2">
        <v>594099</v>
      </c>
      <c r="F28" s="2">
        <v>102667</v>
      </c>
      <c r="G28" s="2">
        <v>1371671</v>
      </c>
      <c r="H28" s="2">
        <v>1260006</v>
      </c>
      <c r="I28" s="2">
        <v>111665</v>
      </c>
      <c r="J28" s="7">
        <v>44566</v>
      </c>
      <c r="K28" s="17">
        <v>20000</v>
      </c>
      <c r="L28">
        <v>12.3</v>
      </c>
      <c r="M28">
        <v>11.2</v>
      </c>
      <c r="N28" s="2">
        <v>246000</v>
      </c>
      <c r="O28" s="2">
        <v>224000</v>
      </c>
      <c r="P28" s="2">
        <v>-22000</v>
      </c>
      <c r="Q28">
        <v>0.6774</v>
      </c>
      <c r="R28" s="3">
        <v>6.0482142857142902</v>
      </c>
      <c r="S28">
        <v>17.28</v>
      </c>
      <c r="T28">
        <v>8.86</v>
      </c>
      <c r="U28" s="1">
        <v>-8.9430894308943198</v>
      </c>
      <c r="V28">
        <v>2</v>
      </c>
      <c r="W28" t="s">
        <v>49</v>
      </c>
      <c r="X28">
        <v>2</v>
      </c>
      <c r="Y28" t="s">
        <v>48</v>
      </c>
      <c r="Z28">
        <v>630</v>
      </c>
    </row>
    <row r="29" spans="1:26">
      <c r="A29" t="s">
        <v>40</v>
      </c>
      <c r="B29">
        <v>2026</v>
      </c>
      <c r="C29">
        <v>3</v>
      </c>
      <c r="D29" s="2">
        <v>163930</v>
      </c>
      <c r="E29" s="2">
        <v>195973</v>
      </c>
      <c r="F29" s="2">
        <v>-32043</v>
      </c>
      <c r="G29" s="2">
        <v>528340</v>
      </c>
      <c r="H29" s="2">
        <v>599921</v>
      </c>
      <c r="I29" s="2">
        <v>-71581</v>
      </c>
      <c r="J29" s="7">
        <v>44797</v>
      </c>
      <c r="K29" s="17">
        <v>69000</v>
      </c>
      <c r="L29">
        <v>7.75</v>
      </c>
      <c r="M29">
        <v>8.3000000000000007</v>
      </c>
      <c r="N29" s="2">
        <v>534750</v>
      </c>
      <c r="O29" s="2">
        <v>572700</v>
      </c>
      <c r="P29" s="2">
        <v>37950.000000000102</v>
      </c>
      <c r="Q29">
        <v>0.75880000000000003</v>
      </c>
      <c r="R29" s="3">
        <v>9.1421686746987891</v>
      </c>
      <c r="S29">
        <v>-16.350000000000001</v>
      </c>
      <c r="T29">
        <v>-11.93</v>
      </c>
      <c r="U29" s="1">
        <v>7.0967741935484003</v>
      </c>
      <c r="V29">
        <v>2</v>
      </c>
      <c r="W29" t="s">
        <v>28</v>
      </c>
      <c r="X29">
        <v>2</v>
      </c>
      <c r="Y29" t="s">
        <v>40</v>
      </c>
      <c r="Z29">
        <v>209</v>
      </c>
    </row>
    <row r="30" spans="1:26">
      <c r="A30" t="s">
        <v>45</v>
      </c>
      <c r="B30">
        <v>2026</v>
      </c>
      <c r="C30">
        <v>3</v>
      </c>
      <c r="D30" s="2">
        <v>518033</v>
      </c>
      <c r="E30" s="2">
        <v>515601</v>
      </c>
      <c r="F30" s="2">
        <v>2432</v>
      </c>
      <c r="G30" s="2">
        <v>1625327</v>
      </c>
      <c r="H30" s="2">
        <v>1596389</v>
      </c>
      <c r="I30" s="2">
        <v>28938</v>
      </c>
      <c r="J30" s="7">
        <v>45113</v>
      </c>
      <c r="K30" s="17">
        <v>25000</v>
      </c>
      <c r="L30">
        <v>7.3</v>
      </c>
      <c r="M30">
        <v>7.1</v>
      </c>
      <c r="N30" s="2">
        <v>182500</v>
      </c>
      <c r="O30" s="2">
        <v>177500</v>
      </c>
      <c r="P30" s="2">
        <v>-5000</v>
      </c>
      <c r="Q30">
        <v>0.46479999999999999</v>
      </c>
      <c r="R30" s="3">
        <v>6.5464788732394403</v>
      </c>
      <c r="S30">
        <v>0.47</v>
      </c>
      <c r="T30">
        <v>1.81</v>
      </c>
      <c r="U30" s="1">
        <v>-2.7397260273972601</v>
      </c>
      <c r="V30">
        <v>2</v>
      </c>
      <c r="W30" t="s">
        <v>34</v>
      </c>
      <c r="X30">
        <v>2</v>
      </c>
      <c r="Y30" t="s">
        <v>45</v>
      </c>
      <c r="Z30">
        <v>655</v>
      </c>
    </row>
    <row r="31" spans="1:26">
      <c r="A31" s="4" t="s">
        <v>0</v>
      </c>
      <c r="B31" s="4" t="s">
        <v>1</v>
      </c>
      <c r="C31" s="4" t="s">
        <v>2</v>
      </c>
      <c r="D31" s="11" t="s">
        <v>3</v>
      </c>
      <c r="E31" s="11" t="s">
        <v>4</v>
      </c>
      <c r="F31" s="11" t="s">
        <v>5</v>
      </c>
      <c r="G31" s="11" t="s">
        <v>6</v>
      </c>
      <c r="H31" s="11" t="s">
        <v>7</v>
      </c>
      <c r="I31" s="11" t="s">
        <v>8</v>
      </c>
      <c r="J31" s="4" t="s">
        <v>9</v>
      </c>
      <c r="K31" s="15" t="s">
        <v>10</v>
      </c>
      <c r="L31" s="4" t="s">
        <v>11</v>
      </c>
      <c r="M31" s="4" t="s">
        <v>12</v>
      </c>
      <c r="N31" s="11" t="s">
        <v>13</v>
      </c>
      <c r="O31" s="11" t="s">
        <v>14</v>
      </c>
      <c r="P31" s="11" t="s">
        <v>15</v>
      </c>
      <c r="Q31" s="4" t="s">
        <v>16</v>
      </c>
      <c r="R31" s="13" t="s">
        <v>17</v>
      </c>
      <c r="S31" s="4" t="s">
        <v>18</v>
      </c>
      <c r="T31" s="4" t="s">
        <v>19</v>
      </c>
      <c r="U31" s="8" t="s">
        <v>20</v>
      </c>
      <c r="V31" s="4" t="s">
        <v>21</v>
      </c>
      <c r="W31" s="4" t="s">
        <v>22</v>
      </c>
      <c r="X31" s="9" t="s">
        <v>23</v>
      </c>
      <c r="Y31" s="4" t="s">
        <v>0</v>
      </c>
      <c r="Z31" s="4" t="s">
        <v>24</v>
      </c>
    </row>
    <row r="32" spans="1:26" ht="12" customHeight="1"/>
  </sheetData>
  <sortState xmlns:xlrd2="http://schemas.microsoft.com/office/spreadsheetml/2017/richdata2" ref="A2:AC30">
    <sortCondition ref="C2:C30"/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Soontarinka</cp:lastModifiedBy>
  <dcterms:created xsi:type="dcterms:W3CDTF">2026-08-16T13:42:00Z</dcterms:created>
  <dcterms:modified xsi:type="dcterms:W3CDTF">2026-09-28T09:46:13Z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37E3745A16484DDA9CE958F35D383B31_12</vt:lpwstr>
  </property>
  <property fmtid="{D5CDD505-2E9C-101B-9397-08002B2CF9AE}" pid="3" name="KSOProductBuildVer">
    <vt:lpwstr>2057-12.2.0.23206</vt:lpwstr>
  </property>
</Properties>
</file>