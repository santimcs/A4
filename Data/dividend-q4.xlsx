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862359375ebd62/A4/Data/"/>
    </mc:Choice>
  </mc:AlternateContent>
  <xr:revisionPtr revIDLastSave="27" documentId="8_{2E0EA41F-FDE7-4828-8D12-869A955280FC}" xr6:coauthVersionLast="47" xr6:coauthVersionMax="47" xr10:uidLastSave="{89DF6841-AD5E-4CBE-BD00-CE6BE9B08A99}"/>
  <bookViews>
    <workbookView xWindow="10704" yWindow="1572" windowWidth="12024" windowHeight="11388" xr2:uid="{BC7C96CF-573F-4E03-9013-5FFA1DAA44FA}"/>
  </bookViews>
  <sheets>
    <sheet name="dividend-q4" sheetId="1" r:id="rId1"/>
  </sheets>
  <calcPr calcId="0"/>
</workbook>
</file>

<file path=xl/calcChain.xml><?xml version="1.0" encoding="utf-8"?>
<calcChain xmlns="http://schemas.openxmlformats.org/spreadsheetml/2006/main">
  <c r="E32" i="1" l="1"/>
  <c r="D31" i="1"/>
  <c r="E31" i="1" s="1"/>
  <c r="D22" i="1" l="1"/>
  <c r="E22" i="1" s="1"/>
  <c r="D2" i="1"/>
  <c r="E2" i="1" s="1"/>
  <c r="D29" i="1"/>
  <c r="E29" i="1" s="1"/>
  <c r="E28" i="1" l="1"/>
  <c r="E30" i="1"/>
</calcChain>
</file>

<file path=xl/sharedStrings.xml><?xml version="1.0" encoding="utf-8"?>
<sst xmlns="http://schemas.openxmlformats.org/spreadsheetml/2006/main" count="40" uniqueCount="38">
  <si>
    <t>name</t>
  </si>
  <si>
    <t>qtrly</t>
  </si>
  <si>
    <t>shares</t>
  </si>
  <si>
    <t>amount</t>
  </si>
  <si>
    <t>net</t>
  </si>
  <si>
    <t>xdate</t>
  </si>
  <si>
    <t>paiddate</t>
  </si>
  <si>
    <t>cost_amt</t>
  </si>
  <si>
    <t>pct</t>
  </si>
  <si>
    <t>amt_yearly</t>
  </si>
  <si>
    <t>yearly</t>
  </si>
  <si>
    <t>actual</t>
  </si>
  <si>
    <t>3BBIF</t>
  </si>
  <si>
    <t>AH</t>
  </si>
  <si>
    <t>AIMIRT</t>
  </si>
  <si>
    <t>AWC</t>
  </si>
  <si>
    <t>BCH</t>
  </si>
  <si>
    <t>CPF</t>
  </si>
  <si>
    <t>CPNREIT</t>
  </si>
  <si>
    <t>DIF</t>
  </si>
  <si>
    <t>GVREIT</t>
  </si>
  <si>
    <t>IVL</t>
  </si>
  <si>
    <t>JMT</t>
  </si>
  <si>
    <t>MCS</t>
  </si>
  <si>
    <t>NER</t>
  </si>
  <si>
    <t>PTG</t>
  </si>
  <si>
    <t>PTT</t>
  </si>
  <si>
    <t>PTTGC</t>
  </si>
  <si>
    <t>RCL</t>
  </si>
  <si>
    <t>SCC</t>
  </si>
  <si>
    <t>SENA</t>
  </si>
  <si>
    <t>STA</t>
  </si>
  <si>
    <t>SYNEX</t>
  </si>
  <si>
    <t>TFFIF</t>
  </si>
  <si>
    <t>TOA</t>
  </si>
  <si>
    <t>TVO</t>
  </si>
  <si>
    <t>WHAIR</t>
  </si>
  <si>
    <t>WHART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</si>
</sst>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;@"/>
    <numFmt numFmtId="166" formatCode="&quot;$&quot;#,##0.00"/>
    <numFmt numFmtId="167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0" fontId="16" fillId="0" borderId="0" xfId="0" applyFont="1"/>
    <xf numFmtId="167" fontId="16" fillId="0" borderId="0" xfId="0" applyNumberFormat="1" applyFont="1"/>
    <xf numFmtId="3" fontId="16" fillId="0" borderId="0" xfId="0" applyNumberFormat="1" applyFont="1"/>
    <xf numFmtId="166" fontId="16" fillId="0" borderId="0" xfId="0" applyNumberFormat="1" applyFont="1"/>
    <xf numFmtId="165" fontId="16" fillId="0" borderId="0" xfId="0" applyNumberFormat="1" applyFont="1"/>
    <xf numFmtId="2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875A-6415-4391-A62A-3B21647FF184}">
  <dimension ref="A1:L32"/>
  <sheetViews>
    <sheetView tabSelected="1" workbookViewId="0">
      <selection activeCell="F31" sqref="F31:G31"/>
    </sheetView>
  </sheetViews>
  <sheetFormatPr defaultRowHeight="14.4" x14ac:dyDescent="0.3"/>
  <cols>
    <col min="2" max="2" width="9.5546875" style="3" bestFit="1" customWidth="1"/>
    <col min="3" max="3" width="8.88671875" style="4"/>
    <col min="4" max="4" width="10.109375" style="2" bestFit="1" customWidth="1"/>
    <col min="5" max="5" width="11.109375" style="2" bestFit="1" customWidth="1"/>
    <col min="6" max="7" width="10.33203125" style="1" bestFit="1" customWidth="1"/>
    <col min="8" max="8" width="12.6640625" style="2" bestFit="1" customWidth="1"/>
    <col min="9" max="9" width="8.88671875" style="11"/>
    <col min="10" max="10" width="10.109375" style="2" bestFit="1" customWidth="1"/>
  </cols>
  <sheetData>
    <row r="1" spans="1:12" x14ac:dyDescent="0.3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10" t="s">
        <v>8</v>
      </c>
      <c r="J1" s="8" t="s">
        <v>9</v>
      </c>
      <c r="K1" s="5" t="s">
        <v>10</v>
      </c>
      <c r="L1" s="5" t="s">
        <v>11</v>
      </c>
    </row>
    <row r="2" spans="1:12" x14ac:dyDescent="0.3">
      <c r="A2" t="s">
        <v>12</v>
      </c>
      <c r="B2" s="3">
        <v>0.22412299999999999</v>
      </c>
      <c r="C2" s="4">
        <v>120000</v>
      </c>
      <c r="D2" s="2">
        <f>B2*C2</f>
        <v>26894.76</v>
      </c>
      <c r="E2" s="2">
        <f>D2*0.9</f>
        <v>24205.284</v>
      </c>
      <c r="F2" s="1">
        <v>46066</v>
      </c>
      <c r="G2" s="1">
        <v>46085</v>
      </c>
      <c r="H2" s="2">
        <v>1212000</v>
      </c>
      <c r="I2" s="11">
        <v>2</v>
      </c>
      <c r="J2" s="2">
        <v>61908</v>
      </c>
      <c r="K2">
        <v>5.1100000000000003</v>
      </c>
      <c r="L2">
        <v>1</v>
      </c>
    </row>
    <row r="3" spans="1:12" x14ac:dyDescent="0.3">
      <c r="A3" t="s">
        <v>19</v>
      </c>
      <c r="B3" s="3">
        <v>0.22220000000000001</v>
      </c>
      <c r="C3" s="4">
        <v>45000</v>
      </c>
      <c r="D3" s="2">
        <v>9999</v>
      </c>
      <c r="E3" s="2">
        <v>8999.1</v>
      </c>
      <c r="F3" s="1">
        <v>46066</v>
      </c>
      <c r="G3" s="1">
        <v>46090</v>
      </c>
      <c r="H3" s="2">
        <v>571500</v>
      </c>
      <c r="I3" s="11">
        <v>1.57</v>
      </c>
      <c r="J3" s="2">
        <v>39996</v>
      </c>
      <c r="K3">
        <v>7</v>
      </c>
      <c r="L3">
        <v>1</v>
      </c>
    </row>
    <row r="4" spans="1:12" x14ac:dyDescent="0.3">
      <c r="A4" t="s">
        <v>20</v>
      </c>
      <c r="B4" s="3">
        <v>0.17829999999999999</v>
      </c>
      <c r="C4" s="4">
        <v>69000</v>
      </c>
      <c r="D4" s="2">
        <v>12302.7</v>
      </c>
      <c r="E4" s="2">
        <v>11072.43</v>
      </c>
      <c r="F4" s="1">
        <v>46079</v>
      </c>
      <c r="G4" s="1">
        <v>46093</v>
      </c>
      <c r="H4" s="2">
        <v>534750</v>
      </c>
      <c r="I4" s="11">
        <v>2.0699999999999998</v>
      </c>
      <c r="J4" s="2">
        <v>53695.8</v>
      </c>
      <c r="K4">
        <v>10.039999999999999</v>
      </c>
      <c r="L4">
        <v>1</v>
      </c>
    </row>
    <row r="5" spans="1:12" x14ac:dyDescent="0.3">
      <c r="A5" t="s">
        <v>33</v>
      </c>
      <c r="B5" s="3">
        <v>0.12189999999999999</v>
      </c>
      <c r="C5" s="4">
        <v>20000</v>
      </c>
      <c r="D5" s="2">
        <v>2280</v>
      </c>
      <c r="E5" s="2">
        <v>2052</v>
      </c>
      <c r="F5" s="1">
        <v>46080</v>
      </c>
      <c r="G5" s="1">
        <v>46099</v>
      </c>
      <c r="H5" s="2">
        <v>144000</v>
      </c>
      <c r="I5" s="11">
        <v>1.42</v>
      </c>
      <c r="J5" s="2">
        <v>9326</v>
      </c>
      <c r="K5">
        <v>6.48</v>
      </c>
      <c r="L5">
        <v>1</v>
      </c>
    </row>
    <row r="6" spans="1:12" x14ac:dyDescent="0.3">
      <c r="A6" t="s">
        <v>14</v>
      </c>
      <c r="B6" s="3">
        <v>0.20499999999999999</v>
      </c>
      <c r="C6" s="4">
        <v>17500</v>
      </c>
      <c r="D6" s="2">
        <v>3587.5</v>
      </c>
      <c r="E6" s="2">
        <v>3228.75</v>
      </c>
      <c r="F6" s="1">
        <v>46086</v>
      </c>
      <c r="G6" s="1">
        <v>46101</v>
      </c>
      <c r="H6" s="2">
        <v>185500</v>
      </c>
      <c r="I6" s="11">
        <v>1.74</v>
      </c>
      <c r="J6" s="2">
        <v>14525</v>
      </c>
      <c r="K6">
        <v>7.83</v>
      </c>
      <c r="L6">
        <v>1</v>
      </c>
    </row>
    <row r="7" spans="1:12" x14ac:dyDescent="0.3">
      <c r="A7" t="s">
        <v>37</v>
      </c>
      <c r="B7" s="3">
        <v>0.1212</v>
      </c>
      <c r="C7" s="4">
        <v>20000</v>
      </c>
      <c r="D7" s="2">
        <v>2424</v>
      </c>
      <c r="E7" s="2">
        <v>2181.6</v>
      </c>
      <c r="F7" s="1">
        <v>46086</v>
      </c>
      <c r="G7" s="1">
        <v>46101</v>
      </c>
      <c r="H7" s="2">
        <v>246000</v>
      </c>
      <c r="I7" s="11">
        <v>0.89</v>
      </c>
      <c r="J7" s="2">
        <v>13548</v>
      </c>
      <c r="K7">
        <v>5.51</v>
      </c>
      <c r="L7">
        <v>1</v>
      </c>
    </row>
    <row r="8" spans="1:12" x14ac:dyDescent="0.3">
      <c r="A8" t="s">
        <v>18</v>
      </c>
      <c r="B8" s="3">
        <v>0.27939999999999998</v>
      </c>
      <c r="C8" s="4">
        <v>55000</v>
      </c>
      <c r="D8" s="2">
        <v>15367</v>
      </c>
      <c r="E8" s="2">
        <v>13830.3</v>
      </c>
      <c r="F8" s="1">
        <v>46092</v>
      </c>
      <c r="G8" s="1">
        <v>46108</v>
      </c>
      <c r="H8" s="2">
        <v>990000</v>
      </c>
      <c r="I8" s="11">
        <v>1.4</v>
      </c>
      <c r="J8" s="2">
        <v>45380.5</v>
      </c>
      <c r="K8">
        <v>4.58</v>
      </c>
      <c r="L8">
        <v>1</v>
      </c>
    </row>
    <row r="9" spans="1:12" x14ac:dyDescent="0.3">
      <c r="A9" t="s">
        <v>36</v>
      </c>
      <c r="B9" s="3">
        <v>0.17549999999999999</v>
      </c>
      <c r="C9" s="4">
        <v>50000</v>
      </c>
      <c r="D9" s="2">
        <v>8775</v>
      </c>
      <c r="E9" s="2">
        <v>7897.5</v>
      </c>
      <c r="F9" s="1">
        <v>46086</v>
      </c>
      <c r="G9" s="1">
        <v>46108</v>
      </c>
      <c r="H9" s="2">
        <v>435000</v>
      </c>
      <c r="I9" s="11">
        <v>1.82</v>
      </c>
      <c r="J9" s="2">
        <v>28650</v>
      </c>
      <c r="K9">
        <v>6.59</v>
      </c>
      <c r="L9">
        <v>1</v>
      </c>
    </row>
    <row r="10" spans="1:12" x14ac:dyDescent="0.3">
      <c r="A10" t="s">
        <v>29</v>
      </c>
      <c r="B10" s="3">
        <v>2.5</v>
      </c>
      <c r="C10" s="4">
        <v>600</v>
      </c>
      <c r="D10" s="2">
        <v>1500</v>
      </c>
      <c r="E10" s="2">
        <v>1350</v>
      </c>
      <c r="F10" s="1">
        <v>46113</v>
      </c>
      <c r="G10" s="1">
        <v>46133</v>
      </c>
      <c r="H10" s="2">
        <v>243000</v>
      </c>
      <c r="I10" s="11">
        <v>0.56000000000000005</v>
      </c>
      <c r="J10" s="2">
        <v>3000</v>
      </c>
      <c r="K10">
        <v>1.23</v>
      </c>
      <c r="L10">
        <v>1</v>
      </c>
    </row>
    <row r="11" spans="1:12" x14ac:dyDescent="0.3">
      <c r="A11" t="s">
        <v>27</v>
      </c>
      <c r="B11" s="3">
        <v>0.5</v>
      </c>
      <c r="C11" s="4">
        <v>6000</v>
      </c>
      <c r="D11" s="2">
        <v>3000</v>
      </c>
      <c r="E11" s="2">
        <v>2700</v>
      </c>
      <c r="F11" s="1">
        <v>46077</v>
      </c>
      <c r="G11" s="1">
        <v>46136</v>
      </c>
      <c r="H11" s="2">
        <v>388500</v>
      </c>
      <c r="I11" s="11">
        <v>0.69</v>
      </c>
      <c r="J11" s="2">
        <v>3000</v>
      </c>
      <c r="K11">
        <v>0.77</v>
      </c>
      <c r="L11">
        <v>1</v>
      </c>
    </row>
    <row r="12" spans="1:12" x14ac:dyDescent="0.3">
      <c r="A12" t="s">
        <v>26</v>
      </c>
      <c r="B12" s="3">
        <v>1.4</v>
      </c>
      <c r="C12" s="4">
        <v>7500</v>
      </c>
      <c r="D12" s="2">
        <v>10500</v>
      </c>
      <c r="E12" s="2">
        <v>9450</v>
      </c>
      <c r="F12" s="1">
        <v>46086</v>
      </c>
      <c r="G12" s="1">
        <v>46140</v>
      </c>
      <c r="H12" s="2">
        <v>240000</v>
      </c>
      <c r="I12" s="11">
        <v>3.94</v>
      </c>
      <c r="J12" s="2">
        <v>17250</v>
      </c>
      <c r="K12">
        <v>7.19</v>
      </c>
      <c r="L12">
        <v>1</v>
      </c>
    </row>
    <row r="13" spans="1:12" x14ac:dyDescent="0.3">
      <c r="A13" t="s">
        <v>22</v>
      </c>
      <c r="B13" s="3">
        <v>0.43</v>
      </c>
      <c r="C13" s="4">
        <v>7000</v>
      </c>
      <c r="D13" s="2">
        <v>3010</v>
      </c>
      <c r="E13" s="2">
        <v>2709</v>
      </c>
      <c r="F13" s="1">
        <v>46083</v>
      </c>
      <c r="G13" s="1">
        <v>46148</v>
      </c>
      <c r="H13" s="2">
        <v>263900</v>
      </c>
      <c r="I13" s="11">
        <v>1.03</v>
      </c>
      <c r="J13" s="2">
        <v>4690</v>
      </c>
      <c r="K13">
        <v>1.78</v>
      </c>
      <c r="L13">
        <v>1</v>
      </c>
    </row>
    <row r="14" spans="1:12" x14ac:dyDescent="0.3">
      <c r="A14" t="s">
        <v>23</v>
      </c>
      <c r="B14" s="3">
        <v>0.7</v>
      </c>
      <c r="C14" s="4">
        <v>75000</v>
      </c>
      <c r="D14" s="2">
        <v>52500</v>
      </c>
      <c r="E14" s="2">
        <v>47250</v>
      </c>
      <c r="F14" s="1">
        <v>46132</v>
      </c>
      <c r="G14" s="1">
        <v>46149</v>
      </c>
      <c r="H14" s="2">
        <v>1148400</v>
      </c>
      <c r="I14" s="11">
        <v>4.1100000000000003</v>
      </c>
      <c r="J14" s="2">
        <v>71250</v>
      </c>
      <c r="K14">
        <v>6.2</v>
      </c>
      <c r="L14">
        <v>1</v>
      </c>
    </row>
    <row r="15" spans="1:12" x14ac:dyDescent="0.3">
      <c r="A15" t="s">
        <v>24</v>
      </c>
      <c r="B15" s="3">
        <v>0.26</v>
      </c>
      <c r="C15" s="4">
        <v>27000</v>
      </c>
      <c r="D15" s="2">
        <v>7020</v>
      </c>
      <c r="E15" s="2">
        <v>6318</v>
      </c>
      <c r="F15" s="1">
        <v>46135</v>
      </c>
      <c r="G15" s="1">
        <v>46149</v>
      </c>
      <c r="H15" s="2">
        <v>201150</v>
      </c>
      <c r="I15" s="11">
        <v>3.14</v>
      </c>
      <c r="J15" s="2">
        <v>8370</v>
      </c>
      <c r="K15">
        <v>4.16</v>
      </c>
      <c r="L15">
        <v>1</v>
      </c>
    </row>
    <row r="16" spans="1:12" x14ac:dyDescent="0.3">
      <c r="A16" t="s">
        <v>31</v>
      </c>
      <c r="B16" s="3">
        <v>0.5</v>
      </c>
      <c r="C16" s="4">
        <v>10000</v>
      </c>
      <c r="D16" s="2">
        <v>5000</v>
      </c>
      <c r="E16" s="2">
        <v>4500</v>
      </c>
      <c r="F16" s="1">
        <v>46133</v>
      </c>
      <c r="G16" s="1">
        <v>46150</v>
      </c>
      <c r="H16" s="2">
        <v>300000</v>
      </c>
      <c r="I16" s="11">
        <v>1.5</v>
      </c>
      <c r="J16" s="2">
        <v>5000</v>
      </c>
      <c r="K16">
        <v>1.67</v>
      </c>
      <c r="L16">
        <v>1</v>
      </c>
    </row>
    <row r="17" spans="1:12" x14ac:dyDescent="0.3">
      <c r="A17" t="s">
        <v>32</v>
      </c>
      <c r="B17" s="3">
        <v>0.38</v>
      </c>
      <c r="C17" s="4">
        <v>17500</v>
      </c>
      <c r="D17" s="2">
        <v>6650</v>
      </c>
      <c r="E17" s="2">
        <v>5985</v>
      </c>
      <c r="F17" s="1">
        <v>46142</v>
      </c>
      <c r="G17" s="1">
        <v>46154</v>
      </c>
      <c r="H17" s="2">
        <v>462000</v>
      </c>
      <c r="I17" s="11">
        <v>1.3</v>
      </c>
      <c r="J17" s="2">
        <v>8400</v>
      </c>
      <c r="K17">
        <v>1.82</v>
      </c>
      <c r="L17">
        <v>1</v>
      </c>
    </row>
    <row r="18" spans="1:12" x14ac:dyDescent="0.3">
      <c r="A18" t="s">
        <v>28</v>
      </c>
      <c r="B18" s="3">
        <v>1.5</v>
      </c>
      <c r="C18" s="4">
        <v>27000</v>
      </c>
      <c r="D18" s="2">
        <v>40500</v>
      </c>
      <c r="E18" s="2">
        <v>36450</v>
      </c>
      <c r="F18" s="1">
        <v>46092</v>
      </c>
      <c r="G18" s="1">
        <v>46157</v>
      </c>
      <c r="H18" s="2">
        <v>1047060</v>
      </c>
      <c r="I18" s="11">
        <v>3.48</v>
      </c>
      <c r="J18" s="2">
        <v>67500</v>
      </c>
      <c r="K18">
        <v>6.45</v>
      </c>
      <c r="L18">
        <v>1</v>
      </c>
    </row>
    <row r="19" spans="1:12" x14ac:dyDescent="0.3">
      <c r="A19" t="s">
        <v>13</v>
      </c>
      <c r="B19" s="3">
        <v>0.48</v>
      </c>
      <c r="C19" s="4">
        <v>1200</v>
      </c>
      <c r="D19" s="2">
        <v>576</v>
      </c>
      <c r="E19" s="2">
        <v>518.4</v>
      </c>
      <c r="F19" s="1">
        <v>46093</v>
      </c>
      <c r="G19" s="1">
        <v>46164</v>
      </c>
      <c r="H19" s="2">
        <v>44400</v>
      </c>
      <c r="I19" s="11">
        <v>1.17</v>
      </c>
      <c r="J19" s="2">
        <v>948</v>
      </c>
      <c r="K19">
        <v>2.14</v>
      </c>
      <c r="L19">
        <v>1</v>
      </c>
    </row>
    <row r="20" spans="1:12" x14ac:dyDescent="0.3">
      <c r="A20" t="s">
        <v>16</v>
      </c>
      <c r="B20" s="3">
        <v>0.3</v>
      </c>
      <c r="C20" s="4">
        <v>4000</v>
      </c>
      <c r="D20" s="2">
        <v>1200</v>
      </c>
      <c r="E20" s="2">
        <v>1080</v>
      </c>
      <c r="F20" s="1">
        <v>46141</v>
      </c>
      <c r="G20" s="1">
        <v>46164</v>
      </c>
      <c r="H20" s="2">
        <v>86800</v>
      </c>
      <c r="I20" s="11">
        <v>1.24</v>
      </c>
      <c r="J20" s="2">
        <v>1800</v>
      </c>
      <c r="K20">
        <v>2.0699999999999998</v>
      </c>
      <c r="L20">
        <v>1</v>
      </c>
    </row>
    <row r="21" spans="1:12" x14ac:dyDescent="0.3">
      <c r="A21" t="s">
        <v>17</v>
      </c>
      <c r="B21" s="3">
        <v>0.25</v>
      </c>
      <c r="C21" s="4">
        <v>10000</v>
      </c>
      <c r="D21" s="2">
        <v>2500</v>
      </c>
      <c r="E21" s="2">
        <v>2250</v>
      </c>
      <c r="F21" s="1">
        <v>46147</v>
      </c>
      <c r="G21" s="1">
        <v>46164</v>
      </c>
      <c r="H21" s="2">
        <v>234000</v>
      </c>
      <c r="I21" s="11">
        <v>0.96</v>
      </c>
      <c r="J21" s="2">
        <v>12500</v>
      </c>
      <c r="K21">
        <v>5.34</v>
      </c>
      <c r="L21">
        <v>1</v>
      </c>
    </row>
    <row r="22" spans="1:12" x14ac:dyDescent="0.3">
      <c r="A22" t="s">
        <v>30</v>
      </c>
      <c r="B22" s="3">
        <v>0.138295</v>
      </c>
      <c r="C22" s="4">
        <v>105000</v>
      </c>
      <c r="D22" s="2">
        <f>B22*C22</f>
        <v>14520.975</v>
      </c>
      <c r="E22" s="2">
        <f>D22*0.9</f>
        <v>13068.877500000001</v>
      </c>
      <c r="F22" s="1">
        <v>46155</v>
      </c>
      <c r="G22" s="1">
        <v>46167</v>
      </c>
      <c r="H22" s="2">
        <v>470400</v>
      </c>
      <c r="I22" s="11">
        <v>2.78</v>
      </c>
      <c r="J22" s="2">
        <v>14521.5</v>
      </c>
      <c r="K22">
        <v>3.09</v>
      </c>
      <c r="L22">
        <v>1</v>
      </c>
    </row>
    <row r="23" spans="1:12" x14ac:dyDescent="0.3">
      <c r="A23" t="s">
        <v>15</v>
      </c>
      <c r="B23" s="3">
        <v>0.08</v>
      </c>
      <c r="C23" s="4">
        <v>9000</v>
      </c>
      <c r="D23" s="2">
        <v>720</v>
      </c>
      <c r="E23" s="2">
        <v>648</v>
      </c>
      <c r="F23" s="1">
        <v>46149</v>
      </c>
      <c r="G23" s="1">
        <v>46170</v>
      </c>
      <c r="H23" s="2">
        <v>44640</v>
      </c>
      <c r="I23" s="11">
        <v>1.45</v>
      </c>
      <c r="J23" s="2">
        <v>720</v>
      </c>
      <c r="K23">
        <v>1.61</v>
      </c>
      <c r="L23">
        <v>1</v>
      </c>
    </row>
    <row r="24" spans="1:12" x14ac:dyDescent="0.3">
      <c r="A24" t="s">
        <v>25</v>
      </c>
      <c r="B24" s="3">
        <v>0.25</v>
      </c>
      <c r="C24" s="4">
        <v>3600</v>
      </c>
      <c r="D24" s="2">
        <v>900</v>
      </c>
      <c r="E24" s="2">
        <v>810</v>
      </c>
      <c r="F24" s="1">
        <v>45726</v>
      </c>
      <c r="G24" s="1">
        <v>45793</v>
      </c>
      <c r="H24" s="2">
        <v>41040</v>
      </c>
      <c r="I24" s="11">
        <v>1.97</v>
      </c>
      <c r="J24" s="2">
        <v>1260</v>
      </c>
      <c r="K24">
        <v>3.07</v>
      </c>
      <c r="L24">
        <v>0</v>
      </c>
    </row>
    <row r="25" spans="1:12" x14ac:dyDescent="0.3">
      <c r="A25" t="s">
        <v>35</v>
      </c>
      <c r="B25" s="3">
        <v>0.93</v>
      </c>
      <c r="C25" s="4">
        <v>4000</v>
      </c>
      <c r="D25" s="2">
        <v>3720</v>
      </c>
      <c r="E25" s="2">
        <v>3348</v>
      </c>
      <c r="F25" s="1">
        <v>45891</v>
      </c>
      <c r="G25" s="1">
        <v>45905</v>
      </c>
      <c r="H25" s="2">
        <v>99600</v>
      </c>
      <c r="I25" s="11">
        <v>3.36</v>
      </c>
      <c r="J25" s="2">
        <v>6920</v>
      </c>
      <c r="K25">
        <v>6.95</v>
      </c>
      <c r="L25">
        <v>0</v>
      </c>
    </row>
    <row r="26" spans="1:12" x14ac:dyDescent="0.3">
      <c r="A26" t="s">
        <v>34</v>
      </c>
      <c r="B26" s="3">
        <v>0.27</v>
      </c>
      <c r="C26" s="4">
        <v>1000</v>
      </c>
      <c r="D26" s="2">
        <v>270</v>
      </c>
      <c r="E26" s="2">
        <v>243</v>
      </c>
      <c r="F26" s="1">
        <v>45897</v>
      </c>
      <c r="G26" s="1">
        <v>45912</v>
      </c>
      <c r="H26" s="2">
        <v>26000</v>
      </c>
      <c r="I26" s="11">
        <v>0.93</v>
      </c>
      <c r="J26" s="2">
        <v>630</v>
      </c>
      <c r="K26">
        <v>2.42</v>
      </c>
      <c r="L26">
        <v>0</v>
      </c>
    </row>
    <row r="27" spans="1:12" x14ac:dyDescent="0.3">
      <c r="A27" t="s">
        <v>21</v>
      </c>
      <c r="B27" s="3">
        <v>0.17499999999999999</v>
      </c>
      <c r="C27" s="4">
        <v>7200</v>
      </c>
      <c r="D27" s="2">
        <v>1260</v>
      </c>
      <c r="E27" s="2">
        <v>1134</v>
      </c>
      <c r="F27" s="1">
        <v>45986</v>
      </c>
      <c r="G27" s="1">
        <v>46002</v>
      </c>
      <c r="H27" s="2">
        <v>288000</v>
      </c>
      <c r="I27" s="11">
        <v>0.39</v>
      </c>
      <c r="J27" s="2">
        <v>5040</v>
      </c>
      <c r="K27">
        <v>1.75</v>
      </c>
      <c r="L27">
        <v>0</v>
      </c>
    </row>
    <row r="28" spans="1:12" x14ac:dyDescent="0.3">
      <c r="E28" s="2">
        <f>SUM(E2:E27)</f>
        <v>213279.24149999997</v>
      </c>
    </row>
    <row r="29" spans="1:12" x14ac:dyDescent="0.3">
      <c r="A29" t="s">
        <v>12</v>
      </c>
      <c r="B29" s="3">
        <v>0.22412299999999999</v>
      </c>
      <c r="C29" s="4">
        <v>30000</v>
      </c>
      <c r="D29" s="2">
        <f>B29*C29</f>
        <v>6723.69</v>
      </c>
      <c r="E29" s="2">
        <f>D29*0.9</f>
        <v>6051.3209999999999</v>
      </c>
      <c r="F29" s="1">
        <v>46066</v>
      </c>
      <c r="G29" s="1">
        <v>46085</v>
      </c>
      <c r="H29" s="2">
        <v>1212000</v>
      </c>
      <c r="I29" s="11">
        <v>2</v>
      </c>
      <c r="J29" s="2">
        <v>61908</v>
      </c>
      <c r="K29">
        <v>5.1100000000000003</v>
      </c>
      <c r="L29">
        <v>1</v>
      </c>
    </row>
    <row r="30" spans="1:12" x14ac:dyDescent="0.3">
      <c r="E30" s="2">
        <f>E2+E29</f>
        <v>30256.605</v>
      </c>
    </row>
    <row r="31" spans="1:12" x14ac:dyDescent="0.3">
      <c r="A31" t="s">
        <v>18</v>
      </c>
      <c r="B31" s="3">
        <v>0.27939999999999998</v>
      </c>
      <c r="C31" s="4">
        <v>24000</v>
      </c>
      <c r="D31" s="2">
        <f>B31*C31</f>
        <v>6705.5999999999995</v>
      </c>
      <c r="E31" s="2">
        <f>D31</f>
        <v>6705.5999999999995</v>
      </c>
      <c r="F31" s="1">
        <v>46092</v>
      </c>
      <c r="G31" s="1">
        <v>46108</v>
      </c>
      <c r="H31">
        <v>1</v>
      </c>
      <c r="I31"/>
      <c r="J31"/>
    </row>
    <row r="32" spans="1:12" x14ac:dyDescent="0.3">
      <c r="E32" s="2">
        <f>E8+E31</f>
        <v>20535.899999999998</v>
      </c>
    </row>
  </sheetData>
  <sortState xmlns:xlrd2="http://schemas.microsoft.com/office/spreadsheetml/2017/richdata2" ref="A2:L27">
    <sortCondition descending="1" ref="L2:L27"/>
    <sortCondition ref="G2:G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dividend-q4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 Soontarinka</cp:lastModifiedBy>
  <dcterms:created xsi:type="dcterms:W3CDTF">2026-03-01T03:30:36Z</dcterms:created>
  <dcterms:modified xsi:type="dcterms:W3CDTF">2026-03-01T03:53:38Z</dcterms:modified>
</cp:coreProperties>
</file>