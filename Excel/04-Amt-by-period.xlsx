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429" documentId="11_4407D90E547F242EEA22E4B75BC69E7FC8C566A2" xr6:coauthVersionLast="47" xr6:coauthVersionMax="47" xr10:uidLastSave="{BBD02566-3CCE-49D6-9121-412540491EE6}"/>
  <bookViews>
    <workbookView xWindow="10656" yWindow="912" windowWidth="12408" windowHeight="11496" xr2:uid="{00000000-000D-0000-FFFF-FFFF00000000}"/>
  </bookViews>
  <sheets>
    <sheet name="261002" sheetId="32" r:id="rId1"/>
    <sheet name="260831" sheetId="31" r:id="rId2"/>
    <sheet name="260731" sheetId="30" r:id="rId3"/>
    <sheet name="260630" sheetId="29" r:id="rId4"/>
    <sheet name="260529" sheetId="28" r:id="rId5"/>
    <sheet name="260430" sheetId="27" r:id="rId6"/>
    <sheet name="260327" sheetId="26" r:id="rId7"/>
    <sheet name="260227" sheetId="25" r:id="rId8"/>
    <sheet name="260130" sheetId="24" r:id="rId9"/>
    <sheet name="251230" sheetId="23" r:id="rId10"/>
    <sheet name="251128" sheetId="22" r:id="rId11"/>
    <sheet name="251031" sheetId="21" r:id="rId12"/>
    <sheet name="250926" sheetId="20" r:id="rId13"/>
    <sheet name="250919" sheetId="19" r:id="rId14"/>
    <sheet name="250912" sheetId="18" r:id="rId15"/>
    <sheet name="250905" sheetId="17" r:id="rId16"/>
    <sheet name="250815" sheetId="16" r:id="rId17"/>
    <sheet name="250808" sheetId="15" r:id="rId18"/>
    <sheet name="250718" sheetId="14" r:id="rId19"/>
    <sheet name="250704" sheetId="13" r:id="rId20"/>
    <sheet name="250627" sheetId="12" r:id="rId21"/>
    <sheet name="250620" sheetId="11" r:id="rId22"/>
    <sheet name="250613" sheetId="10" r:id="rId23"/>
    <sheet name="250530" sheetId="9" r:id="rId24"/>
    <sheet name="250523" sheetId="8" r:id="rId25"/>
    <sheet name="250516" sheetId="7" r:id="rId26"/>
    <sheet name="250509" sheetId="6" r:id="rId27"/>
    <sheet name="250502" sheetId="5" r:id="rId28"/>
    <sheet name="250411" sheetId="4" r:id="rId29"/>
    <sheet name="250221" sheetId="3" r:id="rId30"/>
    <sheet name="250131" sheetId="2" r:id="rId31"/>
    <sheet name="1230" sheetId="1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2" l="1"/>
  <c r="D10" i="32"/>
  <c r="D9" i="32"/>
  <c r="C7" i="32"/>
  <c r="B7" i="32"/>
  <c r="B11" i="32" s="1"/>
  <c r="D6" i="32"/>
  <c r="D5" i="32"/>
  <c r="D4" i="32"/>
  <c r="E2" i="32"/>
  <c r="E11" i="31"/>
  <c r="D10" i="31"/>
  <c r="D9" i="31"/>
  <c r="C7" i="31"/>
  <c r="B7" i="31"/>
  <c r="B11" i="31" s="1"/>
  <c r="D6" i="31"/>
  <c r="D5" i="31"/>
  <c r="D4" i="31"/>
  <c r="E2" i="31"/>
  <c r="E11" i="30"/>
  <c r="D10" i="30"/>
  <c r="D9" i="30"/>
  <c r="C7" i="30"/>
  <c r="B7" i="30"/>
  <c r="B11" i="30" s="1"/>
  <c r="D6" i="30"/>
  <c r="D5" i="30"/>
  <c r="D4" i="30"/>
  <c r="E2" i="30"/>
  <c r="E11" i="29"/>
  <c r="D10" i="29"/>
  <c r="D9" i="29"/>
  <c r="C7" i="29"/>
  <c r="B7" i="29"/>
  <c r="B11" i="29" s="1"/>
  <c r="D6" i="29"/>
  <c r="D5" i="29"/>
  <c r="D4" i="29"/>
  <c r="E2" i="29"/>
  <c r="E11" i="28"/>
  <c r="D10" i="28"/>
  <c r="D9" i="28"/>
  <c r="C7" i="28"/>
  <c r="B7" i="28"/>
  <c r="B11" i="28" s="1"/>
  <c r="D6" i="28"/>
  <c r="D5" i="28"/>
  <c r="D4" i="28"/>
  <c r="E2" i="28"/>
  <c r="E11" i="27"/>
  <c r="D10" i="27"/>
  <c r="D9" i="27"/>
  <c r="C7" i="27"/>
  <c r="C11" i="27" s="1"/>
  <c r="B7" i="27"/>
  <c r="B11" i="27" s="1"/>
  <c r="D6" i="27"/>
  <c r="D5" i="27"/>
  <c r="D4" i="27"/>
  <c r="E2" i="27"/>
  <c r="E2" i="26"/>
  <c r="E11" i="26"/>
  <c r="D10" i="26"/>
  <c r="D9" i="26"/>
  <c r="C7" i="26"/>
  <c r="C11" i="26" s="1"/>
  <c r="B7" i="26"/>
  <c r="B11" i="26" s="1"/>
  <c r="D6" i="26"/>
  <c r="D5" i="26"/>
  <c r="D4" i="26"/>
  <c r="E11" i="25"/>
  <c r="D10" i="25"/>
  <c r="D9" i="25"/>
  <c r="C7" i="25"/>
  <c r="C11" i="25" s="1"/>
  <c r="B7" i="25"/>
  <c r="B11" i="25" s="1"/>
  <c r="D6" i="25"/>
  <c r="D5" i="25"/>
  <c r="D4" i="25"/>
  <c r="E2" i="25"/>
  <c r="E2" i="24"/>
  <c r="E11" i="24"/>
  <c r="D10" i="24"/>
  <c r="D9" i="24"/>
  <c r="C7" i="24"/>
  <c r="C11" i="24" s="1"/>
  <c r="B7" i="24"/>
  <c r="B11" i="24" s="1"/>
  <c r="D6" i="24"/>
  <c r="D5" i="24"/>
  <c r="D4" i="24"/>
  <c r="E11" i="23"/>
  <c r="D10" i="23"/>
  <c r="D9" i="23"/>
  <c r="C7" i="23"/>
  <c r="B7" i="23"/>
  <c r="B11" i="23" s="1"/>
  <c r="D6" i="23"/>
  <c r="D5" i="23"/>
  <c r="D4" i="23"/>
  <c r="E2" i="23"/>
  <c r="E11" i="22"/>
  <c r="D10" i="22"/>
  <c r="D9" i="22"/>
  <c r="C7" i="22"/>
  <c r="C11" i="22" s="1"/>
  <c r="B7" i="22"/>
  <c r="B11" i="22" s="1"/>
  <c r="D6" i="22"/>
  <c r="D5" i="22"/>
  <c r="D4" i="22"/>
  <c r="E2" i="22"/>
  <c r="E11" i="21"/>
  <c r="D10" i="21"/>
  <c r="D9" i="21"/>
  <c r="C7" i="21"/>
  <c r="C11" i="21" s="1"/>
  <c r="B7" i="21"/>
  <c r="B11" i="21" s="1"/>
  <c r="D6" i="21"/>
  <c r="D5" i="21"/>
  <c r="D4" i="21"/>
  <c r="E2" i="21"/>
  <c r="E11" i="20"/>
  <c r="D10" i="20"/>
  <c r="D9" i="20"/>
  <c r="C7" i="20"/>
  <c r="C11" i="20" s="1"/>
  <c r="B7" i="20"/>
  <c r="B11" i="20" s="1"/>
  <c r="D6" i="20"/>
  <c r="D5" i="20"/>
  <c r="D4" i="20"/>
  <c r="E2" i="20"/>
  <c r="E11" i="19"/>
  <c r="D10" i="19"/>
  <c r="D9" i="19"/>
  <c r="C7" i="19"/>
  <c r="C11" i="19" s="1"/>
  <c r="B7" i="19"/>
  <c r="D6" i="19"/>
  <c r="D5" i="19"/>
  <c r="D4" i="19"/>
  <c r="E2" i="19"/>
  <c r="E2" i="18"/>
  <c r="E11" i="18"/>
  <c r="D10" i="18"/>
  <c r="D9" i="18"/>
  <c r="C7" i="18"/>
  <c r="C11" i="18" s="1"/>
  <c r="B7" i="18"/>
  <c r="B11" i="18" s="1"/>
  <c r="D6" i="18"/>
  <c r="D5" i="18"/>
  <c r="D4" i="18"/>
  <c r="E11" i="17"/>
  <c r="D10" i="17"/>
  <c r="D9" i="17"/>
  <c r="C7" i="17"/>
  <c r="C11" i="17" s="1"/>
  <c r="B7" i="17"/>
  <c r="B11" i="17" s="1"/>
  <c r="D6" i="17"/>
  <c r="D5" i="17"/>
  <c r="D4" i="17"/>
  <c r="E2" i="17"/>
  <c r="E11" i="16"/>
  <c r="D10" i="16"/>
  <c r="D9" i="16"/>
  <c r="C7" i="16"/>
  <c r="C11" i="16" s="1"/>
  <c r="B7" i="16"/>
  <c r="B11" i="16" s="1"/>
  <c r="D6" i="16"/>
  <c r="D5" i="16"/>
  <c r="D4" i="16"/>
  <c r="E2" i="16"/>
  <c r="E11" i="15"/>
  <c r="D10" i="15"/>
  <c r="D9" i="15"/>
  <c r="C7" i="15"/>
  <c r="C11" i="15" s="1"/>
  <c r="B7" i="15"/>
  <c r="B11" i="15" s="1"/>
  <c r="D6" i="15"/>
  <c r="D5" i="15"/>
  <c r="D4" i="15"/>
  <c r="E2" i="15"/>
  <c r="E11" i="14"/>
  <c r="D10" i="14"/>
  <c r="D9" i="14"/>
  <c r="C7" i="14"/>
  <c r="C11" i="14" s="1"/>
  <c r="B7" i="14"/>
  <c r="B11" i="14" s="1"/>
  <c r="D6" i="14"/>
  <c r="D5" i="14"/>
  <c r="D4" i="14"/>
  <c r="E2" i="14"/>
  <c r="E11" i="13"/>
  <c r="D10" i="13"/>
  <c r="D9" i="13"/>
  <c r="C7" i="13"/>
  <c r="B7" i="13"/>
  <c r="B11" i="13" s="1"/>
  <c r="D6" i="13"/>
  <c r="D5" i="13"/>
  <c r="D4" i="13"/>
  <c r="E2" i="13"/>
  <c r="E11" i="12"/>
  <c r="D10" i="12"/>
  <c r="D9" i="12"/>
  <c r="C7" i="12"/>
  <c r="C11" i="12" s="1"/>
  <c r="B7" i="12"/>
  <c r="B11" i="12" s="1"/>
  <c r="D6" i="12"/>
  <c r="D5" i="12"/>
  <c r="D4" i="12"/>
  <c r="E2" i="12"/>
  <c r="D4" i="11"/>
  <c r="E11" i="11"/>
  <c r="D10" i="11"/>
  <c r="D9" i="11"/>
  <c r="C7" i="11"/>
  <c r="C11" i="11" s="1"/>
  <c r="B7" i="11"/>
  <c r="B11" i="11" s="1"/>
  <c r="D6" i="11"/>
  <c r="D5" i="11"/>
  <c r="E2" i="11"/>
  <c r="D4" i="10" a="1"/>
  <c r="E11" i="10"/>
  <c r="D10" i="10"/>
  <c r="D9" i="10"/>
  <c r="C7" i="10"/>
  <c r="C11" i="10" s="1"/>
  <c r="B7" i="10"/>
  <c r="B11" i="10" s="1"/>
  <c r="D6" i="10"/>
  <c r="D5" i="10"/>
  <c r="E2" i="10"/>
  <c r="E11" i="9"/>
  <c r="D10" i="9"/>
  <c r="D9" i="9"/>
  <c r="C7" i="9"/>
  <c r="C11" i="9" s="1"/>
  <c r="B7" i="9"/>
  <c r="B11" i="9" s="1"/>
  <c r="D6" i="9"/>
  <c r="D5" i="9"/>
  <c r="D4" i="9"/>
  <c r="E2" i="9"/>
  <c r="E11" i="8"/>
  <c r="D10" i="8"/>
  <c r="D9" i="8"/>
  <c r="C7" i="8"/>
  <c r="B7" i="8"/>
  <c r="B11" i="8" s="1"/>
  <c r="D6" i="8"/>
  <c r="D5" i="8"/>
  <c r="D4" i="8"/>
  <c r="E2" i="8"/>
  <c r="E11" i="7"/>
  <c r="D10" i="7"/>
  <c r="D9" i="7"/>
  <c r="C7" i="7"/>
  <c r="C11" i="7" s="1"/>
  <c r="B7" i="7"/>
  <c r="B11" i="7" s="1"/>
  <c r="D6" i="7"/>
  <c r="D5" i="7"/>
  <c r="D4" i="7"/>
  <c r="E2" i="7"/>
  <c r="E11" i="6"/>
  <c r="D10" i="6"/>
  <c r="D9" i="6"/>
  <c r="C7" i="6"/>
  <c r="C11" i="6" s="1"/>
  <c r="B7" i="6"/>
  <c r="B11" i="6" s="1"/>
  <c r="D6" i="6"/>
  <c r="D5" i="6"/>
  <c r="D4" i="6"/>
  <c r="E2" i="6"/>
  <c r="D10" i="5"/>
  <c r="E11" i="5"/>
  <c r="D9" i="5"/>
  <c r="C7" i="5"/>
  <c r="C11" i="5" s="1"/>
  <c r="B7" i="5"/>
  <c r="B11" i="5" s="1"/>
  <c r="D6" i="5"/>
  <c r="D5" i="5"/>
  <c r="D4" i="5"/>
  <c r="E2" i="5"/>
  <c r="C7" i="4"/>
  <c r="C11" i="4" s="1"/>
  <c r="E11" i="4"/>
  <c r="D10" i="4"/>
  <c r="D9" i="4"/>
  <c r="B7" i="4"/>
  <c r="B11" i="4" s="1"/>
  <c r="D6" i="4"/>
  <c r="D5" i="4"/>
  <c r="D4" i="4"/>
  <c r="E2" i="4"/>
  <c r="E2" i="3"/>
  <c r="E11" i="3"/>
  <c r="D10" i="3"/>
  <c r="D9" i="3"/>
  <c r="C7" i="3"/>
  <c r="C11" i="3" s="1"/>
  <c r="B7" i="3"/>
  <c r="B11" i="3" s="1"/>
  <c r="D6" i="3"/>
  <c r="D5" i="3"/>
  <c r="D4" i="3"/>
  <c r="E11" i="2"/>
  <c r="D10" i="2"/>
  <c r="D9" i="2"/>
  <c r="C7" i="2"/>
  <c r="C11" i="2" s="1"/>
  <c r="B7" i="2"/>
  <c r="B11" i="2" s="1"/>
  <c r="D6" i="2"/>
  <c r="D5" i="2"/>
  <c r="D4" i="2"/>
  <c r="E2" i="2"/>
  <c r="E11" i="1"/>
  <c r="C11" i="1"/>
  <c r="D11" i="1" s="1"/>
  <c r="B11" i="1"/>
  <c r="D10" i="1"/>
  <c r="D9" i="1"/>
  <c r="D7" i="1"/>
  <c r="C7" i="1"/>
  <c r="B7" i="1"/>
  <c r="D6" i="1"/>
  <c r="D5" i="1"/>
  <c r="D4" i="1"/>
  <c r="E2" i="1"/>
  <c r="C11" i="32" l="1"/>
  <c r="D11" i="32" s="1"/>
  <c r="D7" i="32"/>
  <c r="C11" i="31"/>
  <c r="D11" i="31" s="1"/>
  <c r="D7" i="31"/>
  <c r="C11" i="30"/>
  <c r="D11" i="30" s="1"/>
  <c r="D7" i="30"/>
  <c r="C11" i="29"/>
  <c r="D11" i="29" s="1"/>
  <c r="D7" i="29"/>
  <c r="C11" i="28"/>
  <c r="D11" i="28" s="1"/>
  <c r="D7" i="28"/>
  <c r="D11" i="27"/>
  <c r="D7" i="27"/>
  <c r="D11" i="26"/>
  <c r="D7" i="26"/>
  <c r="D11" i="25"/>
  <c r="D7" i="25"/>
  <c r="D11" i="24"/>
  <c r="D7" i="24"/>
  <c r="C11" i="23"/>
  <c r="D11" i="23" s="1"/>
  <c r="D7" i="23"/>
  <c r="D11" i="22"/>
  <c r="D7" i="22"/>
  <c r="D11" i="21"/>
  <c r="D7" i="21"/>
  <c r="D7" i="20"/>
  <c r="D11" i="20"/>
  <c r="D7" i="19"/>
  <c r="B11" i="19"/>
  <c r="D11" i="19"/>
  <c r="D11" i="18"/>
  <c r="D7" i="18"/>
  <c r="D11" i="17"/>
  <c r="D7" i="17"/>
  <c r="D11" i="16"/>
  <c r="D7" i="16"/>
  <c r="D11" i="15"/>
  <c r="D7" i="15"/>
  <c r="D11" i="14"/>
  <c r="D7" i="14"/>
  <c r="D7" i="13"/>
  <c r="C11" i="13"/>
  <c r="D11" i="13" s="1"/>
  <c r="D11" i="12"/>
  <c r="D7" i="12"/>
  <c r="D11" i="11"/>
  <c r="D7" i="11"/>
  <c r="D11" i="10"/>
  <c r="D7" i="10"/>
  <c r="D11" i="9"/>
  <c r="D7" i="9"/>
  <c r="D7" i="8"/>
  <c r="C11" i="8"/>
  <c r="D11" i="8"/>
  <c r="D11" i="7"/>
  <c r="D7" i="7"/>
  <c r="D11" i="6"/>
  <c r="D7" i="6"/>
  <c r="D11" i="5"/>
  <c r="D7" i="5"/>
  <c r="D11" i="4"/>
  <c r="D7" i="4"/>
  <c r="D11" i="3"/>
  <c r="D7" i="3"/>
  <c r="D11" i="2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<sst xmlns="http://schemas.openxmlformats.org/spreadsheetml/2006/main" count="576" uniqueCount="9">
  <si>
    <t>As end of</t>
  </si>
  <si>
    <t>Index</t>
  </si>
  <si>
    <t>Period</t>
  </si>
  <si>
    <t>Cost</t>
  </si>
  <si>
    <t>Profit</t>
  </si>
  <si>
    <t>Percent</t>
  </si>
  <si>
    <t>Stocks</t>
  </si>
  <si>
    <t>Yearly Dividend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</si>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</sst>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฿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ourier New"/>
    </font>
    <font>
      <sz val="11"/>
      <color theme="1"/>
      <name val="Courier New"/>
    </font>
    <font>
      <sz val="11"/>
      <color rgb="FF000000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64" fontId="3" fillId="2" borderId="0" xfId="0" applyNumberFormat="1" applyFont="1" applyFill="1" applyAlignment="1">
      <alignment wrapText="1"/>
    </xf>
    <xf numFmtId="10" fontId="0" fillId="0" borderId="0" xfId="0" applyNumberFormat="1"/>
    <xf numFmtId="16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7943-A055-4A0B-A3F9-5633BF23B626}">
  <dimension ref="A1:E23"/>
  <sheetViews>
    <sheetView tabSelected="1"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46297</v>
      </c>
      <c r="D1" t="s">
        <v>1</v>
      </c>
      <c r="E1">
        <v>1571.62</v>
      </c>
    </row>
    <row r="2" spans="1:5" x14ac:dyDescent="0.3">
      <c r="E2" s="8">
        <f>(E1-E13)/E13</f>
        <v>-1.4757140349557531E-2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2093000</v>
      </c>
      <c r="C4" s="7">
        <v>-379800</v>
      </c>
      <c r="D4" s="5">
        <f>C4/B4</f>
        <v>-0.18146201624462494</v>
      </c>
      <c r="E4">
        <v>5</v>
      </c>
    </row>
    <row r="5" spans="1:5" x14ac:dyDescent="0.3">
      <c r="A5" s="4">
        <v>3</v>
      </c>
      <c r="B5" s="7">
        <v>1355940</v>
      </c>
      <c r="C5" s="7">
        <v>-514735</v>
      </c>
      <c r="D5" s="5">
        <f>C5/B5</f>
        <v>-0.37961487971444163</v>
      </c>
      <c r="E5">
        <v>8</v>
      </c>
    </row>
    <row r="6" spans="1:5" x14ac:dyDescent="0.3">
      <c r="A6" s="4">
        <v>1</v>
      </c>
      <c r="B6" s="7">
        <v>1363290</v>
      </c>
      <c r="C6" s="7">
        <v>-701130</v>
      </c>
      <c r="D6" s="5">
        <f>C6/B6</f>
        <v>-0.51429263032810335</v>
      </c>
      <c r="E6">
        <v>6</v>
      </c>
    </row>
    <row r="7" spans="1:5" x14ac:dyDescent="0.3">
      <c r="A7" s="4"/>
      <c r="B7" s="6">
        <f>SUM(B4:B6)</f>
        <v>4812230</v>
      </c>
      <c r="C7" s="6">
        <f>SUM(C4:C6)</f>
        <v>-1595665</v>
      </c>
      <c r="D7" s="5">
        <f>C7/B7</f>
        <v>-0.3315853564771426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5954250</v>
      </c>
      <c r="C9" s="7">
        <v>-1414225</v>
      </c>
      <c r="D9" s="5">
        <f>C9/B9</f>
        <v>-0.23751522022085064</v>
      </c>
      <c r="E9">
        <v>10</v>
      </c>
    </row>
    <row r="10" spans="1:5" x14ac:dyDescent="0.3">
      <c r="B10" s="7"/>
      <c r="C10" s="7">
        <v>389448</v>
      </c>
      <c r="D10" s="5">
        <f>C10/B9</f>
        <v>6.5406726287945582E-2</v>
      </c>
    </row>
    <row r="11" spans="1:5" x14ac:dyDescent="0.3">
      <c r="A11" s="1" t="s">
        <v>8</v>
      </c>
      <c r="B11" s="6">
        <f>B7+B9</f>
        <v>10766480</v>
      </c>
      <c r="C11" s="6">
        <f>C7+C9</f>
        <v>-3009890</v>
      </c>
      <c r="D11" s="5">
        <f>C11/B11</f>
        <v>-0.27956119363060167</v>
      </c>
      <c r="E11">
        <f>E4+E5+E6+E9</f>
        <v>29</v>
      </c>
    </row>
    <row r="13" spans="1:5" x14ac:dyDescent="0.3">
      <c r="B13" s="1" t="s">
        <v>0</v>
      </c>
      <c r="C13" s="9">
        <v>46265</v>
      </c>
      <c r="D13" t="s">
        <v>1</v>
      </c>
      <c r="E13">
        <v>1595.16</v>
      </c>
    </row>
    <row r="14" spans="1:5" x14ac:dyDescent="0.3">
      <c r="E14" s="8">
        <v>-1.7540834175063448E-2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1553940</v>
      </c>
      <c r="C16" s="7">
        <v>-689540</v>
      </c>
      <c r="D16" s="5">
        <v>-0.44373656640539533</v>
      </c>
      <c r="E16">
        <v>6</v>
      </c>
    </row>
    <row r="17" spans="1:5" x14ac:dyDescent="0.3">
      <c r="A17" s="4">
        <v>3</v>
      </c>
      <c r="B17" s="7">
        <v>1734000</v>
      </c>
      <c r="C17" s="7">
        <v>-212910</v>
      </c>
      <c r="D17" s="5">
        <v>-0.12278546712802768</v>
      </c>
      <c r="E17">
        <v>6</v>
      </c>
    </row>
    <row r="18" spans="1:5" x14ac:dyDescent="0.3">
      <c r="A18" s="4">
        <v>1</v>
      </c>
      <c r="B18" s="7">
        <v>892890</v>
      </c>
      <c r="C18" s="7">
        <v>-389110</v>
      </c>
      <c r="D18" s="5">
        <v>-0.43578716303240039</v>
      </c>
      <c r="E18">
        <v>5</v>
      </c>
    </row>
    <row r="19" spans="1:5" x14ac:dyDescent="0.3">
      <c r="A19" s="4"/>
      <c r="B19" s="6">
        <v>4180830</v>
      </c>
      <c r="C19" s="6">
        <v>-1291560</v>
      </c>
      <c r="D19" s="5">
        <v>-0.30892430450412955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6433650</v>
      </c>
      <c r="C21" s="7">
        <v>-1639175</v>
      </c>
      <c r="D21" s="5">
        <v>-0.25478150039246772</v>
      </c>
      <c r="E21">
        <v>12</v>
      </c>
    </row>
    <row r="22" spans="1:5" x14ac:dyDescent="0.3">
      <c r="B22" s="7"/>
      <c r="C22" s="7">
        <v>390129</v>
      </c>
      <c r="D22" s="5">
        <v>6.0638828658692967E-2</v>
      </c>
    </row>
    <row r="23" spans="1:5" x14ac:dyDescent="0.3">
      <c r="A23" s="1" t="s">
        <v>8</v>
      </c>
      <c r="B23" s="6">
        <v>10614480</v>
      </c>
      <c r="C23" s="6">
        <v>-2930735</v>
      </c>
      <c r="D23" s="5">
        <v>-0.27610726102456268</v>
      </c>
      <c r="E2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B6A3-F0B7-4C1A-9654-149C43FA0F5A}">
  <dimension ref="A1:E23"/>
  <sheetViews>
    <sheetView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46265</v>
      </c>
      <c r="D1" t="s">
        <v>1</v>
      </c>
      <c r="E1">
        <v>1595.16</v>
      </c>
    </row>
    <row r="2" spans="1:5" x14ac:dyDescent="0.3">
      <c r="E2" s="8">
        <f>(E1-E13)/E13</f>
        <v>-1.7540834175063448E-2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1553940</v>
      </c>
      <c r="C4" s="7">
        <v>-689540</v>
      </c>
      <c r="D4" s="5">
        <f>C4/B4</f>
        <v>-0.44373656640539533</v>
      </c>
      <c r="E4">
        <v>6</v>
      </c>
    </row>
    <row r="5" spans="1:5" x14ac:dyDescent="0.3">
      <c r="A5" s="4">
        <v>3</v>
      </c>
      <c r="B5" s="7">
        <v>1734000</v>
      </c>
      <c r="C5" s="7">
        <v>-212910</v>
      </c>
      <c r="D5" s="5">
        <f>C5/B5</f>
        <v>-0.12278546712802768</v>
      </c>
      <c r="E5">
        <v>6</v>
      </c>
    </row>
    <row r="6" spans="1:5" x14ac:dyDescent="0.3">
      <c r="A6" s="4">
        <v>1</v>
      </c>
      <c r="B6" s="7">
        <v>892890</v>
      </c>
      <c r="C6" s="7">
        <v>-389110</v>
      </c>
      <c r="D6" s="5">
        <f>C6/B6</f>
        <v>-0.43578716303240039</v>
      </c>
      <c r="E6">
        <v>5</v>
      </c>
    </row>
    <row r="7" spans="1:5" x14ac:dyDescent="0.3">
      <c r="A7" s="4"/>
      <c r="B7" s="6">
        <f>SUM(B4:B6)</f>
        <v>4180830</v>
      </c>
      <c r="C7" s="6">
        <f>SUM(C4:C6)</f>
        <v>-1291560</v>
      </c>
      <c r="D7" s="5">
        <f>C7/B7</f>
        <v>-0.30892430450412955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6433650</v>
      </c>
      <c r="C9" s="7">
        <v>-1639175</v>
      </c>
      <c r="D9" s="5">
        <f>C9/B9</f>
        <v>-0.25478150039246772</v>
      </c>
      <c r="E9">
        <v>12</v>
      </c>
    </row>
    <row r="10" spans="1:5" x14ac:dyDescent="0.3">
      <c r="B10" s="7"/>
      <c r="C10" s="7">
        <v>390129</v>
      </c>
      <c r="D10" s="5">
        <f>C10/B9</f>
        <v>6.0638828658692967E-2</v>
      </c>
    </row>
    <row r="11" spans="1:5" x14ac:dyDescent="0.3">
      <c r="A11" s="1" t="s">
        <v>8</v>
      </c>
      <c r="B11" s="6">
        <f>B7+B9</f>
        <v>10614480</v>
      </c>
      <c r="C11" s="6">
        <f>C7+C9</f>
        <v>-2930735</v>
      </c>
      <c r="D11" s="5">
        <f>C11/B11</f>
        <v>-0.27610726102456268</v>
      </c>
      <c r="E11">
        <f>E4+E5+E6+E9</f>
        <v>29</v>
      </c>
    </row>
    <row r="13" spans="1:5" x14ac:dyDescent="0.3">
      <c r="B13" s="1" t="s">
        <v>0</v>
      </c>
      <c r="C13" s="9">
        <v>46234</v>
      </c>
      <c r="D13" t="s">
        <v>1</v>
      </c>
      <c r="E13">
        <v>1623.64</v>
      </c>
    </row>
    <row r="14" spans="1:5" x14ac:dyDescent="0.3">
      <c r="E14" s="8">
        <v>3.5240408832099702E-2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1001900</v>
      </c>
      <c r="C16" s="7">
        <v>-655780</v>
      </c>
      <c r="D16" s="5">
        <v>-0.65453638087633492</v>
      </c>
      <c r="E16">
        <v>3</v>
      </c>
    </row>
    <row r="17" spans="1:5" x14ac:dyDescent="0.3">
      <c r="A17" s="4">
        <v>3</v>
      </c>
      <c r="B17" s="7">
        <v>2227540</v>
      </c>
      <c r="C17" s="7">
        <v>-488140</v>
      </c>
      <c r="D17" s="5">
        <v>-0.21913860132702442</v>
      </c>
      <c r="E17">
        <v>10</v>
      </c>
    </row>
    <row r="18" spans="1:5" x14ac:dyDescent="0.3">
      <c r="A18" s="4">
        <v>1</v>
      </c>
      <c r="B18" s="7">
        <v>837300</v>
      </c>
      <c r="C18" s="7">
        <v>-359400</v>
      </c>
      <c r="D18" s="5">
        <v>-0.42923683267646007</v>
      </c>
      <c r="E18">
        <v>3</v>
      </c>
    </row>
    <row r="19" spans="1:5" x14ac:dyDescent="0.3">
      <c r="A19" s="4"/>
      <c r="B19" s="6">
        <v>4066740</v>
      </c>
      <c r="C19" s="6">
        <v>-1503320</v>
      </c>
      <c r="D19" s="5">
        <v>-0.36966218641958914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6531800</v>
      </c>
      <c r="C21" s="7">
        <v>-1645950</v>
      </c>
      <c r="D21" s="5">
        <v>-0.2519902630209131</v>
      </c>
      <c r="E21">
        <v>13</v>
      </c>
    </row>
    <row r="22" spans="1:5" x14ac:dyDescent="0.3">
      <c r="B22" s="7"/>
      <c r="C22" s="7">
        <v>389724</v>
      </c>
      <c r="D22" s="5">
        <v>5.9665635812486607E-2</v>
      </c>
    </row>
    <row r="23" spans="1:5" x14ac:dyDescent="0.3">
      <c r="A23" s="1" t="s">
        <v>8</v>
      </c>
      <c r="B23" s="6">
        <v>10598540</v>
      </c>
      <c r="C23" s="6">
        <v>-3149270</v>
      </c>
      <c r="D23" s="5">
        <v>-0.29714187048404778</v>
      </c>
      <c r="E23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C668-5D49-4AB2-9F94-F19A8F1102A3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46234</v>
      </c>
      <c r="D1" t="s">
        <v>1</v>
      </c>
      <c r="E1">
        <v>1623.64</v>
      </c>
    </row>
    <row r="2" spans="1:5" x14ac:dyDescent="0.3">
      <c r="E2" s="8">
        <f>(E1-E13)/E13</f>
        <v>3.5240408832099702E-2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1001900</v>
      </c>
      <c r="C4" s="7">
        <v>-655780</v>
      </c>
      <c r="D4" s="5">
        <f>C4/B4</f>
        <v>-0.65453638087633492</v>
      </c>
      <c r="E4">
        <v>3</v>
      </c>
    </row>
    <row r="5" spans="1:5" x14ac:dyDescent="0.3">
      <c r="A5" s="4">
        <v>3</v>
      </c>
      <c r="B5" s="7">
        <v>2227540</v>
      </c>
      <c r="C5" s="7">
        <v>-488140</v>
      </c>
      <c r="D5" s="5">
        <f>C5/B5</f>
        <v>-0.21913860132702442</v>
      </c>
      <c r="E5">
        <v>10</v>
      </c>
    </row>
    <row r="6" spans="1:5" x14ac:dyDescent="0.3">
      <c r="A6" s="4">
        <v>1</v>
      </c>
      <c r="B6" s="7">
        <v>837300</v>
      </c>
      <c r="C6" s="7">
        <v>-359400</v>
      </c>
      <c r="D6" s="5">
        <f>C6/B6</f>
        <v>-0.42923683267646007</v>
      </c>
      <c r="E6">
        <v>3</v>
      </c>
    </row>
    <row r="7" spans="1:5" x14ac:dyDescent="0.3">
      <c r="A7" s="4"/>
      <c r="B7" s="6">
        <f>SUM(B4:B6)</f>
        <v>4066740</v>
      </c>
      <c r="C7" s="6">
        <f>SUM(C4:C6)</f>
        <v>-1503320</v>
      </c>
      <c r="D7" s="5">
        <f>C7/B7</f>
        <v>-0.36966218641958914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6531800</v>
      </c>
      <c r="C9" s="7">
        <v>-1645950</v>
      </c>
      <c r="D9" s="5">
        <f>C9/B9</f>
        <v>-0.2519902630209131</v>
      </c>
      <c r="E9">
        <v>13</v>
      </c>
    </row>
    <row r="10" spans="1:5" x14ac:dyDescent="0.3">
      <c r="B10" s="7"/>
      <c r="C10" s="7">
        <v>389724</v>
      </c>
      <c r="D10" s="5">
        <f>C10/B9</f>
        <v>5.9665635812486607E-2</v>
      </c>
    </row>
    <row r="11" spans="1:5" x14ac:dyDescent="0.3">
      <c r="A11" s="1" t="s">
        <v>8</v>
      </c>
      <c r="B11" s="6">
        <f>B7+B9</f>
        <v>10598540</v>
      </c>
      <c r="C11" s="6">
        <f>C7+C9</f>
        <v>-3149270</v>
      </c>
      <c r="D11" s="5">
        <f>C11/B11</f>
        <v>-0.29714187048404778</v>
      </c>
      <c r="E11">
        <f>E4+E5+E6+E9</f>
        <v>29</v>
      </c>
    </row>
    <row r="13" spans="1:5" x14ac:dyDescent="0.3">
      <c r="B13" s="1" t="s">
        <v>0</v>
      </c>
      <c r="C13" s="9">
        <v>46203</v>
      </c>
      <c r="D13" t="s">
        <v>1</v>
      </c>
      <c r="E13">
        <v>1568.37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1001900</v>
      </c>
      <c r="C16" s="7">
        <v>-676300</v>
      </c>
      <c r="D16" s="5">
        <v>-0.67501746681305519</v>
      </c>
      <c r="E16">
        <v>3</v>
      </c>
    </row>
    <row r="17" spans="1:5" x14ac:dyDescent="0.3">
      <c r="A17" s="4">
        <v>3</v>
      </c>
      <c r="B17" s="7">
        <v>2227540</v>
      </c>
      <c r="C17" s="7">
        <v>-648625</v>
      </c>
      <c r="D17" s="5">
        <v>-0.29118444562162743</v>
      </c>
      <c r="E17">
        <v>10</v>
      </c>
    </row>
    <row r="18" spans="1:5" x14ac:dyDescent="0.3">
      <c r="A18" s="4">
        <v>1</v>
      </c>
      <c r="B18" s="7">
        <v>837300</v>
      </c>
      <c r="C18" s="7">
        <v>-409100</v>
      </c>
      <c r="D18" s="5">
        <v>-0.48859429117401171</v>
      </c>
      <c r="E18">
        <v>3</v>
      </c>
    </row>
    <row r="19" spans="1:5" x14ac:dyDescent="0.3">
      <c r="A19" s="4"/>
      <c r="B19" s="6">
        <v>4066740</v>
      </c>
      <c r="C19" s="6">
        <v>-1734025</v>
      </c>
      <c r="D19" s="5">
        <v>-0.42639190112965175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6531800</v>
      </c>
      <c r="C21" s="7">
        <v>-1827330</v>
      </c>
      <c r="D21" s="5">
        <v>-0.27975902507731404</v>
      </c>
      <c r="E21">
        <v>13</v>
      </c>
    </row>
    <row r="22" spans="1:5" x14ac:dyDescent="0.3">
      <c r="B22" s="7"/>
      <c r="C22" s="7">
        <v>389724</v>
      </c>
      <c r="D22" s="5">
        <v>5.9665635812486607E-2</v>
      </c>
    </row>
    <row r="23" spans="1:5" x14ac:dyDescent="0.3">
      <c r="A23" s="1" t="s">
        <v>8</v>
      </c>
      <c r="B23" s="6">
        <v>10598540</v>
      </c>
      <c r="C23" s="6">
        <v>-3561355</v>
      </c>
      <c r="D23" s="5">
        <v>-0.3360231692289693</v>
      </c>
      <c r="E23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6983-FE58-4211-BE24-E136A3ACD317}">
  <dimension ref="A1:E23"/>
  <sheetViews>
    <sheetView workbookViewId="0">
      <selection activeCell="C5" sqref="C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46203</v>
      </c>
      <c r="D1" t="s">
        <v>1</v>
      </c>
      <c r="E1">
        <v>1568.37</v>
      </c>
    </row>
    <row r="2" spans="1:5" x14ac:dyDescent="0.3">
      <c r="E2" s="8">
        <f>(E1-E13)/E13</f>
        <v>0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1001900</v>
      </c>
      <c r="C4" s="7">
        <v>-676300</v>
      </c>
      <c r="D4" s="5">
        <f>C4/B4</f>
        <v>-0.67501746681305519</v>
      </c>
      <c r="E4">
        <v>3</v>
      </c>
    </row>
    <row r="5" spans="1:5" x14ac:dyDescent="0.3">
      <c r="A5" s="4">
        <v>3</v>
      </c>
      <c r="B5" s="7">
        <v>2227540</v>
      </c>
      <c r="C5" s="7">
        <v>-648625</v>
      </c>
      <c r="D5" s="5">
        <f>C5/B5</f>
        <v>-0.29118444562162743</v>
      </c>
      <c r="E5">
        <v>10</v>
      </c>
    </row>
    <row r="6" spans="1:5" x14ac:dyDescent="0.3">
      <c r="A6" s="4">
        <v>1</v>
      </c>
      <c r="B6" s="7">
        <v>837300</v>
      </c>
      <c r="C6" s="7">
        <v>-409100</v>
      </c>
      <c r="D6" s="5">
        <f>C6/B6</f>
        <v>-0.48859429117401171</v>
      </c>
      <c r="E6">
        <v>3</v>
      </c>
    </row>
    <row r="7" spans="1:5" x14ac:dyDescent="0.3">
      <c r="A7" s="4"/>
      <c r="B7" s="6">
        <f>SUM(B4:B6)</f>
        <v>4066740</v>
      </c>
      <c r="C7" s="6">
        <f>SUM(C4:C6)</f>
        <v>-1734025</v>
      </c>
      <c r="D7" s="5">
        <f>C7/B7</f>
        <v>-0.42639190112965175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6531800</v>
      </c>
      <c r="C9" s="7">
        <v>-1827330</v>
      </c>
      <c r="D9" s="5">
        <f>C9/B9</f>
        <v>-0.27975902507731404</v>
      </c>
      <c r="E9">
        <v>13</v>
      </c>
    </row>
    <row r="10" spans="1:5" x14ac:dyDescent="0.3">
      <c r="B10" s="7"/>
      <c r="C10" s="7">
        <v>389724</v>
      </c>
      <c r="D10" s="5">
        <f>C10/B9</f>
        <v>5.9665635812486607E-2</v>
      </c>
    </row>
    <row r="11" spans="1:5" x14ac:dyDescent="0.3">
      <c r="A11" s="1" t="s">
        <v>8</v>
      </c>
      <c r="B11" s="6">
        <f>B7+B9</f>
        <v>10598540</v>
      </c>
      <c r="C11" s="6">
        <f>C7+C9</f>
        <v>-3561355</v>
      </c>
      <c r="D11" s="5">
        <f>C11/B11</f>
        <v>-0.3360231692289693</v>
      </c>
      <c r="E11">
        <f>E4+E5+E6+E9</f>
        <v>29</v>
      </c>
    </row>
    <row r="13" spans="1:5" x14ac:dyDescent="0.3">
      <c r="B13" s="1" t="s">
        <v>0</v>
      </c>
      <c r="C13" s="9">
        <v>46171</v>
      </c>
      <c r="D13" t="s">
        <v>1</v>
      </c>
      <c r="E13">
        <v>1568.37</v>
      </c>
    </row>
    <row r="14" spans="1:5" x14ac:dyDescent="0.3">
      <c r="E14" s="8">
        <v>4.9996987326687489E-2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1001900</v>
      </c>
      <c r="C16" s="7">
        <v>-670940</v>
      </c>
      <c r="D16" s="5">
        <v>-0.66966763150014974</v>
      </c>
      <c r="E16">
        <v>3</v>
      </c>
    </row>
    <row r="17" spans="1:5" x14ac:dyDescent="0.3">
      <c r="A17" s="4">
        <v>3</v>
      </c>
      <c r="B17" s="7">
        <v>2227540</v>
      </c>
      <c r="C17" s="7">
        <v>-673625</v>
      </c>
      <c r="D17" s="5">
        <v>-0.30240758864038358</v>
      </c>
      <c r="E17">
        <v>10</v>
      </c>
    </row>
    <row r="18" spans="1:5" x14ac:dyDescent="0.3">
      <c r="A18" s="4">
        <v>1</v>
      </c>
      <c r="B18" s="7">
        <v>837300</v>
      </c>
      <c r="C18" s="7">
        <v>-401700</v>
      </c>
      <c r="D18" s="5">
        <v>-0.47975635972769615</v>
      </c>
      <c r="E18">
        <v>3</v>
      </c>
    </row>
    <row r="19" spans="1:5" x14ac:dyDescent="0.3">
      <c r="A19" s="4"/>
      <c r="B19" s="6">
        <v>4066740</v>
      </c>
      <c r="C19" s="6">
        <v>-1746265</v>
      </c>
      <c r="D19" s="5">
        <v>-0.42940168292047193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6343800</v>
      </c>
      <c r="C21" s="7">
        <v>-1952095</v>
      </c>
      <c r="D21" s="5">
        <v>-0.30771698351145998</v>
      </c>
      <c r="E21">
        <v>12</v>
      </c>
    </row>
    <row r="22" spans="1:5" x14ac:dyDescent="0.3">
      <c r="B22" s="7"/>
      <c r="C22" s="7">
        <v>375294</v>
      </c>
      <c r="D22" s="5">
        <v>5.9159179040953372E-2</v>
      </c>
    </row>
    <row r="23" spans="1:5" x14ac:dyDescent="0.3">
      <c r="A23" s="1" t="s">
        <v>8</v>
      </c>
      <c r="B23" s="6">
        <v>10410540</v>
      </c>
      <c r="C23" s="6">
        <v>-3698360</v>
      </c>
      <c r="D23" s="5">
        <v>-0.35525150472501904</v>
      </c>
      <c r="E23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1667-8E08-47C3-840C-3C930D895CE8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46171</v>
      </c>
      <c r="D1" t="s">
        <v>1</v>
      </c>
      <c r="E1">
        <v>1568.37</v>
      </c>
    </row>
    <row r="2" spans="1:5" x14ac:dyDescent="0.3">
      <c r="E2" s="8">
        <f>(E1-E13)/E13</f>
        <v>4.9996987326687489E-2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1001900</v>
      </c>
      <c r="C4" s="7">
        <v>-670940</v>
      </c>
      <c r="D4" s="5">
        <f>C4/B4</f>
        <v>-0.66966763150014974</v>
      </c>
      <c r="E4">
        <v>3</v>
      </c>
    </row>
    <row r="5" spans="1:5" x14ac:dyDescent="0.3">
      <c r="A5" s="4">
        <v>3</v>
      </c>
      <c r="B5" s="7">
        <v>2227540</v>
      </c>
      <c r="C5" s="7">
        <v>-673625</v>
      </c>
      <c r="D5" s="5">
        <f>C5/B5</f>
        <v>-0.30240758864038358</v>
      </c>
      <c r="E5">
        <v>10</v>
      </c>
    </row>
    <row r="6" spans="1:5" x14ac:dyDescent="0.3">
      <c r="A6" s="4">
        <v>1</v>
      </c>
      <c r="B6" s="7">
        <v>837300</v>
      </c>
      <c r="C6" s="7">
        <v>-401700</v>
      </c>
      <c r="D6" s="5">
        <f>C6/B6</f>
        <v>-0.47975635972769615</v>
      </c>
      <c r="E6">
        <v>3</v>
      </c>
    </row>
    <row r="7" spans="1:5" x14ac:dyDescent="0.3">
      <c r="A7" s="4"/>
      <c r="B7" s="6">
        <f>SUM(B4:B6)</f>
        <v>4066740</v>
      </c>
      <c r="C7" s="6">
        <f>SUM(C4:C6)</f>
        <v>-1746265</v>
      </c>
      <c r="D7" s="5">
        <f>C7/B7</f>
        <v>-0.42940168292047193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6343800</v>
      </c>
      <c r="C9" s="7">
        <v>-1952095</v>
      </c>
      <c r="D9" s="5">
        <f>C9/B9</f>
        <v>-0.30771698351145998</v>
      </c>
      <c r="E9">
        <v>12</v>
      </c>
    </row>
    <row r="10" spans="1:5" x14ac:dyDescent="0.3">
      <c r="B10" s="7"/>
      <c r="C10" s="7">
        <v>375294</v>
      </c>
      <c r="D10" s="5">
        <f>C10/B9</f>
        <v>5.9159179040953372E-2</v>
      </c>
    </row>
    <row r="11" spans="1:5" x14ac:dyDescent="0.3">
      <c r="A11" s="1" t="s">
        <v>8</v>
      </c>
      <c r="B11" s="6">
        <f>B7+B9</f>
        <v>10410540</v>
      </c>
      <c r="C11" s="6">
        <f>C7+C9</f>
        <v>-3698360</v>
      </c>
      <c r="D11" s="5">
        <f>C11/B11</f>
        <v>-0.35525150472501904</v>
      </c>
      <c r="E11">
        <f>E4+E5+E6+E9</f>
        <v>28</v>
      </c>
    </row>
    <row r="13" spans="1:5" x14ac:dyDescent="0.3">
      <c r="B13" s="1" t="s">
        <v>0</v>
      </c>
      <c r="C13" s="9">
        <v>46142</v>
      </c>
      <c r="D13" t="s">
        <v>1</v>
      </c>
      <c r="E13">
        <v>1493.69</v>
      </c>
    </row>
    <row r="14" spans="1:5" x14ac:dyDescent="0.3">
      <c r="E14" s="8">
        <v>3.2231090839984863E-2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1001900</v>
      </c>
      <c r="C16" s="7">
        <v>-657400</v>
      </c>
      <c r="D16" s="5">
        <v>-0.65615330871344446</v>
      </c>
      <c r="E16">
        <v>3</v>
      </c>
    </row>
    <row r="17" spans="1:5" x14ac:dyDescent="0.3">
      <c r="A17" s="4">
        <v>3</v>
      </c>
      <c r="B17" s="7">
        <v>2227540</v>
      </c>
      <c r="C17" s="7">
        <v>-693215</v>
      </c>
      <c r="D17" s="5">
        <v>-0.31120204350988084</v>
      </c>
      <c r="E17">
        <v>10</v>
      </c>
    </row>
    <row r="18" spans="1:5" x14ac:dyDescent="0.3">
      <c r="A18" s="4">
        <v>1</v>
      </c>
      <c r="B18" s="7">
        <v>837300</v>
      </c>
      <c r="C18" s="7">
        <v>-389600</v>
      </c>
      <c r="D18" s="5">
        <v>-0.46530514749790997</v>
      </c>
      <c r="E18">
        <v>3</v>
      </c>
    </row>
    <row r="19" spans="1:5" x14ac:dyDescent="0.3">
      <c r="A19" s="4"/>
      <c r="B19" s="6">
        <v>4066740</v>
      </c>
      <c r="C19" s="6">
        <v>-1740215</v>
      </c>
      <c r="D19" s="5">
        <v>-0.4279140048294211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6271300</v>
      </c>
      <c r="C21" s="7">
        <v>-1848915</v>
      </c>
      <c r="D21" s="5">
        <v>-0.29482164782421505</v>
      </c>
      <c r="E21">
        <v>11</v>
      </c>
    </row>
    <row r="22" spans="1:5" x14ac:dyDescent="0.3">
      <c r="B22" s="7"/>
      <c r="C22" s="7">
        <v>370977</v>
      </c>
      <c r="D22" s="5">
        <v>5.9154720711814136E-2</v>
      </c>
    </row>
    <row r="23" spans="1:5" x14ac:dyDescent="0.3">
      <c r="A23" s="1" t="s">
        <v>8</v>
      </c>
      <c r="B23" s="6">
        <v>10338040</v>
      </c>
      <c r="C23" s="6">
        <v>-3589130</v>
      </c>
      <c r="D23" s="5">
        <v>-0.34717702775381021</v>
      </c>
      <c r="E23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EE1D-23EE-4AB1-A659-146B57BE95C3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46142</v>
      </c>
      <c r="D1" t="s">
        <v>1</v>
      </c>
      <c r="E1">
        <v>1493.69</v>
      </c>
    </row>
    <row r="2" spans="1:5" x14ac:dyDescent="0.3">
      <c r="E2" s="8">
        <f>(E1-E13)/E13</f>
        <v>3.2231090839984863E-2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1001900</v>
      </c>
      <c r="C4" s="7">
        <v>-657400</v>
      </c>
      <c r="D4" s="5">
        <f>C4/B4</f>
        <v>-0.65615330871344446</v>
      </c>
      <c r="E4">
        <v>3</v>
      </c>
    </row>
    <row r="5" spans="1:5" x14ac:dyDescent="0.3">
      <c r="A5" s="4">
        <v>3</v>
      </c>
      <c r="B5" s="7">
        <v>2227540</v>
      </c>
      <c r="C5" s="7">
        <v>-693215</v>
      </c>
      <c r="D5" s="5">
        <f>C5/B5</f>
        <v>-0.31120204350988084</v>
      </c>
      <c r="E5">
        <v>10</v>
      </c>
    </row>
    <row r="6" spans="1:5" x14ac:dyDescent="0.3">
      <c r="A6" s="4">
        <v>1</v>
      </c>
      <c r="B6" s="7">
        <v>837300</v>
      </c>
      <c r="C6" s="7">
        <v>-389600</v>
      </c>
      <c r="D6" s="5">
        <f>C6/B6</f>
        <v>-0.46530514749790997</v>
      </c>
      <c r="E6">
        <v>3</v>
      </c>
    </row>
    <row r="7" spans="1:5" x14ac:dyDescent="0.3">
      <c r="A7" s="4"/>
      <c r="B7" s="6">
        <f>SUM(B4:B6)</f>
        <v>4066740</v>
      </c>
      <c r="C7" s="6">
        <f>SUM(C4:C6)</f>
        <v>-1740215</v>
      </c>
      <c r="D7" s="5">
        <f>C7/B7</f>
        <v>-0.4279140048294211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6271300</v>
      </c>
      <c r="C9" s="7">
        <v>-1848915</v>
      </c>
      <c r="D9" s="5">
        <f>C9/B9</f>
        <v>-0.29482164782421505</v>
      </c>
      <c r="E9">
        <v>11</v>
      </c>
    </row>
    <row r="10" spans="1:5" x14ac:dyDescent="0.3">
      <c r="B10" s="7"/>
      <c r="C10" s="7">
        <v>370977</v>
      </c>
      <c r="D10" s="5">
        <f>C10/B9</f>
        <v>5.9154720711814136E-2</v>
      </c>
    </row>
    <row r="11" spans="1:5" x14ac:dyDescent="0.3">
      <c r="A11" s="1" t="s">
        <v>8</v>
      </c>
      <c r="B11" s="6">
        <f>B7+B9</f>
        <v>10338040</v>
      </c>
      <c r="C11" s="6">
        <f>C7+C9</f>
        <v>-3589130</v>
      </c>
      <c r="D11" s="5">
        <f>C11/B11</f>
        <v>-0.34717702775381021</v>
      </c>
      <c r="E11">
        <f>E4+E5+E6+E9</f>
        <v>27</v>
      </c>
    </row>
    <row r="13" spans="1:5" x14ac:dyDescent="0.3">
      <c r="B13" s="1" t="s">
        <v>0</v>
      </c>
      <c r="C13" s="9">
        <v>46108</v>
      </c>
      <c r="D13" t="s">
        <v>1</v>
      </c>
      <c r="E13">
        <v>1447.05</v>
      </c>
    </row>
    <row r="14" spans="1:5" x14ac:dyDescent="0.3">
      <c r="E14" s="8">
        <v>-5.3138863805896927E-2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1001900</v>
      </c>
      <c r="C16" s="7">
        <v>-688800</v>
      </c>
      <c r="D16" s="5">
        <v>-0.68749376185248023</v>
      </c>
      <c r="E16">
        <v>3</v>
      </c>
    </row>
    <row r="17" spans="1:5" x14ac:dyDescent="0.3">
      <c r="A17" s="4">
        <v>3</v>
      </c>
      <c r="B17" s="7">
        <v>2123540</v>
      </c>
      <c r="C17" s="7">
        <v>-646515</v>
      </c>
      <c r="D17" s="5">
        <v>-0.30445152905054768</v>
      </c>
      <c r="E17">
        <v>10</v>
      </c>
    </row>
    <row r="18" spans="1:5" x14ac:dyDescent="0.3">
      <c r="A18" s="4">
        <v>1</v>
      </c>
      <c r="B18" s="7">
        <v>837300</v>
      </c>
      <c r="C18" s="7">
        <v>-433140</v>
      </c>
      <c r="D18" s="5">
        <v>-0.51730562522393408</v>
      </c>
      <c r="E18">
        <v>3</v>
      </c>
    </row>
    <row r="19" spans="1:5" x14ac:dyDescent="0.3">
      <c r="A19" s="4"/>
      <c r="B19" s="6">
        <v>3962740</v>
      </c>
      <c r="C19" s="6">
        <v>-1768455</v>
      </c>
      <c r="D19" s="5">
        <v>-0.44627076214942185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6231700</v>
      </c>
      <c r="C21" s="7">
        <v>-1931040</v>
      </c>
      <c r="D21" s="5">
        <v>-0.30987371022353449</v>
      </c>
      <c r="E21">
        <v>11</v>
      </c>
    </row>
    <row r="22" spans="1:5" x14ac:dyDescent="0.3">
      <c r="B22" s="7"/>
      <c r="C22" s="7">
        <v>366227</v>
      </c>
      <c r="D22" s="5">
        <v>5.876839385721392E-2</v>
      </c>
    </row>
    <row r="23" spans="1:5" x14ac:dyDescent="0.3">
      <c r="A23" s="1" t="s">
        <v>8</v>
      </c>
      <c r="B23" s="6">
        <v>10194440</v>
      </c>
      <c r="C23" s="6">
        <v>-3699495</v>
      </c>
      <c r="D23" s="5">
        <v>-0.36289340071646897</v>
      </c>
      <c r="E23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01D4-BE50-4242-955E-6394FC68ECAB}">
  <dimension ref="A1:E23"/>
  <sheetViews>
    <sheetView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46108</v>
      </c>
      <c r="D1" t="s">
        <v>1</v>
      </c>
      <c r="E1">
        <v>1447.05</v>
      </c>
    </row>
    <row r="2" spans="1:5" x14ac:dyDescent="0.3">
      <c r="E2" s="8">
        <f>(E1-E13)/E13</f>
        <v>-5.3138863805896927E-2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1001900</v>
      </c>
      <c r="C4" s="7">
        <v>-688800</v>
      </c>
      <c r="D4" s="5">
        <f>C4/B4</f>
        <v>-0.68749376185248023</v>
      </c>
      <c r="E4">
        <v>3</v>
      </c>
    </row>
    <row r="5" spans="1:5" x14ac:dyDescent="0.3">
      <c r="A5" s="4">
        <v>3</v>
      </c>
      <c r="B5" s="7">
        <v>2123540</v>
      </c>
      <c r="C5" s="7">
        <v>-646515</v>
      </c>
      <c r="D5" s="5">
        <f>C5/B5</f>
        <v>-0.30445152905054768</v>
      </c>
      <c r="E5">
        <v>10</v>
      </c>
    </row>
    <row r="6" spans="1:5" x14ac:dyDescent="0.3">
      <c r="A6" s="4">
        <v>1</v>
      </c>
      <c r="B6" s="7">
        <v>837300</v>
      </c>
      <c r="C6" s="7">
        <v>-433140</v>
      </c>
      <c r="D6" s="5">
        <f>C6/B6</f>
        <v>-0.51730562522393408</v>
      </c>
      <c r="E6">
        <v>3</v>
      </c>
    </row>
    <row r="7" spans="1:5" x14ac:dyDescent="0.3">
      <c r="A7" s="4"/>
      <c r="B7" s="6">
        <f>SUM(B4:B6)</f>
        <v>3962740</v>
      </c>
      <c r="C7" s="6">
        <f>SUM(C4:C6)</f>
        <v>-1768455</v>
      </c>
      <c r="D7" s="5">
        <f>C7/B7</f>
        <v>-0.44627076214942185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6231700</v>
      </c>
      <c r="C9" s="7">
        <v>-1931040</v>
      </c>
      <c r="D9" s="5">
        <f>C9/B9</f>
        <v>-0.30987371022353449</v>
      </c>
      <c r="E9">
        <v>11</v>
      </c>
    </row>
    <row r="10" spans="1:5" x14ac:dyDescent="0.3">
      <c r="B10" s="7"/>
      <c r="C10" s="7">
        <v>366227</v>
      </c>
      <c r="D10" s="5">
        <f>C10/B9</f>
        <v>5.876839385721392E-2</v>
      </c>
    </row>
    <row r="11" spans="1:5" x14ac:dyDescent="0.3">
      <c r="A11" s="1" t="s">
        <v>8</v>
      </c>
      <c r="B11" s="6">
        <f>B7+B9</f>
        <v>10194440</v>
      </c>
      <c r="C11" s="6">
        <f>C7+C9</f>
        <v>-3699495</v>
      </c>
      <c r="D11" s="5">
        <f>C11/B11</f>
        <v>-0.36289340071646897</v>
      </c>
      <c r="E11">
        <f>E4+E5+E6+E9</f>
        <v>27</v>
      </c>
    </row>
    <row r="13" spans="1:5" x14ac:dyDescent="0.3">
      <c r="B13" s="1" t="s">
        <v>0</v>
      </c>
      <c r="C13" s="9">
        <v>46080</v>
      </c>
      <c r="D13" t="s">
        <v>1</v>
      </c>
      <c r="E13">
        <v>1528.26</v>
      </c>
    </row>
    <row r="14" spans="1:5" x14ac:dyDescent="0.3">
      <c r="E14" s="8">
        <v>0.15286432009173076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1226300</v>
      </c>
      <c r="C16" s="7">
        <v>-823340</v>
      </c>
      <c r="D16" s="5">
        <v>-0.6714017777052923</v>
      </c>
      <c r="E16">
        <v>4</v>
      </c>
    </row>
    <row r="17" spans="1:5" x14ac:dyDescent="0.3">
      <c r="A17" s="4">
        <v>3</v>
      </c>
      <c r="B17" s="7">
        <v>2123540</v>
      </c>
      <c r="C17" s="7">
        <v>-633740</v>
      </c>
      <c r="D17" s="5">
        <v>-0.29843563106887555</v>
      </c>
      <c r="E17">
        <v>10</v>
      </c>
    </row>
    <row r="18" spans="1:5" x14ac:dyDescent="0.3">
      <c r="A18" s="4">
        <v>1</v>
      </c>
      <c r="B18" s="7">
        <v>1080300</v>
      </c>
      <c r="C18" s="7">
        <v>-592800</v>
      </c>
      <c r="D18" s="5">
        <v>-0.54873646209386284</v>
      </c>
      <c r="E18">
        <v>4</v>
      </c>
    </row>
    <row r="19" spans="1:5" x14ac:dyDescent="0.3">
      <c r="A19" s="4"/>
      <c r="B19" s="6">
        <v>4430140</v>
      </c>
      <c r="C19" s="6">
        <v>-2049880</v>
      </c>
      <c r="D19" s="5">
        <v>-0.46271223934232325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6378700</v>
      </c>
      <c r="C21" s="7">
        <v>-1786510</v>
      </c>
      <c r="D21" s="5">
        <v>-0.28007430981234421</v>
      </c>
      <c r="E21">
        <v>12</v>
      </c>
    </row>
    <row r="22" spans="1:5" x14ac:dyDescent="0.3">
      <c r="B22" s="7"/>
      <c r="C22" s="7">
        <v>378420</v>
      </c>
      <c r="D22" s="5">
        <v>5.9325567905686112E-2</v>
      </c>
    </row>
    <row r="23" spans="1:5" x14ac:dyDescent="0.3">
      <c r="A23" s="1" t="s">
        <v>8</v>
      </c>
      <c r="B23" s="6">
        <v>10808840</v>
      </c>
      <c r="C23" s="6">
        <v>-3836390</v>
      </c>
      <c r="D23" s="5">
        <v>-0.35493077888099001</v>
      </c>
      <c r="E2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F739-2F19-494D-A086-1CD83BEB770E}">
  <dimension ref="A1:E23"/>
  <sheetViews>
    <sheetView workbookViewId="0">
      <selection activeCell="C1" sqref="C1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46080</v>
      </c>
      <c r="D1" t="s">
        <v>1</v>
      </c>
      <c r="E1">
        <v>1528.26</v>
      </c>
    </row>
    <row r="2" spans="1:5" x14ac:dyDescent="0.3">
      <c r="E2" s="8">
        <f>(E1-E13)/E13</f>
        <v>0.15286432009173076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1226300</v>
      </c>
      <c r="C4" s="7">
        <v>-823340</v>
      </c>
      <c r="D4" s="5">
        <f>C4/B4</f>
        <v>-0.6714017777052923</v>
      </c>
      <c r="E4">
        <v>4</v>
      </c>
    </row>
    <row r="5" spans="1:5" x14ac:dyDescent="0.3">
      <c r="A5" s="4">
        <v>3</v>
      </c>
      <c r="B5" s="7">
        <v>2123540</v>
      </c>
      <c r="C5" s="7">
        <v>-633740</v>
      </c>
      <c r="D5" s="5">
        <f>C5/B5</f>
        <v>-0.29843563106887555</v>
      </c>
      <c r="E5">
        <v>10</v>
      </c>
    </row>
    <row r="6" spans="1:5" x14ac:dyDescent="0.3">
      <c r="A6" s="4">
        <v>1</v>
      </c>
      <c r="B6" s="7">
        <v>1080300</v>
      </c>
      <c r="C6" s="7">
        <v>-592800</v>
      </c>
      <c r="D6" s="5">
        <f>C6/B6</f>
        <v>-0.54873646209386284</v>
      </c>
      <c r="E6">
        <v>4</v>
      </c>
    </row>
    <row r="7" spans="1:5" x14ac:dyDescent="0.3">
      <c r="A7" s="4"/>
      <c r="B7" s="6">
        <f>SUM(B4:B6)</f>
        <v>4430140</v>
      </c>
      <c r="C7" s="6">
        <f>SUM(C4:C6)</f>
        <v>-2049880</v>
      </c>
      <c r="D7" s="5">
        <f>C7/B7</f>
        <v>-0.46271223934232325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6378700</v>
      </c>
      <c r="C9" s="7">
        <v>-1786510</v>
      </c>
      <c r="D9" s="5">
        <f>C9/B9</f>
        <v>-0.28007430981234421</v>
      </c>
      <c r="E9">
        <v>12</v>
      </c>
    </row>
    <row r="10" spans="1:5" x14ac:dyDescent="0.3">
      <c r="B10" s="7"/>
      <c r="C10" s="7">
        <v>378420</v>
      </c>
      <c r="D10" s="5">
        <f>C10/B9</f>
        <v>5.9325567905686112E-2</v>
      </c>
    </row>
    <row r="11" spans="1:5" x14ac:dyDescent="0.3">
      <c r="A11" s="1" t="s">
        <v>8</v>
      </c>
      <c r="B11" s="6">
        <f>B7+B9</f>
        <v>10808840</v>
      </c>
      <c r="C11" s="6">
        <f>C7+C9</f>
        <v>-3836390</v>
      </c>
      <c r="D11" s="5">
        <f>C11/B11</f>
        <v>-0.35493077888099001</v>
      </c>
      <c r="E11">
        <f>E4+E5+E6+E9</f>
        <v>30</v>
      </c>
    </row>
    <row r="13" spans="1:5" x14ac:dyDescent="0.3">
      <c r="B13" s="1" t="s">
        <v>0</v>
      </c>
      <c r="C13" s="9">
        <v>46052</v>
      </c>
      <c r="D13" t="s">
        <v>1</v>
      </c>
      <c r="E13">
        <v>1325.62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-1012060</v>
      </c>
      <c r="D16" s="5">
        <v>-0.57756091993380132</v>
      </c>
      <c r="E16">
        <v>6</v>
      </c>
    </row>
    <row r="17" spans="1:5" x14ac:dyDescent="0.3">
      <c r="A17" s="4">
        <v>3</v>
      </c>
      <c r="B17" s="7">
        <v>3248500</v>
      </c>
      <c r="C17" s="7">
        <v>-1270445</v>
      </c>
      <c r="D17" s="5">
        <v>-0.3910866553794059</v>
      </c>
      <c r="E17">
        <v>7</v>
      </c>
    </row>
    <row r="18" spans="1:5" x14ac:dyDescent="0.3">
      <c r="A18" s="4">
        <v>1</v>
      </c>
      <c r="B18" s="7">
        <v>603340</v>
      </c>
      <c r="C18" s="7">
        <v>-444820</v>
      </c>
      <c r="D18" s="5">
        <v>-0.73726257168429077</v>
      </c>
      <c r="E18">
        <v>5</v>
      </c>
    </row>
    <row r="19" spans="1:5" x14ac:dyDescent="0.3">
      <c r="A19" s="4"/>
      <c r="B19" s="6">
        <v>5604140</v>
      </c>
      <c r="C19" s="6">
        <v>-2727325</v>
      </c>
      <c r="D19" s="5">
        <v>-0.4866625387659837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-1619440</v>
      </c>
      <c r="D21" s="5">
        <v>-0.31343797781949795</v>
      </c>
      <c r="E21">
        <v>11</v>
      </c>
    </row>
    <row r="22" spans="1:5" x14ac:dyDescent="0.3">
      <c r="B22" s="7"/>
      <c r="C22" s="7">
        <v>284160</v>
      </c>
      <c r="D22" s="5">
        <v>5.4998354849323555E-2</v>
      </c>
    </row>
    <row r="23" spans="1:5" x14ac:dyDescent="0.3">
      <c r="A23" s="1" t="s">
        <v>8</v>
      </c>
      <c r="B23" s="6">
        <v>10770840</v>
      </c>
      <c r="C23" s="6">
        <v>-4346765</v>
      </c>
      <c r="D23" s="5">
        <v>-0.40356787400054223</v>
      </c>
      <c r="E23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41AB-5414-4FC9-BC5C-CFDAE3DA04A4}">
  <dimension ref="A1:E23"/>
  <sheetViews>
    <sheetView workbookViewId="0">
      <selection activeCell="C5" sqref="C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46052</v>
      </c>
      <c r="D1" t="s">
        <v>1</v>
      </c>
      <c r="E1">
        <v>1325.62</v>
      </c>
    </row>
    <row r="2" spans="1:5" x14ac:dyDescent="0.3">
      <c r="E2" s="8">
        <f>(E1-E13)/E13</f>
        <v>5.2354981860328352E-2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-1012060</v>
      </c>
      <c r="D4" s="5">
        <f>C4/B4</f>
        <v>-0.57756091993380132</v>
      </c>
      <c r="E4">
        <v>6</v>
      </c>
    </row>
    <row r="5" spans="1:5" x14ac:dyDescent="0.3">
      <c r="A5" s="4">
        <v>3</v>
      </c>
      <c r="B5" s="7">
        <v>3248500</v>
      </c>
      <c r="C5" s="7">
        <v>-1270445</v>
      </c>
      <c r="D5" s="5">
        <f>C5/B5</f>
        <v>-0.3910866553794059</v>
      </c>
      <c r="E5">
        <v>7</v>
      </c>
    </row>
    <row r="6" spans="1:5" x14ac:dyDescent="0.3">
      <c r="A6" s="4">
        <v>1</v>
      </c>
      <c r="B6" s="7">
        <v>603340</v>
      </c>
      <c r="C6" s="7">
        <v>-444820</v>
      </c>
      <c r="D6" s="5">
        <f>C6/B6</f>
        <v>-0.73726257168429077</v>
      </c>
      <c r="E6">
        <v>5</v>
      </c>
    </row>
    <row r="7" spans="1:5" x14ac:dyDescent="0.3">
      <c r="A7" s="4"/>
      <c r="B7" s="6">
        <f>SUM(B4:B6)</f>
        <v>5604140</v>
      </c>
      <c r="C7" s="6">
        <f>SUM(C4:C6)</f>
        <v>-2727325</v>
      </c>
      <c r="D7" s="5">
        <f>C7/B7</f>
        <v>-0.4866625387659837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-1619440</v>
      </c>
      <c r="D9" s="5">
        <f>C9/B9</f>
        <v>-0.31343797781949795</v>
      </c>
      <c r="E9">
        <v>11</v>
      </c>
    </row>
    <row r="10" spans="1:5" x14ac:dyDescent="0.3">
      <c r="B10" s="7"/>
      <c r="C10" s="7">
        <v>284160</v>
      </c>
      <c r="D10" s="5">
        <f>C10/B9</f>
        <v>5.4998354849323555E-2</v>
      </c>
    </row>
    <row r="11" spans="1:5" x14ac:dyDescent="0.3">
      <c r="A11" s="1" t="s">
        <v>8</v>
      </c>
      <c r="B11" s="6">
        <f>B7+B9</f>
        <v>10770840</v>
      </c>
      <c r="C11" s="6">
        <f>C7+C9</f>
        <v>-4346765</v>
      </c>
      <c r="D11" s="5">
        <f>C11/B11</f>
        <v>-0.40356787400054223</v>
      </c>
      <c r="E11">
        <f>E4+E5+E6+E9</f>
        <v>29</v>
      </c>
    </row>
    <row r="13" spans="1:5" x14ac:dyDescent="0.3">
      <c r="B13" s="1" t="s">
        <v>0</v>
      </c>
      <c r="C13" s="9">
        <v>46386</v>
      </c>
      <c r="D13" t="s">
        <v>1</v>
      </c>
      <c r="E13">
        <v>1259.67</v>
      </c>
    </row>
    <row r="14" spans="1:5" x14ac:dyDescent="0.3">
      <c r="E14" s="8">
        <v>2.3713087555403624E-3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-1063500</v>
      </c>
      <c r="D16" s="5">
        <v>-0.60691662386577638</v>
      </c>
      <c r="E16">
        <v>6</v>
      </c>
    </row>
    <row r="17" spans="1:5" x14ac:dyDescent="0.3">
      <c r="A17" s="4">
        <v>3</v>
      </c>
      <c r="B17" s="7">
        <v>3248500</v>
      </c>
      <c r="C17" s="7">
        <v>-1303865</v>
      </c>
      <c r="D17" s="5">
        <v>-0.40137448052947516</v>
      </c>
      <c r="E17">
        <v>7</v>
      </c>
    </row>
    <row r="18" spans="1:5" x14ac:dyDescent="0.3">
      <c r="A18" s="4">
        <v>1</v>
      </c>
      <c r="B18" s="7">
        <v>603340</v>
      </c>
      <c r="C18" s="7">
        <v>-447370</v>
      </c>
      <c r="D18" s="5">
        <v>-0.74148904431995222</v>
      </c>
      <c r="E18">
        <v>5</v>
      </c>
    </row>
    <row r="19" spans="1:5" x14ac:dyDescent="0.3">
      <c r="A19" s="4"/>
      <c r="B19" s="6">
        <v>5604140</v>
      </c>
      <c r="C19" s="6">
        <v>-2814735</v>
      </c>
      <c r="D19" s="5">
        <v>-0.50225993640415834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-1652290</v>
      </c>
      <c r="D21" s="5">
        <v>-0.31979600131612052</v>
      </c>
      <c r="E21">
        <v>11</v>
      </c>
    </row>
    <row r="22" spans="1:5" x14ac:dyDescent="0.3">
      <c r="B22" s="7"/>
      <c r="C22" s="7">
        <v>284160</v>
      </c>
      <c r="D22" s="5">
        <v>5.4998354849323555E-2</v>
      </c>
    </row>
    <row r="23" spans="1:5" x14ac:dyDescent="0.3">
      <c r="A23" s="1" t="s">
        <v>8</v>
      </c>
      <c r="B23" s="6">
        <v>10770840</v>
      </c>
      <c r="C23" s="6">
        <v>-4467025</v>
      </c>
      <c r="D23" s="5">
        <v>-0.41473320558099463</v>
      </c>
      <c r="E23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9EEC-5DA1-4A33-9F60-7AB6DE9863CC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46386</v>
      </c>
      <c r="D1" t="s">
        <v>1</v>
      </c>
      <c r="E1">
        <v>1259.67</v>
      </c>
    </row>
    <row r="2" spans="1:5" x14ac:dyDescent="0.3">
      <c r="E2" s="8">
        <f>(E1-E13)/E13</f>
        <v>2.3713087555403624E-3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-1063500</v>
      </c>
      <c r="D4" s="5">
        <f>C4/B4</f>
        <v>-0.60691662386577638</v>
      </c>
      <c r="E4">
        <v>6</v>
      </c>
    </row>
    <row r="5" spans="1:5" x14ac:dyDescent="0.3">
      <c r="A5" s="4">
        <v>3</v>
      </c>
      <c r="B5" s="7">
        <v>3248500</v>
      </c>
      <c r="C5" s="7">
        <v>-1303865</v>
      </c>
      <c r="D5" s="5">
        <f>C5/B5</f>
        <v>-0.40137448052947516</v>
      </c>
      <c r="E5">
        <v>7</v>
      </c>
    </row>
    <row r="6" spans="1:5" x14ac:dyDescent="0.3">
      <c r="A6" s="4">
        <v>1</v>
      </c>
      <c r="B6" s="7">
        <v>603340</v>
      </c>
      <c r="C6" s="7">
        <v>-447370</v>
      </c>
      <c r="D6" s="5">
        <f>C6/B6</f>
        <v>-0.74148904431995222</v>
      </c>
      <c r="E6">
        <v>5</v>
      </c>
    </row>
    <row r="7" spans="1:5" x14ac:dyDescent="0.3">
      <c r="A7" s="4"/>
      <c r="B7" s="6">
        <f>SUM(B4:B6)</f>
        <v>5604140</v>
      </c>
      <c r="C7" s="6">
        <f>SUM(C4:C6)</f>
        <v>-2814735</v>
      </c>
      <c r="D7" s="5">
        <f>C7/B7</f>
        <v>-0.50225993640415834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-1652290</v>
      </c>
      <c r="D9" s="5">
        <f>C9/B9</f>
        <v>-0.31979600131612052</v>
      </c>
      <c r="E9">
        <v>11</v>
      </c>
    </row>
    <row r="10" spans="1:5" x14ac:dyDescent="0.3">
      <c r="B10" s="7"/>
      <c r="C10" s="7">
        <v>284160</v>
      </c>
      <c r="D10" s="5">
        <f>C10/B9</f>
        <v>5.4998354849323555E-2</v>
      </c>
    </row>
    <row r="11" spans="1:5" x14ac:dyDescent="0.3">
      <c r="A11" s="1" t="s">
        <v>8</v>
      </c>
      <c r="B11" s="6">
        <f>B7+B9</f>
        <v>10770840</v>
      </c>
      <c r="C11" s="6">
        <f>C7+C9</f>
        <v>-4467025</v>
      </c>
      <c r="D11" s="5">
        <f>C11/B11</f>
        <v>-0.41473320558099463</v>
      </c>
      <c r="E11">
        <f>E4+E5+E6+E9</f>
        <v>29</v>
      </c>
    </row>
    <row r="13" spans="1:5" x14ac:dyDescent="0.3">
      <c r="B13" s="1" t="s">
        <v>0</v>
      </c>
      <c r="C13" s="9">
        <v>45989</v>
      </c>
      <c r="D13" t="s">
        <v>1</v>
      </c>
      <c r="E13">
        <v>1256.69</v>
      </c>
    </row>
    <row r="14" spans="1:5" x14ac:dyDescent="0.3">
      <c r="E14" s="8">
        <v>-4.032836960672008E-2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-1075520</v>
      </c>
      <c r="D16" s="5">
        <v>-0.61377617987787481</v>
      </c>
      <c r="E16">
        <v>6</v>
      </c>
    </row>
    <row r="17" spans="1:5" x14ac:dyDescent="0.3">
      <c r="A17" s="4">
        <v>3</v>
      </c>
      <c r="B17" s="7">
        <v>3248500</v>
      </c>
      <c r="C17" s="7">
        <v>-1365410</v>
      </c>
      <c r="D17" s="5">
        <v>-0.42032014776050486</v>
      </c>
      <c r="E17">
        <v>7</v>
      </c>
    </row>
    <row r="18" spans="1:5" x14ac:dyDescent="0.3">
      <c r="A18" s="4">
        <v>1</v>
      </c>
      <c r="B18" s="7">
        <v>603340</v>
      </c>
      <c r="C18" s="7">
        <v>-449480</v>
      </c>
      <c r="D18" s="5">
        <v>-0.74498624324593099</v>
      </c>
      <c r="E18">
        <v>5</v>
      </c>
    </row>
    <row r="19" spans="1:5" x14ac:dyDescent="0.3">
      <c r="A19" s="4"/>
      <c r="B19" s="6">
        <v>5604140</v>
      </c>
      <c r="C19" s="6">
        <v>-2890410</v>
      </c>
      <c r="D19" s="5">
        <v>-0.51576334638320953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-1747535</v>
      </c>
      <c r="D21" s="5">
        <v>-0.33823039851355796</v>
      </c>
      <c r="E21">
        <v>11</v>
      </c>
    </row>
    <row r="22" spans="1:5" x14ac:dyDescent="0.3">
      <c r="B22" s="7"/>
      <c r="C22" s="7">
        <v>284160</v>
      </c>
      <c r="D22" s="5">
        <v>5.4998354849323555E-2</v>
      </c>
    </row>
    <row r="23" spans="1:5" x14ac:dyDescent="0.3">
      <c r="A23" s="1" t="s">
        <v>8</v>
      </c>
      <c r="B23" s="6">
        <v>10770840</v>
      </c>
      <c r="C23" s="6">
        <v>-4637945</v>
      </c>
      <c r="D23" s="5">
        <v>-0.43060197719026555</v>
      </c>
      <c r="E23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8022-6FAB-4827-AFA2-E1EDA7432C87}">
  <dimension ref="A1:E23"/>
  <sheetViews>
    <sheetView topLeftCell="A4" workbookViewId="0">
      <selection activeCell="E4" sqref="E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45989</v>
      </c>
      <c r="D1" t="s">
        <v>1</v>
      </c>
      <c r="E1">
        <v>1256.69</v>
      </c>
    </row>
    <row r="2" spans="1:5" x14ac:dyDescent="0.3">
      <c r="E2" s="8">
        <f>(E1-E13)/E13</f>
        <v>-4.032836960672008E-2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-1075520</v>
      </c>
      <c r="D4" s="5">
        <f>C4/B4</f>
        <v>-0.61377617987787481</v>
      </c>
      <c r="E4">
        <v>6</v>
      </c>
    </row>
    <row r="5" spans="1:5" x14ac:dyDescent="0.3">
      <c r="A5" s="4">
        <v>3</v>
      </c>
      <c r="B5" s="7">
        <v>3248500</v>
      </c>
      <c r="C5" s="7">
        <v>-1365410</v>
      </c>
      <c r="D5" s="5">
        <f>C5/B5</f>
        <v>-0.42032014776050486</v>
      </c>
      <c r="E5">
        <v>7</v>
      </c>
    </row>
    <row r="6" spans="1:5" x14ac:dyDescent="0.3">
      <c r="A6" s="4">
        <v>1</v>
      </c>
      <c r="B6" s="7">
        <v>603340</v>
      </c>
      <c r="C6" s="7">
        <v>-449480</v>
      </c>
      <c r="D6" s="5">
        <f>C6/B6</f>
        <v>-0.74498624324593099</v>
      </c>
      <c r="E6">
        <v>5</v>
      </c>
    </row>
    <row r="7" spans="1:5" x14ac:dyDescent="0.3">
      <c r="A7" s="4"/>
      <c r="B7" s="6">
        <f>SUM(B4:B6)</f>
        <v>5604140</v>
      </c>
      <c r="C7" s="6">
        <f>SUM(C4:C6)</f>
        <v>-2890410</v>
      </c>
      <c r="D7" s="5">
        <f>C7/B7</f>
        <v>-0.51576334638320953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-1747535</v>
      </c>
      <c r="D9" s="5">
        <f>C9/B9</f>
        <v>-0.33823039851355796</v>
      </c>
      <c r="E9">
        <v>11</v>
      </c>
    </row>
    <row r="10" spans="1:5" x14ac:dyDescent="0.3">
      <c r="B10" s="7"/>
      <c r="C10" s="7">
        <v>284160</v>
      </c>
      <c r="D10" s="5">
        <f>C10/B9</f>
        <v>5.4998354849323555E-2</v>
      </c>
    </row>
    <row r="11" spans="1:5" x14ac:dyDescent="0.3">
      <c r="A11" s="1" t="s">
        <v>8</v>
      </c>
      <c r="B11" s="6">
        <f>B7+B9</f>
        <v>10770840</v>
      </c>
      <c r="C11" s="6">
        <f>C7+C9</f>
        <v>-4637945</v>
      </c>
      <c r="D11" s="5">
        <f>C11/B11</f>
        <v>-0.43060197719026555</v>
      </c>
      <c r="E11">
        <f>E4+E5+E6+E9</f>
        <v>29</v>
      </c>
    </row>
    <row r="13" spans="1:5" x14ac:dyDescent="0.3">
      <c r="B13" s="1" t="s">
        <v>0</v>
      </c>
      <c r="C13" s="9">
        <v>45961</v>
      </c>
      <c r="D13" t="s">
        <v>1</v>
      </c>
      <c r="E13">
        <v>1309.5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-982080</v>
      </c>
      <c r="D16" s="5">
        <v>-0.56045197740112995</v>
      </c>
      <c r="E16">
        <v>6</v>
      </c>
    </row>
    <row r="17" spans="1:5" x14ac:dyDescent="0.3">
      <c r="A17" s="4">
        <v>3</v>
      </c>
      <c r="B17" s="7">
        <v>3248500</v>
      </c>
      <c r="C17" s="7">
        <v>-1269700</v>
      </c>
      <c r="D17" s="5">
        <v>-0.39085731876250579</v>
      </c>
      <c r="E17">
        <v>7</v>
      </c>
    </row>
    <row r="18" spans="1:5" x14ac:dyDescent="0.3">
      <c r="A18" s="4">
        <v>1</v>
      </c>
      <c r="B18" s="7">
        <v>603340</v>
      </c>
      <c r="C18" s="7">
        <v>-434590</v>
      </c>
      <c r="D18" s="5">
        <v>-0.72030695793416644</v>
      </c>
      <c r="E18">
        <v>5</v>
      </c>
    </row>
    <row r="19" spans="1:5" x14ac:dyDescent="0.3">
      <c r="A19" s="4"/>
      <c r="B19" s="6">
        <v>5604140</v>
      </c>
      <c r="C19" s="6">
        <v>-2686370</v>
      </c>
      <c r="D19" s="5">
        <v>-0.47935454860156956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-1722405</v>
      </c>
      <c r="D21" s="5">
        <v>-0.33336655892542627</v>
      </c>
      <c r="E21">
        <v>11</v>
      </c>
    </row>
    <row r="22" spans="1:5" x14ac:dyDescent="0.3">
      <c r="B22" s="7"/>
      <c r="C22" s="7">
        <v>298535.7</v>
      </c>
      <c r="D22" s="5">
        <v>5.7780730446900345E-2</v>
      </c>
    </row>
    <row r="23" spans="1:5" x14ac:dyDescent="0.3">
      <c r="A23" s="1" t="s">
        <v>8</v>
      </c>
      <c r="B23" s="6">
        <v>10770840</v>
      </c>
      <c r="C23" s="6">
        <v>-4408775</v>
      </c>
      <c r="D23" s="5">
        <v>-0.40932508513727806</v>
      </c>
      <c r="E23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C00D-7E5D-4548-BEF2-5CBFB9DBC724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45961</v>
      </c>
      <c r="D1" t="s">
        <v>1</v>
      </c>
      <c r="E1">
        <v>1309.5</v>
      </c>
    </row>
    <row r="2" spans="1:5" x14ac:dyDescent="0.3">
      <c r="E2" s="8">
        <f>(E1-E13)/E13</f>
        <v>2.4054929070804067E-2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-982080</v>
      </c>
      <c r="D4" s="5">
        <f>C4/B4</f>
        <v>-0.56045197740112995</v>
      </c>
      <c r="E4">
        <v>6</v>
      </c>
    </row>
    <row r="5" spans="1:5" x14ac:dyDescent="0.3">
      <c r="A5" s="4">
        <v>3</v>
      </c>
      <c r="B5" s="7">
        <v>3248500</v>
      </c>
      <c r="C5" s="7">
        <v>-1269700</v>
      </c>
      <c r="D5" s="5">
        <f>C5/B5</f>
        <v>-0.39085731876250579</v>
      </c>
      <c r="E5">
        <v>7</v>
      </c>
    </row>
    <row r="6" spans="1:5" x14ac:dyDescent="0.3">
      <c r="A6" s="4">
        <v>1</v>
      </c>
      <c r="B6" s="7">
        <v>603340</v>
      </c>
      <c r="C6" s="7">
        <v>-434590</v>
      </c>
      <c r="D6" s="5">
        <f>C6/B6</f>
        <v>-0.72030695793416644</v>
      </c>
      <c r="E6">
        <v>5</v>
      </c>
    </row>
    <row r="7" spans="1:5" x14ac:dyDescent="0.3">
      <c r="A7" s="4"/>
      <c r="B7" s="6">
        <f>SUM(B4:B6)</f>
        <v>5604140</v>
      </c>
      <c r="C7" s="6">
        <f>SUM(C4:C6)</f>
        <v>-2686370</v>
      </c>
      <c r="D7" s="5">
        <f>C7/B7</f>
        <v>-0.47935454860156956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-1722405</v>
      </c>
      <c r="D9" s="5">
        <f>C9/B9</f>
        <v>-0.33336655892542627</v>
      </c>
      <c r="E9">
        <v>11</v>
      </c>
    </row>
    <row r="10" spans="1:5" x14ac:dyDescent="0.3">
      <c r="B10" s="7"/>
      <c r="C10" s="7">
        <v>298535.7</v>
      </c>
      <c r="D10" s="5">
        <f>C10/B9</f>
        <v>5.7780730446900345E-2</v>
      </c>
    </row>
    <row r="11" spans="1:5" x14ac:dyDescent="0.3">
      <c r="A11" s="1" t="s">
        <v>8</v>
      </c>
      <c r="B11" s="6">
        <f>B7+B9</f>
        <v>10770840</v>
      </c>
      <c r="C11" s="6">
        <f>C7+C9</f>
        <v>-4408775</v>
      </c>
      <c r="D11" s="5">
        <f>C11/B11</f>
        <v>-0.40932508513727806</v>
      </c>
      <c r="E11">
        <f>E4+E5+E6+E9</f>
        <v>29</v>
      </c>
    </row>
    <row r="13" spans="1:5" x14ac:dyDescent="0.3">
      <c r="B13" s="1" t="s">
        <v>0</v>
      </c>
      <c r="C13" s="9">
        <v>45926</v>
      </c>
      <c r="D13" t="s">
        <v>1</v>
      </c>
      <c r="E13">
        <v>1278.74</v>
      </c>
    </row>
    <row r="14" spans="1:5" x14ac:dyDescent="0.3">
      <c r="E14" s="8">
        <v>-1.0814406832105961E-2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-890220</v>
      </c>
      <c r="D16" s="5">
        <v>-0.50802944701249786</v>
      </c>
      <c r="E16">
        <v>6</v>
      </c>
    </row>
    <row r="17" spans="1:5" x14ac:dyDescent="0.3">
      <c r="A17" s="4">
        <v>3</v>
      </c>
      <c r="B17" s="7">
        <v>3249040</v>
      </c>
      <c r="C17" s="7">
        <v>-1208130</v>
      </c>
      <c r="D17" s="5">
        <v>-0.37184214414103861</v>
      </c>
      <c r="E17">
        <v>7</v>
      </c>
    </row>
    <row r="18" spans="1:5" x14ac:dyDescent="0.3">
      <c r="A18" s="4">
        <v>1</v>
      </c>
      <c r="B18" s="7">
        <v>572540</v>
      </c>
      <c r="C18" s="7">
        <v>-401820</v>
      </c>
      <c r="D18" s="5">
        <v>-0.70181996017745485</v>
      </c>
      <c r="E18">
        <v>5</v>
      </c>
    </row>
    <row r="19" spans="1:5" x14ac:dyDescent="0.3">
      <c r="A19" s="4"/>
      <c r="B19" s="6">
        <v>5573880</v>
      </c>
      <c r="C19" s="6">
        <v>-2500170</v>
      </c>
      <c r="D19" s="5">
        <v>-0.44855109905487739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-1681725</v>
      </c>
      <c r="D21" s="5">
        <v>-0.32549306133508815</v>
      </c>
      <c r="E21">
        <v>11</v>
      </c>
    </row>
    <row r="22" spans="1:5" x14ac:dyDescent="0.3">
      <c r="B22" s="7"/>
      <c r="C22" s="7">
        <v>298535.7</v>
      </c>
      <c r="D22" s="5">
        <v>5.7780730446900345E-2</v>
      </c>
    </row>
    <row r="23" spans="1:5" x14ac:dyDescent="0.3">
      <c r="A23" s="1" t="s">
        <v>8</v>
      </c>
      <c r="B23" s="6">
        <v>10740580</v>
      </c>
      <c r="C23" s="6">
        <v>-4181895</v>
      </c>
      <c r="D23" s="5">
        <v>-0.38935467172163885</v>
      </c>
      <c r="E23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41C8-5056-4759-B54A-4980815EFEAB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45926</v>
      </c>
      <c r="D1" t="s">
        <v>1</v>
      </c>
      <c r="E1">
        <v>1278.74</v>
      </c>
    </row>
    <row r="2" spans="1:5" x14ac:dyDescent="0.3">
      <c r="E2" s="8">
        <f>(E1-E13)/E13</f>
        <v>-1.0814406832105961E-2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-890220</v>
      </c>
      <c r="D4" s="5">
        <f>C4/B4</f>
        <v>-0.50802944701249786</v>
      </c>
      <c r="E4">
        <v>6</v>
      </c>
    </row>
    <row r="5" spans="1:5" x14ac:dyDescent="0.3">
      <c r="A5" s="4">
        <v>3</v>
      </c>
      <c r="B5" s="7">
        <v>3249040</v>
      </c>
      <c r="C5" s="7">
        <v>-1208130</v>
      </c>
      <c r="D5" s="5">
        <f>C5/B5</f>
        <v>-0.37184214414103861</v>
      </c>
      <c r="E5">
        <v>7</v>
      </c>
    </row>
    <row r="6" spans="1:5" x14ac:dyDescent="0.3">
      <c r="A6" s="4">
        <v>1</v>
      </c>
      <c r="B6" s="7">
        <v>572540</v>
      </c>
      <c r="C6" s="7">
        <v>-401820</v>
      </c>
      <c r="D6" s="5">
        <f>C6/B6</f>
        <v>-0.70181996017745485</v>
      </c>
      <c r="E6">
        <v>5</v>
      </c>
    </row>
    <row r="7" spans="1:5" x14ac:dyDescent="0.3">
      <c r="A7" s="4"/>
      <c r="B7" s="6">
        <f>SUM(B4:B6)</f>
        <v>5573880</v>
      </c>
      <c r="C7" s="6">
        <f>SUM(C4:C6)</f>
        <v>-2500170</v>
      </c>
      <c r="D7" s="5">
        <f>C7/B7</f>
        <v>-0.44855109905487739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-1681725</v>
      </c>
      <c r="D9" s="5">
        <f>C9/B9</f>
        <v>-0.32549306133508815</v>
      </c>
      <c r="E9">
        <v>11</v>
      </c>
    </row>
    <row r="10" spans="1:5" x14ac:dyDescent="0.3">
      <c r="B10" s="7"/>
      <c r="C10" s="7">
        <v>298535.7</v>
      </c>
      <c r="D10" s="5">
        <f>C10/B9</f>
        <v>5.7780730446900345E-2</v>
      </c>
    </row>
    <row r="11" spans="1:5" x14ac:dyDescent="0.3">
      <c r="A11" s="1" t="s">
        <v>8</v>
      </c>
      <c r="B11" s="6">
        <f>B7+B9</f>
        <v>10740580</v>
      </c>
      <c r="C11" s="6">
        <f>C7+C9</f>
        <v>-4181895</v>
      </c>
      <c r="D11" s="5">
        <f>C11/B11</f>
        <v>-0.38935467172163885</v>
      </c>
      <c r="E11">
        <f>E4+E5+E6+E9</f>
        <v>29</v>
      </c>
    </row>
    <row r="13" spans="1:5" x14ac:dyDescent="0.3">
      <c r="B13" s="1" t="s">
        <v>0</v>
      </c>
      <c r="C13" s="9">
        <v>45919</v>
      </c>
      <c r="D13" t="s">
        <v>1</v>
      </c>
      <c r="E13">
        <v>1292.72</v>
      </c>
    </row>
    <row r="14" spans="1:5" x14ac:dyDescent="0.3">
      <c r="E14" s="8">
        <v>-6.9572208221878426E-4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1752300</v>
      </c>
      <c r="C16" s="7">
        <v>-863680</v>
      </c>
      <c r="D16" s="5">
        <v>-0.49288363864635049</v>
      </c>
      <c r="E16">
        <v>6</v>
      </c>
    </row>
    <row r="17" spans="1:5" x14ac:dyDescent="0.3">
      <c r="A17" s="4">
        <v>3</v>
      </c>
      <c r="B17" s="7">
        <v>3249040</v>
      </c>
      <c r="C17" s="7">
        <v>-1195800</v>
      </c>
      <c r="D17" s="5">
        <v>-0.36804717701228673</v>
      </c>
      <c r="E17">
        <v>7</v>
      </c>
    </row>
    <row r="18" spans="1:5" x14ac:dyDescent="0.3">
      <c r="A18" s="4">
        <v>1</v>
      </c>
      <c r="B18" s="7">
        <v>572540</v>
      </c>
      <c r="C18" s="7">
        <v>-399520</v>
      </c>
      <c r="D18" s="5">
        <v>-0.6978027736053376</v>
      </c>
      <c r="E18">
        <v>5</v>
      </c>
    </row>
    <row r="19" spans="1:5" x14ac:dyDescent="0.3">
      <c r="A19" s="4"/>
      <c r="B19" s="6">
        <v>5573880</v>
      </c>
      <c r="C19" s="6">
        <v>-2459000</v>
      </c>
      <c r="D19" s="5">
        <v>-0.44116486181977366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5166700</v>
      </c>
      <c r="C21" s="7">
        <v>-1666195</v>
      </c>
      <c r="D21" s="5">
        <v>-0.32248727427564983</v>
      </c>
      <c r="E21">
        <v>11</v>
      </c>
    </row>
    <row r="22" spans="1:5" x14ac:dyDescent="0.3">
      <c r="B22" s="7"/>
      <c r="C22" s="7">
        <v>298535.7</v>
      </c>
      <c r="D22" s="5">
        <v>5.7780730446900345E-2</v>
      </c>
    </row>
    <row r="23" spans="1:5" x14ac:dyDescent="0.3">
      <c r="A23" s="1" t="s">
        <v>8</v>
      </c>
      <c r="B23" s="6">
        <v>10740580</v>
      </c>
      <c r="C23" s="6">
        <v>-4125195</v>
      </c>
      <c r="D23" s="5">
        <v>-0.38407562720076571</v>
      </c>
      <c r="E23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B260-76A6-4468-8847-C732969CD1A1}">
  <dimension ref="A1:E23"/>
  <sheetViews>
    <sheetView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45919</v>
      </c>
      <c r="D1" t="s">
        <v>1</v>
      </c>
      <c r="E1">
        <v>1292.72</v>
      </c>
    </row>
    <row r="2" spans="1:5" x14ac:dyDescent="0.3">
      <c r="E2" s="8">
        <f>(E1-E13)/E13</f>
        <v>-6.9572208221878426E-4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1752300</v>
      </c>
      <c r="C4" s="7">
        <v>-863680</v>
      </c>
      <c r="D4" s="5">
        <f>C4/B4</f>
        <v>-0.49288363864635049</v>
      </c>
      <c r="E4">
        <v>6</v>
      </c>
    </row>
    <row r="5" spans="1:5" x14ac:dyDescent="0.3">
      <c r="A5" s="4">
        <v>3</v>
      </c>
      <c r="B5" s="7">
        <v>3249040</v>
      </c>
      <c r="C5" s="7">
        <v>-1195800</v>
      </c>
      <c r="D5" s="5">
        <f>C5/B5</f>
        <v>-0.36804717701228673</v>
      </c>
      <c r="E5">
        <v>7</v>
      </c>
    </row>
    <row r="6" spans="1:5" x14ac:dyDescent="0.3">
      <c r="A6" s="4">
        <v>1</v>
      </c>
      <c r="B6" s="7">
        <v>572540</v>
      </c>
      <c r="C6" s="7">
        <v>-399520</v>
      </c>
      <c r="D6" s="5">
        <f>C6/B6</f>
        <v>-0.6978027736053376</v>
      </c>
      <c r="E6">
        <v>5</v>
      </c>
    </row>
    <row r="7" spans="1:5" x14ac:dyDescent="0.3">
      <c r="A7" s="4"/>
      <c r="B7" s="6">
        <f>SUM(B4:B6)</f>
        <v>5573880</v>
      </c>
      <c r="C7" s="6">
        <f>SUM(C4:C6)</f>
        <v>-2459000</v>
      </c>
      <c r="D7" s="5">
        <f>C7/B7</f>
        <v>-0.44116486181977366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5166700</v>
      </c>
      <c r="C9" s="7">
        <v>-1666195</v>
      </c>
      <c r="D9" s="5">
        <f>C9/B9</f>
        <v>-0.32248727427564983</v>
      </c>
      <c r="E9">
        <v>11</v>
      </c>
    </row>
    <row r="10" spans="1:5" x14ac:dyDescent="0.3">
      <c r="B10" s="7"/>
      <c r="C10" s="7">
        <v>298535.7</v>
      </c>
      <c r="D10" s="5">
        <f>C10/B9</f>
        <v>5.7780730446900345E-2</v>
      </c>
    </row>
    <row r="11" spans="1:5" x14ac:dyDescent="0.3">
      <c r="A11" s="1" t="s">
        <v>8</v>
      </c>
      <c r="B11" s="6">
        <f>B7+B9</f>
        <v>10740580</v>
      </c>
      <c r="C11" s="6">
        <f>C7+C9</f>
        <v>-4125195</v>
      </c>
      <c r="D11" s="5">
        <f>C11/B11</f>
        <v>-0.38407562720076571</v>
      </c>
      <c r="E11">
        <f>E4+E5+E6+E9</f>
        <v>29</v>
      </c>
    </row>
    <row r="13" spans="1:5" x14ac:dyDescent="0.3">
      <c r="B13" s="1" t="s">
        <v>0</v>
      </c>
      <c r="C13" s="9">
        <v>45912</v>
      </c>
      <c r="D13" t="s">
        <v>1</v>
      </c>
      <c r="E13">
        <v>1293.6199999999999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300140</v>
      </c>
      <c r="C16" s="7">
        <v>-200500</v>
      </c>
      <c r="D16" s="5">
        <v>-0.66802158992470184</v>
      </c>
      <c r="E16">
        <v>4</v>
      </c>
    </row>
    <row r="17" spans="1:5" x14ac:dyDescent="0.3">
      <c r="A17" s="4">
        <v>3</v>
      </c>
      <c r="B17" s="7">
        <v>3588400</v>
      </c>
      <c r="C17" s="7">
        <v>-1226640</v>
      </c>
      <c r="D17" s="5">
        <v>-0.34183480102552671</v>
      </c>
      <c r="E17">
        <v>7</v>
      </c>
    </row>
    <row r="18" spans="1:5" x14ac:dyDescent="0.3">
      <c r="A18" s="4">
        <v>1</v>
      </c>
      <c r="B18" s="7">
        <v>1543740</v>
      </c>
      <c r="C18" s="7">
        <v>-952600</v>
      </c>
      <c r="D18" s="5">
        <v>-0.61707282314379364</v>
      </c>
      <c r="E18">
        <v>7</v>
      </c>
    </row>
    <row r="19" spans="1:5" x14ac:dyDescent="0.3">
      <c r="A19" s="4"/>
      <c r="B19" s="6">
        <v>5432280</v>
      </c>
      <c r="C19" s="6">
        <v>-2379740</v>
      </c>
      <c r="D19" s="5">
        <v>-0.43807388426222504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5128200</v>
      </c>
      <c r="C21" s="7">
        <v>-1671190</v>
      </c>
      <c r="D21" s="5">
        <v>-0.3258823758823759</v>
      </c>
      <c r="E21">
        <v>11</v>
      </c>
    </row>
    <row r="22" spans="1:5" x14ac:dyDescent="0.3">
      <c r="B22" s="7"/>
      <c r="C22" s="7">
        <v>295995.7</v>
      </c>
      <c r="D22" s="5">
        <v>5.7719219219219221E-2</v>
      </c>
    </row>
    <row r="23" spans="1:5" x14ac:dyDescent="0.3">
      <c r="A23" s="1" t="s">
        <v>8</v>
      </c>
      <c r="B23" s="6">
        <v>10560480</v>
      </c>
      <c r="C23" s="6">
        <v>-4050930</v>
      </c>
      <c r="D23" s="5">
        <v>-0.38359335939275485</v>
      </c>
      <c r="E23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09FF-5543-4627-B869-059368E93B21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45912</v>
      </c>
      <c r="D1" t="s">
        <v>1</v>
      </c>
      <c r="E1">
        <v>1293.6199999999999</v>
      </c>
    </row>
    <row r="2" spans="1:5" x14ac:dyDescent="0.3">
      <c r="E2" s="8">
        <f>(E1-E13)/E13</f>
        <v>2.2786211258696978E-2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300140</v>
      </c>
      <c r="C4" s="7">
        <v>-200500</v>
      </c>
      <c r="D4" s="5">
        <f>C4/B4</f>
        <v>-0.66802158992470184</v>
      </c>
      <c r="E4">
        <v>4</v>
      </c>
    </row>
    <row r="5" spans="1:5" x14ac:dyDescent="0.3">
      <c r="A5" s="4">
        <v>3</v>
      </c>
      <c r="B5" s="7">
        <v>3588400</v>
      </c>
      <c r="C5" s="7">
        <v>-1226640</v>
      </c>
      <c r="D5" s="5">
        <f>C5/B5</f>
        <v>-0.34183480102552671</v>
      </c>
      <c r="E5">
        <v>7</v>
      </c>
    </row>
    <row r="6" spans="1:5" x14ac:dyDescent="0.3">
      <c r="A6" s="4">
        <v>1</v>
      </c>
      <c r="B6" s="7">
        <v>1543740</v>
      </c>
      <c r="C6" s="7">
        <v>-952600</v>
      </c>
      <c r="D6" s="5">
        <f>C6/B6</f>
        <v>-0.61707282314379364</v>
      </c>
      <c r="E6">
        <v>7</v>
      </c>
    </row>
    <row r="7" spans="1:5" x14ac:dyDescent="0.3">
      <c r="A7" s="4"/>
      <c r="B7" s="6">
        <f>SUM(B4:B6)</f>
        <v>5432280</v>
      </c>
      <c r="C7" s="6">
        <f>SUM(C4:C6)</f>
        <v>-2379740</v>
      </c>
      <c r="D7" s="5">
        <f>C7/B7</f>
        <v>-0.43807388426222504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5128200</v>
      </c>
      <c r="C9" s="7">
        <v>-1671190</v>
      </c>
      <c r="D9" s="5">
        <f>C9/B9</f>
        <v>-0.3258823758823759</v>
      </c>
      <c r="E9">
        <v>11</v>
      </c>
    </row>
    <row r="10" spans="1:5" x14ac:dyDescent="0.3">
      <c r="B10" s="7"/>
      <c r="C10" s="7">
        <v>295995.7</v>
      </c>
      <c r="D10" s="5">
        <f>C10/B9</f>
        <v>5.7719219219219221E-2</v>
      </c>
    </row>
    <row r="11" spans="1:5" x14ac:dyDescent="0.3">
      <c r="A11" s="1" t="s">
        <v>8</v>
      </c>
      <c r="B11" s="6">
        <f>B7+B9</f>
        <v>10560480</v>
      </c>
      <c r="C11" s="6">
        <f>C7+C9</f>
        <v>-4050930</v>
      </c>
      <c r="D11" s="5">
        <f>C11/B11</f>
        <v>-0.38359335939275485</v>
      </c>
      <c r="E11">
        <f>E4+E5+E6+E9</f>
        <v>29</v>
      </c>
    </row>
    <row r="13" spans="1:5" x14ac:dyDescent="0.3">
      <c r="B13" s="1" t="s">
        <v>0</v>
      </c>
      <c r="C13" s="9">
        <v>45905</v>
      </c>
      <c r="D13" t="s">
        <v>1</v>
      </c>
      <c r="E13">
        <v>1264.8</v>
      </c>
    </row>
    <row r="14" spans="1:5" x14ac:dyDescent="0.3">
      <c r="E14" s="8">
        <v>4.2718076574930373E-3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420640</v>
      </c>
      <c r="C16" s="7">
        <v>-211280</v>
      </c>
      <c r="D16" s="5">
        <v>-0.50228223659186</v>
      </c>
      <c r="E16">
        <v>4</v>
      </c>
    </row>
    <row r="17" spans="1:5" x14ac:dyDescent="0.3">
      <c r="A17" s="4">
        <v>3</v>
      </c>
      <c r="B17" s="7">
        <v>3588400</v>
      </c>
      <c r="C17" s="7">
        <v>-1320030</v>
      </c>
      <c r="D17" s="5">
        <v>-0.36786032772266192</v>
      </c>
      <c r="E17">
        <v>7</v>
      </c>
    </row>
    <row r="18" spans="1:5" x14ac:dyDescent="0.3">
      <c r="A18" s="4">
        <v>1</v>
      </c>
      <c r="B18" s="7">
        <v>1543740</v>
      </c>
      <c r="C18" s="7">
        <v>-984800</v>
      </c>
      <c r="D18" s="5">
        <v>-0.63793125785430194</v>
      </c>
      <c r="E18">
        <v>7</v>
      </c>
    </row>
    <row r="19" spans="1:5" x14ac:dyDescent="0.3">
      <c r="A19" s="4"/>
      <c r="B19" s="6">
        <v>5552780</v>
      </c>
      <c r="C19" s="6">
        <v>-2516110</v>
      </c>
      <c r="D19" s="5">
        <v>-0.45312618184044751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5128200</v>
      </c>
      <c r="C21" s="7">
        <v>-1791305</v>
      </c>
      <c r="D21" s="5">
        <v>-0.34930482430482429</v>
      </c>
      <c r="E21">
        <v>11</v>
      </c>
    </row>
    <row r="22" spans="1:5" x14ac:dyDescent="0.3">
      <c r="B22" s="7"/>
      <c r="C22" s="7">
        <v>295995.7</v>
      </c>
      <c r="D22" s="5">
        <v>5.7719219219219221E-2</v>
      </c>
    </row>
    <row r="23" spans="1:5" x14ac:dyDescent="0.3">
      <c r="A23" s="1" t="s">
        <v>8</v>
      </c>
      <c r="B23" s="6">
        <v>10680980</v>
      </c>
      <c r="C23" s="6">
        <v>-4307415</v>
      </c>
      <c r="D23" s="5">
        <v>-0.40327900623351043</v>
      </c>
      <c r="E23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0E9D-AFC7-48C4-8BA4-CDBEFA563129}">
  <dimension ref="A1:E23"/>
  <sheetViews>
    <sheetView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45905</v>
      </c>
      <c r="D1" t="s">
        <v>1</v>
      </c>
      <c r="E1">
        <v>1264.8</v>
      </c>
    </row>
    <row r="2" spans="1:5" x14ac:dyDescent="0.3">
      <c r="E2" s="8">
        <f>(E1-E13)/E13</f>
        <v>4.2718076574930373E-3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420640</v>
      </c>
      <c r="C4" s="7">
        <v>-211280</v>
      </c>
      <c r="D4" s="5">
        <f>C4/B4</f>
        <v>-0.50228223659186</v>
      </c>
      <c r="E4">
        <v>4</v>
      </c>
    </row>
    <row r="5" spans="1:5" x14ac:dyDescent="0.3">
      <c r="A5" s="4">
        <v>3</v>
      </c>
      <c r="B5" s="7">
        <v>3588400</v>
      </c>
      <c r="C5" s="7">
        <v>-1320030</v>
      </c>
      <c r="D5" s="5">
        <f>C5/B5</f>
        <v>-0.36786032772266192</v>
      </c>
      <c r="E5">
        <v>7</v>
      </c>
    </row>
    <row r="6" spans="1:5" x14ac:dyDescent="0.3">
      <c r="A6" s="4">
        <v>1</v>
      </c>
      <c r="B6" s="7">
        <v>1543740</v>
      </c>
      <c r="C6" s="7">
        <v>-984800</v>
      </c>
      <c r="D6" s="5">
        <f>C6/B6</f>
        <v>-0.63793125785430194</v>
      </c>
      <c r="E6">
        <v>7</v>
      </c>
    </row>
    <row r="7" spans="1:5" x14ac:dyDescent="0.3">
      <c r="A7" s="4"/>
      <c r="B7" s="6">
        <f>SUM(B4:B6)</f>
        <v>5552780</v>
      </c>
      <c r="C7" s="6">
        <f>SUM(C4:C6)</f>
        <v>-2516110</v>
      </c>
      <c r="D7" s="5">
        <f>C7/B7</f>
        <v>-0.45312618184044751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5128200</v>
      </c>
      <c r="C9" s="7">
        <v>-1791305</v>
      </c>
      <c r="D9" s="5">
        <f>C9/B9</f>
        <v>-0.34930482430482429</v>
      </c>
      <c r="E9">
        <v>11</v>
      </c>
    </row>
    <row r="10" spans="1:5" x14ac:dyDescent="0.3">
      <c r="B10" s="7"/>
      <c r="C10" s="7">
        <v>295995.7</v>
      </c>
      <c r="D10" s="5">
        <f>C10/B9</f>
        <v>5.7719219219219221E-2</v>
      </c>
    </row>
    <row r="11" spans="1:5" x14ac:dyDescent="0.3">
      <c r="A11" s="1" t="s">
        <v>8</v>
      </c>
      <c r="B11" s="6">
        <f>B7+B9</f>
        <v>10680980</v>
      </c>
      <c r="C11" s="6">
        <f>C7+C9</f>
        <v>-4307415</v>
      </c>
      <c r="D11" s="5">
        <f>C11/B11</f>
        <v>-0.40327900623351043</v>
      </c>
      <c r="E11">
        <f>E4+E5+E6+E9</f>
        <v>29</v>
      </c>
    </row>
    <row r="13" spans="1:5" x14ac:dyDescent="0.3">
      <c r="B13" s="1" t="s">
        <v>0</v>
      </c>
      <c r="C13" s="9">
        <v>45884</v>
      </c>
      <c r="D13" t="s">
        <v>1</v>
      </c>
      <c r="E13">
        <v>1259.42</v>
      </c>
    </row>
    <row r="14" spans="1:5" x14ac:dyDescent="0.3">
      <c r="E14" s="8">
        <v>2.7798295567374047E-4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300140</v>
      </c>
      <c r="C16" s="7">
        <v>-211740</v>
      </c>
      <c r="D16" s="5">
        <v>-0.70547078030252552</v>
      </c>
      <c r="E16">
        <v>3</v>
      </c>
    </row>
    <row r="17" spans="1:5" x14ac:dyDescent="0.3">
      <c r="A17" s="4">
        <v>3</v>
      </c>
      <c r="B17" s="7">
        <v>3504400</v>
      </c>
      <c r="C17" s="7">
        <v>-1336730</v>
      </c>
      <c r="D17" s="5">
        <v>-0.38144332838717043</v>
      </c>
      <c r="E17">
        <v>7</v>
      </c>
    </row>
    <row r="18" spans="1:5" x14ac:dyDescent="0.3">
      <c r="A18" s="4">
        <v>1</v>
      </c>
      <c r="B18" s="7">
        <v>1543740</v>
      </c>
      <c r="C18" s="7">
        <v>-1054720</v>
      </c>
      <c r="D18" s="5">
        <v>-0.68322385893997695</v>
      </c>
      <c r="E18">
        <v>7</v>
      </c>
    </row>
    <row r="19" spans="1:5" x14ac:dyDescent="0.3">
      <c r="A19" s="4"/>
      <c r="B19" s="6">
        <v>5348280</v>
      </c>
      <c r="C19" s="6">
        <v>-2603190</v>
      </c>
      <c r="D19" s="5">
        <v>-0.4867340528169804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5138100</v>
      </c>
      <c r="C21" s="7">
        <v>-1748790</v>
      </c>
      <c r="D21" s="5">
        <v>-0.34035733053074091</v>
      </c>
      <c r="E21">
        <v>11</v>
      </c>
    </row>
    <row r="22" spans="1:5" x14ac:dyDescent="0.3">
      <c r="B22" s="7"/>
      <c r="C22" s="7">
        <v>299817.7</v>
      </c>
      <c r="D22" s="5">
        <v>5.8351861583075461E-2</v>
      </c>
    </row>
    <row r="23" spans="1:5" x14ac:dyDescent="0.3">
      <c r="A23" s="1" t="s">
        <v>8</v>
      </c>
      <c r="B23" s="6">
        <v>10486380</v>
      </c>
      <c r="C23" s="6">
        <v>-4351980</v>
      </c>
      <c r="D23" s="5">
        <v>-0.41501261636522802</v>
      </c>
      <c r="E23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400C-8AD0-4837-BB77-C3C717B678B6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45884</v>
      </c>
      <c r="D1" t="s">
        <v>1</v>
      </c>
      <c r="E1">
        <v>1259.42</v>
      </c>
    </row>
    <row r="2" spans="1:5" x14ac:dyDescent="0.3">
      <c r="E2" s="8">
        <f>(E1-E13)/E13</f>
        <v>2.7798295567374047E-4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300140</v>
      </c>
      <c r="C4" s="7">
        <v>-211740</v>
      </c>
      <c r="D4" s="5">
        <f>C4/B4</f>
        <v>-0.70547078030252552</v>
      </c>
      <c r="E4">
        <v>3</v>
      </c>
    </row>
    <row r="5" spans="1:5" x14ac:dyDescent="0.3">
      <c r="A5" s="4">
        <v>3</v>
      </c>
      <c r="B5" s="7">
        <v>3504400</v>
      </c>
      <c r="C5" s="7">
        <v>-1336730</v>
      </c>
      <c r="D5" s="5">
        <f>C5/B5</f>
        <v>-0.38144332838717043</v>
      </c>
      <c r="E5">
        <v>7</v>
      </c>
    </row>
    <row r="6" spans="1:5" x14ac:dyDescent="0.3">
      <c r="A6" s="4">
        <v>1</v>
      </c>
      <c r="B6" s="7">
        <v>1543740</v>
      </c>
      <c r="C6" s="7">
        <v>-1054720</v>
      </c>
      <c r="D6" s="5">
        <f>C6/B6</f>
        <v>-0.68322385893997695</v>
      </c>
      <c r="E6">
        <v>7</v>
      </c>
    </row>
    <row r="7" spans="1:5" x14ac:dyDescent="0.3">
      <c r="A7" s="4"/>
      <c r="B7" s="6">
        <f>SUM(B4:B6)</f>
        <v>5348280</v>
      </c>
      <c r="C7" s="6">
        <f>SUM(C4:C6)</f>
        <v>-2603190</v>
      </c>
      <c r="D7" s="5">
        <f>C7/B7</f>
        <v>-0.4867340528169804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5138100</v>
      </c>
      <c r="C9" s="7">
        <v>-1748790</v>
      </c>
      <c r="D9" s="5">
        <f>C9/B9</f>
        <v>-0.34035733053074091</v>
      </c>
      <c r="E9">
        <v>11</v>
      </c>
    </row>
    <row r="10" spans="1:5" x14ac:dyDescent="0.3">
      <c r="B10" s="7"/>
      <c r="C10" s="7">
        <v>299817.7</v>
      </c>
      <c r="D10" s="5">
        <f>C10/B9</f>
        <v>5.8351861583075461E-2</v>
      </c>
    </row>
    <row r="11" spans="1:5" x14ac:dyDescent="0.3">
      <c r="A11" s="1" t="s">
        <v>8</v>
      </c>
      <c r="B11" s="6">
        <f>B7+B9</f>
        <v>10486380</v>
      </c>
      <c r="C11" s="6">
        <f>C7+C9</f>
        <v>-4351980</v>
      </c>
      <c r="D11" s="5">
        <f>C11/B11</f>
        <v>-0.41501261636522802</v>
      </c>
      <c r="E11">
        <f>E4+E5+E6+E9</f>
        <v>28</v>
      </c>
    </row>
    <row r="13" spans="1:5" x14ac:dyDescent="0.3">
      <c r="B13" s="1" t="s">
        <v>0</v>
      </c>
      <c r="C13" s="9">
        <v>45877</v>
      </c>
      <c r="D13" t="s">
        <v>1</v>
      </c>
      <c r="E13">
        <v>1259.07</v>
      </c>
    </row>
    <row r="14" spans="1:5" x14ac:dyDescent="0.3">
      <c r="E14" s="8">
        <v>3.444111243478605E-2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300140</v>
      </c>
      <c r="C16" s="7">
        <v>-210840</v>
      </c>
      <c r="D16" s="5">
        <v>-0.70247217964949693</v>
      </c>
      <c r="E16">
        <v>3</v>
      </c>
    </row>
    <row r="17" spans="1:5" x14ac:dyDescent="0.3">
      <c r="A17" s="4">
        <v>3</v>
      </c>
      <c r="B17" s="7">
        <v>3504400</v>
      </c>
      <c r="C17" s="7">
        <v>-1225490</v>
      </c>
      <c r="D17" s="5">
        <v>-0.34970037666932996</v>
      </c>
      <c r="E17">
        <v>7</v>
      </c>
    </row>
    <row r="18" spans="1:5" x14ac:dyDescent="0.3">
      <c r="A18" s="4">
        <v>1</v>
      </c>
      <c r="B18" s="7">
        <v>1543740</v>
      </c>
      <c r="C18" s="7">
        <v>-1034500</v>
      </c>
      <c r="D18" s="5">
        <v>-0.67012579838573849</v>
      </c>
      <c r="E18">
        <v>7</v>
      </c>
    </row>
    <row r="19" spans="1:5" x14ac:dyDescent="0.3">
      <c r="A19" s="4"/>
      <c r="B19" s="6">
        <v>5348280</v>
      </c>
      <c r="C19" s="6">
        <v>-2470830</v>
      </c>
      <c r="D19" s="5">
        <v>-0.46198590948865803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5029350</v>
      </c>
      <c r="C21" s="7">
        <v>-1731790</v>
      </c>
      <c r="D21" s="5">
        <v>-0.34433674331673081</v>
      </c>
      <c r="E21">
        <v>11</v>
      </c>
    </row>
    <row r="22" spans="1:5" x14ac:dyDescent="0.3">
      <c r="B22" s="7"/>
      <c r="C22" s="7">
        <v>276670</v>
      </c>
      <c r="D22" s="5">
        <v>5.5011084931452375E-2</v>
      </c>
    </row>
    <row r="23" spans="1:5" x14ac:dyDescent="0.3">
      <c r="A23" s="1" t="s">
        <v>8</v>
      </c>
      <c r="B23" s="6">
        <v>10377630</v>
      </c>
      <c r="C23" s="6">
        <v>-4202620</v>
      </c>
      <c r="D23" s="5">
        <v>-0.40496914998896666</v>
      </c>
      <c r="E23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CB65-9456-4E75-B848-3BAB2F7365C7}">
  <dimension ref="A1:E23"/>
  <sheetViews>
    <sheetView topLeftCell="A4" workbookViewId="0">
      <selection activeCell="B5" sqref="B5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45877</v>
      </c>
      <c r="D1" t="s">
        <v>1</v>
      </c>
      <c r="E1">
        <v>1259.07</v>
      </c>
    </row>
    <row r="2" spans="1:5" x14ac:dyDescent="0.3">
      <c r="E2" s="8">
        <f>(E1-E13)/E13</f>
        <v>3.444111243478605E-2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2.6" customHeight="1" x14ac:dyDescent="0.3">
      <c r="A4" s="4">
        <v>4</v>
      </c>
      <c r="B4" s="7">
        <v>300140</v>
      </c>
      <c r="C4" s="7">
        <v>-210840</v>
      </c>
      <c r="D4" s="5">
        <f>C4/B4</f>
        <v>-0.70247217964949693</v>
      </c>
      <c r="E4">
        <v>3</v>
      </c>
    </row>
    <row r="5" spans="1:5" x14ac:dyDescent="0.3">
      <c r="A5" s="4">
        <v>3</v>
      </c>
      <c r="B5" s="7">
        <v>3504400</v>
      </c>
      <c r="C5" s="7">
        <v>-1225490</v>
      </c>
      <c r="D5" s="5">
        <f>C5/B5</f>
        <v>-0.34970037666932996</v>
      </c>
      <c r="E5">
        <v>7</v>
      </c>
    </row>
    <row r="6" spans="1:5" x14ac:dyDescent="0.3">
      <c r="A6" s="4">
        <v>1</v>
      </c>
      <c r="B6" s="7">
        <v>1543740</v>
      </c>
      <c r="C6" s="7">
        <v>-1034500</v>
      </c>
      <c r="D6" s="5">
        <f>C6/B6</f>
        <v>-0.67012579838573849</v>
      </c>
      <c r="E6">
        <v>7</v>
      </c>
    </row>
    <row r="7" spans="1:5" x14ac:dyDescent="0.3">
      <c r="A7" s="4"/>
      <c r="B7" s="6">
        <f>SUM(B4:B6)</f>
        <v>5348280</v>
      </c>
      <c r="C7" s="6">
        <f>SUM(C4:C6)</f>
        <v>-2470830</v>
      </c>
      <c r="D7" s="5">
        <f>C7/B7</f>
        <v>-0.46198590948865803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5029350</v>
      </c>
      <c r="C9" s="7">
        <v>-1731790</v>
      </c>
      <c r="D9" s="5">
        <f>C9/B9</f>
        <v>-0.34433674331673081</v>
      </c>
      <c r="E9">
        <v>11</v>
      </c>
    </row>
    <row r="10" spans="1:5" x14ac:dyDescent="0.3">
      <c r="B10" s="7"/>
      <c r="C10" s="7">
        <v>276670</v>
      </c>
      <c r="D10" s="5">
        <f>C10/B9</f>
        <v>5.5011084931452375E-2</v>
      </c>
    </row>
    <row r="11" spans="1:5" x14ac:dyDescent="0.3">
      <c r="A11" s="1" t="s">
        <v>8</v>
      </c>
      <c r="B11" s="6">
        <f>B7+B9</f>
        <v>10377630</v>
      </c>
      <c r="C11" s="6">
        <f>C7+C9</f>
        <v>-4202620</v>
      </c>
      <c r="D11" s="5">
        <f>C11/B11</f>
        <v>-0.40496914998896666</v>
      </c>
      <c r="E11">
        <f>E4+E5+E6+E9</f>
        <v>28</v>
      </c>
    </row>
    <row r="13" spans="1:5" x14ac:dyDescent="0.3">
      <c r="B13" s="1" t="s">
        <v>0</v>
      </c>
      <c r="C13" s="9">
        <v>45863</v>
      </c>
      <c r="D13" t="s">
        <v>1</v>
      </c>
      <c r="E13">
        <v>1217.1500000000001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416540</v>
      </c>
      <c r="C16" s="7">
        <v>-284400</v>
      </c>
      <c r="D16" s="5">
        <v>-0.68276756133864691</v>
      </c>
      <c r="E16">
        <v>4</v>
      </c>
    </row>
    <row r="17" spans="1:5" x14ac:dyDescent="0.3">
      <c r="A17" s="4">
        <v>3</v>
      </c>
      <c r="B17" s="7">
        <v>3591550</v>
      </c>
      <c r="C17" s="7">
        <v>-1326800</v>
      </c>
      <c r="D17" s="5">
        <v>-0.36942267266222106</v>
      </c>
      <c r="E17">
        <v>7</v>
      </c>
    </row>
    <row r="18" spans="1:5" x14ac:dyDescent="0.3">
      <c r="A18" s="4">
        <v>1</v>
      </c>
      <c r="B18" s="7">
        <v>1632240</v>
      </c>
      <c r="C18" s="7">
        <v>-1152920</v>
      </c>
      <c r="D18" s="5">
        <v>-0.7063422045777582</v>
      </c>
      <c r="E18">
        <v>7</v>
      </c>
    </row>
    <row r="19" spans="1:5" x14ac:dyDescent="0.3">
      <c r="A19" s="4"/>
      <c r="B19" s="6">
        <v>5640330</v>
      </c>
      <c r="C19" s="6">
        <v>-2764120</v>
      </c>
      <c r="D19" s="5">
        <v>-0.49006352465192637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5036250</v>
      </c>
      <c r="C21" s="7">
        <v>-1802045</v>
      </c>
      <c r="D21" s="5">
        <v>-0.35781484239265327</v>
      </c>
      <c r="E21">
        <v>10</v>
      </c>
    </row>
    <row r="22" spans="1:5" x14ac:dyDescent="0.3">
      <c r="B22" s="7"/>
      <c r="C22" s="7">
        <v>276670</v>
      </c>
      <c r="D22" s="5">
        <v>5.4935716058575328E-2</v>
      </c>
    </row>
    <row r="23" spans="1:5" x14ac:dyDescent="0.3">
      <c r="A23" s="1" t="s">
        <v>8</v>
      </c>
      <c r="B23" s="6">
        <v>10676580</v>
      </c>
      <c r="C23" s="6">
        <v>-4566165</v>
      </c>
      <c r="D23" s="5">
        <v>-0.42768049319164003</v>
      </c>
      <c r="E23">
        <v>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F463-2F30-449E-9ACA-B3134C3C5447}">
  <dimension ref="A1:E23"/>
  <sheetViews>
    <sheetView workbookViewId="0">
      <selection activeCell="E4" sqref="E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45856</v>
      </c>
      <c r="D1" t="s">
        <v>1</v>
      </c>
      <c r="E1">
        <v>1206.58</v>
      </c>
    </row>
    <row r="2" spans="1:5" x14ac:dyDescent="0.3">
      <c r="E2" s="8">
        <f>(E1-E13)/E13</f>
        <v>7.7361287211814803E-2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503540</v>
      </c>
      <c r="C4" s="7">
        <v>-350840</v>
      </c>
      <c r="D4" s="5">
        <f>C4/B4</f>
        <v>-0.69674703102037572</v>
      </c>
      <c r="E4">
        <v>4</v>
      </c>
    </row>
    <row r="5" spans="1:5" x14ac:dyDescent="0.3">
      <c r="A5" s="4">
        <v>3</v>
      </c>
      <c r="B5" s="7">
        <v>3591550</v>
      </c>
      <c r="C5" s="7">
        <v>-1314900</v>
      </c>
      <c r="D5" s="5">
        <f>C5/B5</f>
        <v>-0.36610933997856077</v>
      </c>
      <c r="E5">
        <v>7</v>
      </c>
    </row>
    <row r="6" spans="1:5" x14ac:dyDescent="0.3">
      <c r="A6" s="4">
        <v>1</v>
      </c>
      <c r="B6" s="7">
        <v>1632240</v>
      </c>
      <c r="C6" s="7">
        <v>-1153940</v>
      </c>
      <c r="D6" s="5">
        <f>C6/B6</f>
        <v>-0.70696711267950796</v>
      </c>
      <c r="E6">
        <v>7</v>
      </c>
    </row>
    <row r="7" spans="1:5" x14ac:dyDescent="0.3">
      <c r="A7" s="4"/>
      <c r="B7" s="6">
        <f>SUM(B4:B6)</f>
        <v>5727330</v>
      </c>
      <c r="C7" s="6">
        <f>SUM(C4:C6)</f>
        <v>-2819680</v>
      </c>
      <c r="D7" s="5">
        <f>C7/B7</f>
        <v>-0.49232015616351771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5036250</v>
      </c>
      <c r="C9" s="7">
        <v>-1834700</v>
      </c>
      <c r="D9" s="5">
        <f>C9/B9</f>
        <v>-0.36429883345743358</v>
      </c>
      <c r="E9">
        <v>10</v>
      </c>
    </row>
    <row r="10" spans="1:5" x14ac:dyDescent="0.3">
      <c r="B10" s="7"/>
      <c r="C10" s="7">
        <v>276670</v>
      </c>
      <c r="D10" s="5">
        <f>C10/B9</f>
        <v>5.4935716058575328E-2</v>
      </c>
    </row>
    <row r="11" spans="1:5" x14ac:dyDescent="0.3">
      <c r="A11" s="1" t="s">
        <v>8</v>
      </c>
      <c r="B11" s="6">
        <f>B7+B9</f>
        <v>10763580</v>
      </c>
      <c r="C11" s="6">
        <f>C7+C9</f>
        <v>-4654380</v>
      </c>
      <c r="D11" s="5">
        <f>C11/B11</f>
        <v>-0.43241932516876358</v>
      </c>
      <c r="E11">
        <f>E4+E5+E6+E9</f>
        <v>28</v>
      </c>
    </row>
    <row r="13" spans="1:5" x14ac:dyDescent="0.3">
      <c r="B13" s="1" t="s">
        <v>0</v>
      </c>
      <c r="C13" s="9">
        <v>45842</v>
      </c>
      <c r="D13" t="s">
        <v>1</v>
      </c>
      <c r="E13">
        <v>1119.94</v>
      </c>
    </row>
    <row r="14" spans="1:5" x14ac:dyDescent="0.3">
      <c r="E14" s="8">
        <v>3.4663069788067456E-2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677540</v>
      </c>
      <c r="C16" s="7">
        <v>-489280</v>
      </c>
      <c r="D16" s="5">
        <v>-0.72214186616288334</v>
      </c>
      <c r="E16">
        <v>4</v>
      </c>
    </row>
    <row r="17" spans="1:5" x14ac:dyDescent="0.3">
      <c r="A17" s="4">
        <v>3</v>
      </c>
      <c r="B17" s="7">
        <v>3591550</v>
      </c>
      <c r="C17" s="7">
        <v>-1415000</v>
      </c>
      <c r="D17" s="5">
        <v>-0.39398031490582058</v>
      </c>
      <c r="E17">
        <v>7</v>
      </c>
    </row>
    <row r="18" spans="1:5" x14ac:dyDescent="0.3">
      <c r="A18" s="4">
        <v>1</v>
      </c>
      <c r="B18" s="7">
        <v>1632240</v>
      </c>
      <c r="C18" s="7">
        <v>-1193370</v>
      </c>
      <c r="D18" s="5">
        <v>-0.73112409939714751</v>
      </c>
      <c r="E18">
        <v>7</v>
      </c>
    </row>
    <row r="19" spans="1:5" x14ac:dyDescent="0.3">
      <c r="A19" s="4"/>
      <c r="B19" s="6">
        <v>5901330</v>
      </c>
      <c r="C19" s="6">
        <v>-3097650</v>
      </c>
      <c r="D19" s="5">
        <v>-0.5249070972136789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4992250</v>
      </c>
      <c r="C21" s="7">
        <v>-1906345</v>
      </c>
      <c r="D21" s="5">
        <v>-0.3818608843707747</v>
      </c>
      <c r="E21">
        <v>10</v>
      </c>
    </row>
    <row r="22" spans="1:5" x14ac:dyDescent="0.3">
      <c r="B22" s="7"/>
      <c r="C22" s="7">
        <v>273102</v>
      </c>
      <c r="D22" s="5">
        <v>5.4705193049226303E-2</v>
      </c>
    </row>
    <row r="23" spans="1:5" x14ac:dyDescent="0.3">
      <c r="A23" s="1" t="s">
        <v>8</v>
      </c>
      <c r="B23" s="6">
        <v>10893580</v>
      </c>
      <c r="C23" s="6">
        <v>-5003995</v>
      </c>
      <c r="D23" s="5">
        <v>-0.45935266459694607</v>
      </c>
      <c r="E23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DE61-BBCF-4D9C-9297-1085B1D8263C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45842</v>
      </c>
      <c r="D1" t="s">
        <v>1</v>
      </c>
      <c r="E1">
        <v>1119.94</v>
      </c>
    </row>
    <row r="2" spans="1:5" x14ac:dyDescent="0.3">
      <c r="E2" s="8">
        <f>(E1-E13)/E13</f>
        <v>3.4663069788067456E-2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677540</v>
      </c>
      <c r="C4" s="7">
        <v>-489280</v>
      </c>
      <c r="D4" s="5">
        <f>C4/B4</f>
        <v>-0.72214186616288334</v>
      </c>
      <c r="E4">
        <v>4</v>
      </c>
    </row>
    <row r="5" spans="1:5" x14ac:dyDescent="0.3">
      <c r="A5" s="4">
        <v>3</v>
      </c>
      <c r="B5" s="7">
        <v>3591550</v>
      </c>
      <c r="C5" s="7">
        <v>-1415000</v>
      </c>
      <c r="D5" s="5">
        <f>C5/B5</f>
        <v>-0.39398031490582058</v>
      </c>
      <c r="E5">
        <v>7</v>
      </c>
    </row>
    <row r="6" spans="1:5" x14ac:dyDescent="0.3">
      <c r="A6" s="4">
        <v>1</v>
      </c>
      <c r="B6" s="7">
        <v>1632240</v>
      </c>
      <c r="C6" s="7">
        <v>-1193370</v>
      </c>
      <c r="D6" s="5">
        <f>C6/B6</f>
        <v>-0.73112409939714751</v>
      </c>
      <c r="E6">
        <v>7</v>
      </c>
    </row>
    <row r="7" spans="1:5" x14ac:dyDescent="0.3">
      <c r="A7" s="4"/>
      <c r="B7" s="6">
        <f>SUM(B4:B6)</f>
        <v>5901330</v>
      </c>
      <c r="C7" s="6">
        <f>SUM(C4:C6)</f>
        <v>-3097650</v>
      </c>
      <c r="D7" s="5">
        <f>C7/B7</f>
        <v>-0.5249070972136789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4992250</v>
      </c>
      <c r="C9" s="7">
        <v>-1906345</v>
      </c>
      <c r="D9" s="5">
        <f>C9/B9</f>
        <v>-0.3818608843707747</v>
      </c>
      <c r="E9">
        <v>10</v>
      </c>
    </row>
    <row r="10" spans="1:5" x14ac:dyDescent="0.3">
      <c r="B10" s="7"/>
      <c r="C10" s="7">
        <v>273102</v>
      </c>
      <c r="D10" s="5">
        <f>C10/B9</f>
        <v>5.4705193049226303E-2</v>
      </c>
    </row>
    <row r="11" spans="1:5" x14ac:dyDescent="0.3">
      <c r="A11" s="1" t="s">
        <v>8</v>
      </c>
      <c r="B11" s="6">
        <f>B7+B9</f>
        <v>10893580</v>
      </c>
      <c r="C11" s="6">
        <f>C7+C9</f>
        <v>-5003995</v>
      </c>
      <c r="D11" s="5">
        <f>C11/B11</f>
        <v>-0.45935266459694607</v>
      </c>
      <c r="E11">
        <f>E4+E5+E6+E9</f>
        <v>28</v>
      </c>
    </row>
    <row r="13" spans="1:5" x14ac:dyDescent="0.3">
      <c r="B13" s="1" t="s">
        <v>0</v>
      </c>
      <c r="C13" s="9">
        <v>45835</v>
      </c>
      <c r="D13" t="s">
        <v>1</v>
      </c>
      <c r="E13">
        <v>1082.42</v>
      </c>
    </row>
    <row r="14" spans="1:5" x14ac:dyDescent="0.3">
      <c r="E14" s="8">
        <v>1.3853113906503154E-2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862040</v>
      </c>
      <c r="C16" s="7">
        <v>-638120</v>
      </c>
      <c r="D16" s="5">
        <v>-0.740244072200826</v>
      </c>
      <c r="E16">
        <v>4</v>
      </c>
    </row>
    <row r="17" spans="1:5" x14ac:dyDescent="0.3">
      <c r="A17" s="4">
        <v>3</v>
      </c>
      <c r="B17" s="7">
        <v>3591550</v>
      </c>
      <c r="C17" s="7">
        <v>-1535300</v>
      </c>
      <c r="D17" s="5">
        <v>-0.42747560245576421</v>
      </c>
      <c r="E17">
        <v>7</v>
      </c>
    </row>
    <row r="18" spans="1:5" x14ac:dyDescent="0.3">
      <c r="A18" s="4">
        <v>1</v>
      </c>
      <c r="B18" s="7">
        <v>1632240</v>
      </c>
      <c r="C18" s="7">
        <v>-1215910</v>
      </c>
      <c r="D18" s="5">
        <v>-0.74493334313581339</v>
      </c>
      <c r="E18">
        <v>7</v>
      </c>
    </row>
    <row r="19" spans="1:5" x14ac:dyDescent="0.3">
      <c r="A19" s="4"/>
      <c r="B19" s="6">
        <v>6085830</v>
      </c>
      <c r="C19" s="6">
        <v>-3389330</v>
      </c>
      <c r="D19" s="5">
        <v>-0.55692157027061218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4992250</v>
      </c>
      <c r="C21" s="7">
        <v>-1945370</v>
      </c>
      <c r="D21" s="5">
        <v>-0.38967800090139715</v>
      </c>
      <c r="E21">
        <v>10</v>
      </c>
    </row>
    <row r="22" spans="1:5" x14ac:dyDescent="0.3">
      <c r="B22" s="7"/>
      <c r="C22" s="7">
        <v>273102</v>
      </c>
      <c r="D22" s="5">
        <v>5.4705193049226303E-2</v>
      </c>
    </row>
    <row r="23" spans="1:5" x14ac:dyDescent="0.3">
      <c r="A23" s="1" t="s">
        <v>8</v>
      </c>
      <c r="B23" s="6">
        <v>11078080</v>
      </c>
      <c r="C23" s="6">
        <v>-5334700</v>
      </c>
      <c r="D23" s="5">
        <v>-0.48155456541205699</v>
      </c>
      <c r="E23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50F8-72D0-4C2F-8B80-26C88CE91628}">
  <dimension ref="A1:E23"/>
  <sheetViews>
    <sheetView workbookViewId="0">
      <selection activeCell="D9" sqref="D9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45835</v>
      </c>
      <c r="D1" t="s">
        <v>1</v>
      </c>
      <c r="E1">
        <v>1082.42</v>
      </c>
    </row>
    <row r="2" spans="1:5" x14ac:dyDescent="0.3">
      <c r="E2" s="8">
        <f>(E1-E13)/E13</f>
        <v>1.3853113906503154E-2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862040</v>
      </c>
      <c r="C4" s="7">
        <v>-638120</v>
      </c>
      <c r="D4" s="5">
        <f>C4/B4</f>
        <v>-0.740244072200826</v>
      </c>
      <c r="E4">
        <v>4</v>
      </c>
    </row>
    <row r="5" spans="1:5" x14ac:dyDescent="0.3">
      <c r="A5" s="4">
        <v>3</v>
      </c>
      <c r="B5" s="7">
        <v>3591550</v>
      </c>
      <c r="C5" s="7">
        <v>-1535300</v>
      </c>
      <c r="D5" s="5">
        <f>C5/B5</f>
        <v>-0.42747560245576421</v>
      </c>
      <c r="E5">
        <v>7</v>
      </c>
    </row>
    <row r="6" spans="1:5" x14ac:dyDescent="0.3">
      <c r="A6" s="4">
        <v>1</v>
      </c>
      <c r="B6" s="7">
        <v>1632240</v>
      </c>
      <c r="C6" s="7">
        <v>-1215910</v>
      </c>
      <c r="D6" s="5">
        <f>C6/B6</f>
        <v>-0.74493334313581339</v>
      </c>
      <c r="E6">
        <v>7</v>
      </c>
    </row>
    <row r="7" spans="1:5" x14ac:dyDescent="0.3">
      <c r="A7" s="4"/>
      <c r="B7" s="6">
        <f>SUM(B4:B6)</f>
        <v>6085830</v>
      </c>
      <c r="C7" s="6">
        <f>SUM(C4:C6)</f>
        <v>-3389330</v>
      </c>
      <c r="D7" s="5">
        <f>C7/B7</f>
        <v>-0.55692157027061218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4992250</v>
      </c>
      <c r="C9" s="7">
        <v>-1945370</v>
      </c>
      <c r="D9" s="5">
        <f>C9/B9</f>
        <v>-0.38967800090139715</v>
      </c>
      <c r="E9">
        <v>10</v>
      </c>
    </row>
    <row r="10" spans="1:5" x14ac:dyDescent="0.3">
      <c r="B10" s="7"/>
      <c r="C10" s="7">
        <v>273102</v>
      </c>
      <c r="D10" s="5">
        <f>C10/B9</f>
        <v>5.4705193049226303E-2</v>
      </c>
    </row>
    <row r="11" spans="1:5" x14ac:dyDescent="0.3">
      <c r="A11" s="1" t="s">
        <v>8</v>
      </c>
      <c r="B11" s="6">
        <f>B7+B9</f>
        <v>11078080</v>
      </c>
      <c r="C11" s="6">
        <f>C7+C9</f>
        <v>-5334700</v>
      </c>
      <c r="D11" s="5">
        <f>C11/B11</f>
        <v>-0.48155456541205699</v>
      </c>
      <c r="E11">
        <f>E4+E5+E6+E9</f>
        <v>28</v>
      </c>
    </row>
    <row r="13" spans="1:5" x14ac:dyDescent="0.3">
      <c r="B13" s="1" t="s">
        <v>0</v>
      </c>
      <c r="C13" s="9">
        <v>45828</v>
      </c>
      <c r="D13" t="s">
        <v>1</v>
      </c>
      <c r="E13">
        <v>1067.6300000000001</v>
      </c>
    </row>
    <row r="14" spans="1:5" x14ac:dyDescent="0.3">
      <c r="E14" s="8">
        <v>-4.9051393960986851E-2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862040</v>
      </c>
      <c r="C16" s="7">
        <v>-661565</v>
      </c>
      <c r="D16" s="5">
        <v>-0.76744118602385036</v>
      </c>
      <c r="E16">
        <v>4</v>
      </c>
    </row>
    <row r="17" spans="1:5" x14ac:dyDescent="0.3">
      <c r="A17" s="4">
        <v>3</v>
      </c>
      <c r="B17" s="7">
        <v>3591550</v>
      </c>
      <c r="C17" s="7">
        <v>-1538750</v>
      </c>
      <c r="D17" s="5">
        <v>-0.42843619050270776</v>
      </c>
      <c r="E17">
        <v>7</v>
      </c>
    </row>
    <row r="18" spans="1:5" x14ac:dyDescent="0.3">
      <c r="A18" s="4">
        <v>1</v>
      </c>
      <c r="B18" s="7">
        <v>1632240</v>
      </c>
      <c r="C18" s="7">
        <v>-1237390</v>
      </c>
      <c r="D18" s="5">
        <v>-0.75809317257266084</v>
      </c>
      <c r="E18">
        <v>7</v>
      </c>
    </row>
    <row r="19" spans="1:5" x14ac:dyDescent="0.3">
      <c r="A19" s="4"/>
      <c r="B19" s="6">
        <v>6085830</v>
      </c>
      <c r="C19" s="6">
        <v>-3437705</v>
      </c>
      <c r="D19" s="5">
        <v>-0.56487036279357128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4972600</v>
      </c>
      <c r="C21" s="7">
        <v>-1984215</v>
      </c>
      <c r="D21" s="5">
        <v>-0.39902968266098221</v>
      </c>
      <c r="E21">
        <v>10</v>
      </c>
    </row>
    <row r="22" spans="1:5" x14ac:dyDescent="0.3">
      <c r="B22" s="7"/>
      <c r="C22" s="7">
        <v>271302.75</v>
      </c>
      <c r="D22" s="5">
        <v>5.4559536258697666E-2</v>
      </c>
    </row>
    <row r="23" spans="1:5" x14ac:dyDescent="0.3">
      <c r="A23" s="1" t="s">
        <v>8</v>
      </c>
      <c r="B23" s="6">
        <v>11058430</v>
      </c>
      <c r="C23" s="6">
        <v>-5421920</v>
      </c>
      <c r="D23" s="5">
        <v>-0.49029744728682101</v>
      </c>
      <c r="E23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3650-B0E8-466D-8F31-78659B503768}">
  <dimension ref="A1:E23"/>
  <sheetViews>
    <sheetView workbookViewId="0">
      <selection activeCell="B18" sqref="B18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45828</v>
      </c>
      <c r="D1" t="s">
        <v>1</v>
      </c>
      <c r="E1">
        <v>1067.6300000000001</v>
      </c>
    </row>
    <row r="2" spans="1:5" x14ac:dyDescent="0.3">
      <c r="E2" s="8">
        <f>(E1-E13)/E13</f>
        <v>-4.9051393960986851E-2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862040</v>
      </c>
      <c r="C4" s="7">
        <v>-661565</v>
      </c>
      <c r="D4" s="5">
        <f>C4/B4</f>
        <v>-0.76744118602385036</v>
      </c>
      <c r="E4">
        <v>4</v>
      </c>
    </row>
    <row r="5" spans="1:5" x14ac:dyDescent="0.3">
      <c r="A5" s="4">
        <v>3</v>
      </c>
      <c r="B5" s="7">
        <v>3591550</v>
      </c>
      <c r="C5" s="7">
        <v>-1538750</v>
      </c>
      <c r="D5" s="5">
        <f>C5/B5</f>
        <v>-0.42843619050270776</v>
      </c>
      <c r="E5">
        <v>7</v>
      </c>
    </row>
    <row r="6" spans="1:5" x14ac:dyDescent="0.3">
      <c r="A6" s="4">
        <v>1</v>
      </c>
      <c r="B6" s="7">
        <v>1632240</v>
      </c>
      <c r="C6" s="7">
        <v>-1237390</v>
      </c>
      <c r="D6" s="5">
        <f>C6/B6</f>
        <v>-0.75809317257266084</v>
      </c>
      <c r="E6">
        <v>7</v>
      </c>
    </row>
    <row r="7" spans="1:5" x14ac:dyDescent="0.3">
      <c r="A7" s="4"/>
      <c r="B7" s="6">
        <f>SUM(B4:B6)</f>
        <v>6085830</v>
      </c>
      <c r="C7" s="6">
        <f>SUM(C4:C6)</f>
        <v>-3437705</v>
      </c>
      <c r="D7" s="5">
        <f>C7/B7</f>
        <v>-0.56487036279357128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4972600</v>
      </c>
      <c r="C9" s="7">
        <v>-1984215</v>
      </c>
      <c r="D9" s="5">
        <f>C9/B9</f>
        <v>-0.39902968266098221</v>
      </c>
      <c r="E9">
        <v>10</v>
      </c>
    </row>
    <row r="10" spans="1:5" x14ac:dyDescent="0.3">
      <c r="B10" s="7"/>
      <c r="C10" s="7">
        <v>271302.75</v>
      </c>
      <c r="D10" s="5">
        <f>C10/B9</f>
        <v>5.4559536258697666E-2</v>
      </c>
    </row>
    <row r="11" spans="1:5" x14ac:dyDescent="0.3">
      <c r="A11" s="1" t="s">
        <v>8</v>
      </c>
      <c r="B11" s="6">
        <f>B7+B9</f>
        <v>11058430</v>
      </c>
      <c r="C11" s="6">
        <f>C7+C9</f>
        <v>-5421920</v>
      </c>
      <c r="D11" s="5">
        <f>C11/B11</f>
        <v>-0.49029744728682101</v>
      </c>
      <c r="E11">
        <f>E4+E5+E6+E9</f>
        <v>28</v>
      </c>
    </row>
    <row r="13" spans="1:5" x14ac:dyDescent="0.3">
      <c r="B13" s="1" t="s">
        <v>0</v>
      </c>
      <c r="C13" s="9">
        <v>45821</v>
      </c>
      <c r="D13" t="s">
        <v>1</v>
      </c>
      <c r="E13">
        <v>1122.7</v>
      </c>
    </row>
    <row r="14" spans="1:5" x14ac:dyDescent="0.3">
      <c r="E14" s="8">
        <v>-2.3042517273186111E-2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1063040</v>
      </c>
      <c r="C16" s="7">
        <v>-805890</v>
      </c>
      <c r="D16" s="5" t="e">
        <v>#NAME?</v>
      </c>
      <c r="E16">
        <v>4</v>
      </c>
    </row>
    <row r="17" spans="1:5" x14ac:dyDescent="0.3">
      <c r="A17" s="4">
        <v>3</v>
      </c>
      <c r="B17" s="7">
        <v>3591550</v>
      </c>
      <c r="C17" s="7">
        <v>-1423200</v>
      </c>
      <c r="D17" s="5">
        <v>-0.39626345171304866</v>
      </c>
      <c r="E17">
        <v>7</v>
      </c>
    </row>
    <row r="18" spans="1:5" x14ac:dyDescent="0.3">
      <c r="A18" s="4">
        <v>1</v>
      </c>
      <c r="B18" s="7">
        <v>1632240</v>
      </c>
      <c r="C18" s="7">
        <v>-1201240</v>
      </c>
      <c r="D18" s="5">
        <v>-0.73594569426064793</v>
      </c>
      <c r="E18">
        <v>7</v>
      </c>
    </row>
    <row r="19" spans="1:5" x14ac:dyDescent="0.3">
      <c r="A19" s="4"/>
      <c r="B19" s="6">
        <v>6286830</v>
      </c>
      <c r="C19" s="6">
        <v>-3430330</v>
      </c>
      <c r="D19" s="5">
        <v>-0.54563746753133135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4971598</v>
      </c>
      <c r="C21" s="7">
        <v>-1870168</v>
      </c>
      <c r="D21" s="5">
        <v>-0.37617039833067756</v>
      </c>
      <c r="E21">
        <v>10</v>
      </c>
    </row>
    <row r="22" spans="1:5" x14ac:dyDescent="0.3">
      <c r="B22" s="7"/>
      <c r="C22" s="7">
        <v>271302.75</v>
      </c>
      <c r="D22" s="5">
        <v>5.4570532452543424E-2</v>
      </c>
    </row>
    <row r="23" spans="1:5" x14ac:dyDescent="0.3">
      <c r="A23" s="1" t="s">
        <v>8</v>
      </c>
      <c r="B23" s="6">
        <v>11258428</v>
      </c>
      <c r="C23" s="6">
        <v>-5300498</v>
      </c>
      <c r="D23" s="5">
        <v>-0.47080267333947512</v>
      </c>
      <c r="E23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D9C1-2030-4328-9D69-E157E8DC4B84}">
  <dimension ref="A1:E23"/>
  <sheetViews>
    <sheetView workbookViewId="0">
      <selection activeCell="B6" sqref="B6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45821</v>
      </c>
      <c r="D1" t="s">
        <v>1</v>
      </c>
      <c r="E1">
        <v>1122.7</v>
      </c>
    </row>
    <row r="2" spans="1:5" x14ac:dyDescent="0.3">
      <c r="E2" s="8">
        <f>(E1-E13)/E13</f>
        <v>-2.3042517273186111E-2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1063040</v>
      </c>
      <c r="C4" s="7">
        <v>-805890</v>
      </c>
      <c r="D4" s="5" t="e" cm="1">
        <f t="array" ref="D4">B61632240=C4/B4</f>
        <v>#NAME?</v>
      </c>
      <c r="E4">
        <v>4</v>
      </c>
    </row>
    <row r="5" spans="1:5" x14ac:dyDescent="0.3">
      <c r="A5" s="4">
        <v>3</v>
      </c>
      <c r="B5" s="7">
        <v>3591550</v>
      </c>
      <c r="C5" s="7">
        <v>-1423200</v>
      </c>
      <c r="D5" s="5">
        <f>C5/B5</f>
        <v>-0.39626345171304866</v>
      </c>
      <c r="E5">
        <v>7</v>
      </c>
    </row>
    <row r="6" spans="1:5" x14ac:dyDescent="0.3">
      <c r="A6" s="4">
        <v>1</v>
      </c>
      <c r="B6" s="7">
        <v>1632240</v>
      </c>
      <c r="C6" s="7">
        <v>-1201240</v>
      </c>
      <c r="D6" s="5">
        <f>C6/B6</f>
        <v>-0.73594569426064793</v>
      </c>
      <c r="E6">
        <v>7</v>
      </c>
    </row>
    <row r="7" spans="1:5" x14ac:dyDescent="0.3">
      <c r="A7" s="4"/>
      <c r="B7" s="6">
        <f>SUM(B4:B6)</f>
        <v>6286830</v>
      </c>
      <c r="C7" s="6">
        <f>SUM(C4:C6)</f>
        <v>-3430330</v>
      </c>
      <c r="D7" s="5">
        <f>C7/B7</f>
        <v>-0.54563746753133135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4971598</v>
      </c>
      <c r="C9" s="7">
        <v>-1870168</v>
      </c>
      <c r="D9" s="5">
        <f>C9/B9</f>
        <v>-0.37617039833067756</v>
      </c>
      <c r="E9">
        <v>10</v>
      </c>
    </row>
    <row r="10" spans="1:5" x14ac:dyDescent="0.3">
      <c r="B10" s="7"/>
      <c r="C10" s="7">
        <v>271302.75</v>
      </c>
      <c r="D10" s="5">
        <f>C10/B9</f>
        <v>5.4570532452543424E-2</v>
      </c>
    </row>
    <row r="11" spans="1:5" x14ac:dyDescent="0.3">
      <c r="A11" s="1" t="s">
        <v>8</v>
      </c>
      <c r="B11" s="6">
        <f>B7+B9</f>
        <v>11258428</v>
      </c>
      <c r="C11" s="6">
        <f>C7+C9</f>
        <v>-5300498</v>
      </c>
      <c r="D11" s="5">
        <f>C11/B11</f>
        <v>-0.47080267333947512</v>
      </c>
      <c r="E11">
        <f>E4+E5+E6+E9</f>
        <v>28</v>
      </c>
    </row>
    <row r="13" spans="1:5" x14ac:dyDescent="0.3">
      <c r="B13" s="1" t="s">
        <v>0</v>
      </c>
      <c r="C13" s="9">
        <v>45807</v>
      </c>
      <c r="D13" t="s">
        <v>1</v>
      </c>
      <c r="E13">
        <v>1149.18</v>
      </c>
    </row>
    <row r="14" spans="1:5" x14ac:dyDescent="0.3">
      <c r="E14" s="8">
        <v>-2.3105171886157162E-2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-683180</v>
      </c>
      <c r="D16" s="5">
        <v>-0.37104544244879784</v>
      </c>
      <c r="E16">
        <v>6</v>
      </c>
    </row>
    <row r="17" spans="1:5" x14ac:dyDescent="0.3">
      <c r="A17" s="4">
        <v>3</v>
      </c>
      <c r="B17" s="7">
        <v>2409900</v>
      </c>
      <c r="C17" s="7">
        <v>-1440450</v>
      </c>
      <c r="D17" s="5">
        <v>-0.59772189717415658</v>
      </c>
      <c r="E17">
        <v>4</v>
      </c>
    </row>
    <row r="18" spans="1:5" x14ac:dyDescent="0.3">
      <c r="A18" s="4">
        <v>1</v>
      </c>
      <c r="B18" s="7">
        <v>1977200</v>
      </c>
      <c r="C18" s="7">
        <v>-1316320</v>
      </c>
      <c r="D18" s="5">
        <v>-0.66574954481084359</v>
      </c>
      <c r="E18">
        <v>8</v>
      </c>
    </row>
    <row r="19" spans="1:5" x14ac:dyDescent="0.3">
      <c r="A19" s="4"/>
      <c r="B19" s="6">
        <v>6228330</v>
      </c>
      <c r="C19" s="6">
        <v>-3439950</v>
      </c>
      <c r="D19" s="5">
        <v>-0.55230695868716018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4971598</v>
      </c>
      <c r="C21" s="7">
        <v>-1743778</v>
      </c>
      <c r="D21" s="5">
        <v>-0.35074798887601127</v>
      </c>
      <c r="E21">
        <v>10</v>
      </c>
    </row>
    <row r="22" spans="1:5" x14ac:dyDescent="0.3">
      <c r="B22" s="7"/>
      <c r="C22" s="7">
        <v>271302.75</v>
      </c>
      <c r="D22" s="5">
        <v>5.4570532452543424E-2</v>
      </c>
    </row>
    <row r="23" spans="1:5" x14ac:dyDescent="0.3">
      <c r="A23" s="1" t="s">
        <v>8</v>
      </c>
      <c r="B23" s="6">
        <v>11199928</v>
      </c>
      <c r="C23" s="6">
        <v>-5183728</v>
      </c>
      <c r="D23" s="5">
        <v>-0.46283583251606619</v>
      </c>
      <c r="E23">
        <v>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93AA-68B5-4D75-8672-E97855DF0173}">
  <dimension ref="A1:E23"/>
  <sheetViews>
    <sheetView workbookViewId="0">
      <selection activeCell="D27" sqref="D27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45807</v>
      </c>
      <c r="D1" t="s">
        <v>1</v>
      </c>
      <c r="E1">
        <v>1149.18</v>
      </c>
    </row>
    <row r="2" spans="1:5" x14ac:dyDescent="0.3">
      <c r="E2" s="8">
        <f>(E1-E13)/E13</f>
        <v>-2.3105171886157162E-2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-683180</v>
      </c>
      <c r="D4" s="5">
        <f>C4/B4</f>
        <v>-0.37104544244879784</v>
      </c>
      <c r="E4">
        <v>6</v>
      </c>
    </row>
    <row r="5" spans="1:5" x14ac:dyDescent="0.3">
      <c r="A5" s="4">
        <v>3</v>
      </c>
      <c r="B5" s="7">
        <v>2409900</v>
      </c>
      <c r="C5" s="7">
        <v>-1440450</v>
      </c>
      <c r="D5" s="5">
        <f>C5/B5</f>
        <v>-0.59772189717415658</v>
      </c>
      <c r="E5">
        <v>4</v>
      </c>
    </row>
    <row r="6" spans="1:5" x14ac:dyDescent="0.3">
      <c r="A6" s="4">
        <v>1</v>
      </c>
      <c r="B6" s="7">
        <v>1977200</v>
      </c>
      <c r="C6" s="7">
        <v>-1316320</v>
      </c>
      <c r="D6" s="5">
        <f>C6/B6</f>
        <v>-0.66574954481084359</v>
      </c>
      <c r="E6">
        <v>8</v>
      </c>
    </row>
    <row r="7" spans="1:5" x14ac:dyDescent="0.3">
      <c r="A7" s="4"/>
      <c r="B7" s="6">
        <f>SUM(B4:B6)</f>
        <v>6228330</v>
      </c>
      <c r="C7" s="6">
        <f>SUM(C4:C6)</f>
        <v>-3439950</v>
      </c>
      <c r="D7" s="5">
        <f>C7/B7</f>
        <v>-0.55230695868716018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4971598</v>
      </c>
      <c r="C9" s="7">
        <v>-1743778</v>
      </c>
      <c r="D9" s="5">
        <f>C9/B9</f>
        <v>-0.35074798887601127</v>
      </c>
      <c r="E9">
        <v>10</v>
      </c>
    </row>
    <row r="10" spans="1:5" x14ac:dyDescent="0.3">
      <c r="B10" s="7"/>
      <c r="C10" s="7">
        <v>271302.75</v>
      </c>
      <c r="D10" s="5">
        <f>C10/B9</f>
        <v>5.4570532452543424E-2</v>
      </c>
    </row>
    <row r="11" spans="1:5" x14ac:dyDescent="0.3">
      <c r="A11" s="1" t="s">
        <v>8</v>
      </c>
      <c r="B11" s="6">
        <f>B7+B9</f>
        <v>11199928</v>
      </c>
      <c r="C11" s="6">
        <f>C7+C9</f>
        <v>-5183728</v>
      </c>
      <c r="D11" s="5">
        <f>C11/B11</f>
        <v>-0.46283583251606619</v>
      </c>
      <c r="E11">
        <f>E4+E5+E6+E9</f>
        <v>28</v>
      </c>
    </row>
    <row r="13" spans="1:5" x14ac:dyDescent="0.3">
      <c r="B13" s="1" t="s">
        <v>0</v>
      </c>
      <c r="C13" s="9">
        <v>45800</v>
      </c>
      <c r="D13" t="s">
        <v>1</v>
      </c>
      <c r="E13">
        <v>1176.3599999999999</v>
      </c>
    </row>
    <row r="14" spans="1:5" x14ac:dyDescent="0.3">
      <c r="E14" s="8">
        <v>-1.6232218570460942E-2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-662540</v>
      </c>
      <c r="D16" s="5">
        <v>-0.35983554471738999</v>
      </c>
      <c r="E16">
        <v>6</v>
      </c>
    </row>
    <row r="17" spans="1:5" x14ac:dyDescent="0.3">
      <c r="A17" s="4">
        <v>3</v>
      </c>
      <c r="B17" s="7">
        <v>2409900</v>
      </c>
      <c r="C17" s="7">
        <v>-1468730</v>
      </c>
      <c r="D17" s="5">
        <v>-0.6094568239346031</v>
      </c>
      <c r="E17">
        <v>4</v>
      </c>
    </row>
    <row r="18" spans="1:5" x14ac:dyDescent="0.3">
      <c r="A18" s="4">
        <v>1</v>
      </c>
      <c r="B18" s="7">
        <v>1977200</v>
      </c>
      <c r="C18" s="7">
        <v>-1316200</v>
      </c>
      <c r="D18" s="5">
        <v>-0.66568885292332591</v>
      </c>
      <c r="E18">
        <v>8</v>
      </c>
    </row>
    <row r="19" spans="1:5" x14ac:dyDescent="0.3">
      <c r="A19" s="4"/>
      <c r="B19" s="6">
        <v>6228330</v>
      </c>
      <c r="C19" s="6">
        <v>-3447470</v>
      </c>
      <c r="D19" s="5">
        <v>-0.55351434493676477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4971598</v>
      </c>
      <c r="C21" s="7">
        <v>-1731098</v>
      </c>
      <c r="D21" s="5">
        <v>-0.34819750108516417</v>
      </c>
      <c r="E21">
        <v>10</v>
      </c>
    </row>
    <row r="22" spans="1:5" x14ac:dyDescent="0.3">
      <c r="B22" s="7"/>
      <c r="C22" s="7">
        <v>271302.75</v>
      </c>
      <c r="D22" s="5">
        <v>5.4570532452543424E-2</v>
      </c>
    </row>
    <row r="23" spans="1:5" x14ac:dyDescent="0.3">
      <c r="A23" s="1" t="s">
        <v>8</v>
      </c>
      <c r="B23" s="6">
        <v>11199928</v>
      </c>
      <c r="C23" s="6">
        <v>-5178568</v>
      </c>
      <c r="D23" s="5">
        <v>-0.46237511526859815</v>
      </c>
      <c r="E23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628C-CC42-43B0-A721-1E91130D13A5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45800</v>
      </c>
      <c r="D1" t="s">
        <v>1</v>
      </c>
      <c r="E1">
        <v>1176.3599999999999</v>
      </c>
    </row>
    <row r="2" spans="1:5" x14ac:dyDescent="0.3">
      <c r="E2" s="8">
        <f>(E1-E13)/E13</f>
        <v>-1.6232218570460942E-2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-662540</v>
      </c>
      <c r="D4" s="5">
        <f>C4/B4</f>
        <v>-0.35983554471738999</v>
      </c>
      <c r="E4">
        <v>6</v>
      </c>
    </row>
    <row r="5" spans="1:5" x14ac:dyDescent="0.3">
      <c r="A5" s="4">
        <v>3</v>
      </c>
      <c r="B5" s="7">
        <v>2409900</v>
      </c>
      <c r="C5" s="7">
        <v>-1468730</v>
      </c>
      <c r="D5" s="5">
        <f>C5/B5</f>
        <v>-0.6094568239346031</v>
      </c>
      <c r="E5">
        <v>4</v>
      </c>
    </row>
    <row r="6" spans="1:5" x14ac:dyDescent="0.3">
      <c r="A6" s="4">
        <v>1</v>
      </c>
      <c r="B6" s="7">
        <v>1977200</v>
      </c>
      <c r="C6" s="7">
        <v>-1316200</v>
      </c>
      <c r="D6" s="5">
        <f>C6/B6</f>
        <v>-0.66568885292332591</v>
      </c>
      <c r="E6">
        <v>8</v>
      </c>
    </row>
    <row r="7" spans="1:5" x14ac:dyDescent="0.3">
      <c r="A7" s="4"/>
      <c r="B7" s="6">
        <f>SUM(B4:B6)</f>
        <v>6228330</v>
      </c>
      <c r="C7" s="6">
        <f>SUM(C4:C6)</f>
        <v>-3447470</v>
      </c>
      <c r="D7" s="5">
        <f>C7/B7</f>
        <v>-0.55351434493676477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4971598</v>
      </c>
      <c r="C9" s="7">
        <v>-1731098</v>
      </c>
      <c r="D9" s="5">
        <f>C9/B9</f>
        <v>-0.34819750108516417</v>
      </c>
      <c r="E9">
        <v>10</v>
      </c>
    </row>
    <row r="10" spans="1:5" x14ac:dyDescent="0.3">
      <c r="B10" s="7"/>
      <c r="C10" s="7">
        <v>271302.75</v>
      </c>
      <c r="D10" s="5">
        <f>C10/B9</f>
        <v>5.4570532452543424E-2</v>
      </c>
    </row>
    <row r="11" spans="1:5" x14ac:dyDescent="0.3">
      <c r="A11" s="1" t="s">
        <v>8</v>
      </c>
      <c r="B11" s="6">
        <f>B7+B9</f>
        <v>11199928</v>
      </c>
      <c r="C11" s="6">
        <f>C7+C9</f>
        <v>-5178568</v>
      </c>
      <c r="D11" s="5">
        <f>C11/B11</f>
        <v>-0.46237511526859815</v>
      </c>
      <c r="E11">
        <f>E4+E5+E6+E9</f>
        <v>28</v>
      </c>
    </row>
    <row r="13" spans="1:5" x14ac:dyDescent="0.3">
      <c r="B13" s="1" t="s">
        <v>0</v>
      </c>
      <c r="C13" s="9">
        <v>45793</v>
      </c>
      <c r="D13" t="s">
        <v>1</v>
      </c>
      <c r="E13">
        <v>1195.77</v>
      </c>
    </row>
    <row r="14" spans="1:5" x14ac:dyDescent="0.3">
      <c r="E14" s="8">
        <v>-1.2527458007828689E-2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-679870</v>
      </c>
      <c r="D16" s="5">
        <v>-0.36924773113625131</v>
      </c>
      <c r="E16">
        <v>6</v>
      </c>
    </row>
    <row r="17" spans="1:5" x14ac:dyDescent="0.3">
      <c r="A17" s="4">
        <v>3</v>
      </c>
      <c r="B17" s="7">
        <v>2380500</v>
      </c>
      <c r="C17" s="7">
        <v>-1443820</v>
      </c>
      <c r="D17" s="5">
        <v>-0.60651963873135895</v>
      </c>
      <c r="E17">
        <v>4</v>
      </c>
    </row>
    <row r="18" spans="1:5" x14ac:dyDescent="0.3">
      <c r="A18" s="4">
        <v>1</v>
      </c>
      <c r="B18" s="7">
        <v>1977200</v>
      </c>
      <c r="C18" s="7">
        <v>-1312520</v>
      </c>
      <c r="D18" s="5">
        <v>-0.66382763503944975</v>
      </c>
      <c r="E18">
        <v>8</v>
      </c>
    </row>
    <row r="19" spans="1:5" x14ac:dyDescent="0.3">
      <c r="A19" s="4"/>
      <c r="B19" s="6">
        <v>6198930</v>
      </c>
      <c r="C19" s="6">
        <v>-3436210</v>
      </c>
      <c r="D19" s="5">
        <v>-0.55432308479043968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4971598</v>
      </c>
      <c r="C21" s="7">
        <v>-1727818</v>
      </c>
      <c r="D21" s="5">
        <v>-0.34753775345472421</v>
      </c>
      <c r="E21">
        <v>10</v>
      </c>
    </row>
    <row r="22" spans="1:5" x14ac:dyDescent="0.3">
      <c r="B22" s="7"/>
      <c r="C22" s="7">
        <v>271302.75</v>
      </c>
      <c r="D22" s="5">
        <v>5.4570532452543424E-2</v>
      </c>
    </row>
    <row r="23" spans="1:5" x14ac:dyDescent="0.3">
      <c r="A23" s="1" t="s">
        <v>8</v>
      </c>
      <c r="B23" s="6">
        <v>11170528</v>
      </c>
      <c r="C23" s="6">
        <v>-5164028</v>
      </c>
      <c r="D23" s="5">
        <v>-0.46229041277189403</v>
      </c>
      <c r="E23">
        <v>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7C17-7D11-44D9-80F7-712E06707A25}">
  <dimension ref="A1:E23"/>
  <sheetViews>
    <sheetView workbookViewId="0">
      <selection activeCell="E2" sqref="E2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45793</v>
      </c>
      <c r="D1" t="s">
        <v>1</v>
      </c>
      <c r="E1">
        <v>1195.77</v>
      </c>
    </row>
    <row r="2" spans="1:5" x14ac:dyDescent="0.3">
      <c r="E2" s="8">
        <f>(E1-E13)/E13</f>
        <v>-1.2527458007828689E-2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-679870</v>
      </c>
      <c r="D4" s="5">
        <f>C4/B4</f>
        <v>-0.36924773113625131</v>
      </c>
      <c r="E4">
        <v>6</v>
      </c>
    </row>
    <row r="5" spans="1:5" x14ac:dyDescent="0.3">
      <c r="A5" s="4">
        <v>3</v>
      </c>
      <c r="B5" s="7">
        <v>2380500</v>
      </c>
      <c r="C5" s="7">
        <v>-1443820</v>
      </c>
      <c r="D5" s="5">
        <f>C5/B5</f>
        <v>-0.60651963873135895</v>
      </c>
      <c r="E5">
        <v>4</v>
      </c>
    </row>
    <row r="6" spans="1:5" x14ac:dyDescent="0.3">
      <c r="A6" s="4">
        <v>1</v>
      </c>
      <c r="B6" s="7">
        <v>1977200</v>
      </c>
      <c r="C6" s="7">
        <v>-1312520</v>
      </c>
      <c r="D6" s="5">
        <f>C6/B6</f>
        <v>-0.66382763503944975</v>
      </c>
      <c r="E6">
        <v>8</v>
      </c>
    </row>
    <row r="7" spans="1:5" x14ac:dyDescent="0.3">
      <c r="A7" s="4"/>
      <c r="B7" s="6">
        <f>SUM(B4:B6)</f>
        <v>6198930</v>
      </c>
      <c r="C7" s="6">
        <f>SUM(C4:C6)</f>
        <v>-3436210</v>
      </c>
      <c r="D7" s="5">
        <f>C7/B7</f>
        <v>-0.55432308479043968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4971598</v>
      </c>
      <c r="C9" s="7">
        <v>-1727818</v>
      </c>
      <c r="D9" s="5">
        <f>C9/B9</f>
        <v>-0.34753775345472421</v>
      </c>
      <c r="E9">
        <v>10</v>
      </c>
    </row>
    <row r="10" spans="1:5" x14ac:dyDescent="0.3">
      <c r="B10" s="7"/>
      <c r="C10" s="7">
        <v>271302.75</v>
      </c>
      <c r="D10" s="5">
        <f>C10/B9</f>
        <v>5.4570532452543424E-2</v>
      </c>
    </row>
    <row r="11" spans="1:5" x14ac:dyDescent="0.3">
      <c r="A11" s="1" t="s">
        <v>8</v>
      </c>
      <c r="B11" s="6">
        <f>B7+B9</f>
        <v>11170528</v>
      </c>
      <c r="C11" s="6">
        <f>C7+C9</f>
        <v>-5164028</v>
      </c>
      <c r="D11" s="5">
        <f>C11/B11</f>
        <v>-0.46229041277189403</v>
      </c>
      <c r="E11">
        <f>E4+E5+E6+E9</f>
        <v>28</v>
      </c>
    </row>
    <row r="13" spans="1:5" x14ac:dyDescent="0.3">
      <c r="B13" s="1" t="s">
        <v>0</v>
      </c>
      <c r="C13" s="9">
        <v>45786</v>
      </c>
      <c r="D13" t="s">
        <v>1</v>
      </c>
      <c r="E13">
        <v>1210.94</v>
      </c>
    </row>
    <row r="14" spans="1:5" x14ac:dyDescent="0.3">
      <c r="E14" s="8">
        <v>9.975145540376016E-3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-710950</v>
      </c>
      <c r="D16" s="5">
        <v>-0.38612775155738283</v>
      </c>
      <c r="E16">
        <v>6</v>
      </c>
    </row>
    <row r="17" spans="1:5" x14ac:dyDescent="0.3">
      <c r="A17" s="4">
        <v>3</v>
      </c>
      <c r="B17" s="7">
        <v>2380500</v>
      </c>
      <c r="C17" s="7">
        <v>-1391200</v>
      </c>
      <c r="D17" s="5">
        <v>-0.58441503885738288</v>
      </c>
      <c r="E17">
        <v>4</v>
      </c>
    </row>
    <row r="18" spans="1:5" x14ac:dyDescent="0.3">
      <c r="A18" s="4">
        <v>1</v>
      </c>
      <c r="B18" s="7">
        <v>2091200</v>
      </c>
      <c r="C18" s="7">
        <v>-1352900</v>
      </c>
      <c r="D18" s="5">
        <v>-0.64694912012241779</v>
      </c>
      <c r="E18">
        <v>9</v>
      </c>
    </row>
    <row r="19" spans="1:5" x14ac:dyDescent="0.3">
      <c r="A19" s="4"/>
      <c r="B19" s="6">
        <v>6312930</v>
      </c>
      <c r="C19" s="6">
        <v>-3455050</v>
      </c>
      <c r="D19" s="5">
        <v>-0.5472973722186053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4924600</v>
      </c>
      <c r="C21" s="7">
        <v>-1735475</v>
      </c>
      <c r="D21" s="5">
        <v>-0.35240933273768427</v>
      </c>
      <c r="E21">
        <v>10</v>
      </c>
    </row>
    <row r="22" spans="1:5" x14ac:dyDescent="0.3">
      <c r="B22" s="7"/>
      <c r="C22" s="7">
        <v>265724.25</v>
      </c>
      <c r="D22" s="5">
        <v>5.3958544856435038E-2</v>
      </c>
    </row>
    <row r="23" spans="1:5" x14ac:dyDescent="0.3">
      <c r="A23" s="1" t="s">
        <v>8</v>
      </c>
      <c r="B23" s="6">
        <v>11237530</v>
      </c>
      <c r="C23" s="6">
        <v>-5190525</v>
      </c>
      <c r="D23" s="5">
        <v>-0.46189198160093897</v>
      </c>
      <c r="E23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6815-B29A-446B-B4C9-96F02B6A5E9D}">
  <dimension ref="A1:E23"/>
  <sheetViews>
    <sheetView workbookViewId="0">
      <selection activeCell="D4" sqref="D4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45758</v>
      </c>
      <c r="D1" t="s">
        <v>1</v>
      </c>
      <c r="E1">
        <v>1210.94</v>
      </c>
    </row>
    <row r="2" spans="1:5" x14ac:dyDescent="0.3">
      <c r="E2" s="8">
        <f>(E1-E13)/E13</f>
        <v>9.975145540376016E-3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-710950</v>
      </c>
      <c r="D4" s="5">
        <f>C4/B4</f>
        <v>-0.38612775155738283</v>
      </c>
      <c r="E4">
        <v>6</v>
      </c>
    </row>
    <row r="5" spans="1:5" x14ac:dyDescent="0.3">
      <c r="A5" s="4">
        <v>3</v>
      </c>
      <c r="B5" s="7">
        <v>2380500</v>
      </c>
      <c r="C5" s="7">
        <v>-1391200</v>
      </c>
      <c r="D5" s="5">
        <f>C5/B5</f>
        <v>-0.58441503885738288</v>
      </c>
      <c r="E5">
        <v>4</v>
      </c>
    </row>
    <row r="6" spans="1:5" x14ac:dyDescent="0.3">
      <c r="A6" s="4">
        <v>1</v>
      </c>
      <c r="B6" s="7">
        <v>2091200</v>
      </c>
      <c r="C6" s="7">
        <v>-1352900</v>
      </c>
      <c r="D6" s="5">
        <f>C6/B6</f>
        <v>-0.64694912012241779</v>
      </c>
      <c r="E6">
        <v>9</v>
      </c>
    </row>
    <row r="7" spans="1:5" x14ac:dyDescent="0.3">
      <c r="A7" s="4"/>
      <c r="B7" s="6">
        <f>SUM(B4:B6)</f>
        <v>6312930</v>
      </c>
      <c r="C7" s="6">
        <f>SUM(C4:C6)</f>
        <v>-3455050</v>
      </c>
      <c r="D7" s="5">
        <f>C7/B7</f>
        <v>-0.5472973722186053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4924600</v>
      </c>
      <c r="C9" s="7">
        <v>-1735475</v>
      </c>
      <c r="D9" s="5">
        <f>C9/B9</f>
        <v>-0.35240933273768427</v>
      </c>
      <c r="E9">
        <v>10</v>
      </c>
    </row>
    <row r="10" spans="1:5" x14ac:dyDescent="0.3">
      <c r="B10" s="7"/>
      <c r="C10" s="7">
        <v>265724.25</v>
      </c>
      <c r="D10" s="5">
        <f>C10/B9</f>
        <v>5.3958544856435038E-2</v>
      </c>
    </row>
    <row r="11" spans="1:5" x14ac:dyDescent="0.3">
      <c r="A11" s="1" t="s">
        <v>8</v>
      </c>
      <c r="B11" s="6">
        <f>B7+B9</f>
        <v>11237530</v>
      </c>
      <c r="C11" s="6">
        <f>C7+C9</f>
        <v>-5190525</v>
      </c>
      <c r="D11" s="5">
        <f>C11/B11</f>
        <v>-0.46189198160093897</v>
      </c>
      <c r="E11">
        <f>E4+E5+E6+E9</f>
        <v>29</v>
      </c>
    </row>
    <row r="13" spans="1:5" x14ac:dyDescent="0.3">
      <c r="B13" s="1" t="s">
        <v>0</v>
      </c>
      <c r="C13" s="9">
        <v>45758</v>
      </c>
      <c r="D13" t="s">
        <v>1</v>
      </c>
      <c r="E13">
        <v>1198.98</v>
      </c>
    </row>
    <row r="14" spans="1:5" x14ac:dyDescent="0.3">
      <c r="E14" s="8">
        <v>6.2303971080750566E-2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-752850</v>
      </c>
      <c r="D16" s="5">
        <v>-0.40888427844430081</v>
      </c>
      <c r="E16">
        <v>6</v>
      </c>
    </row>
    <row r="17" spans="1:5" x14ac:dyDescent="0.3">
      <c r="A17" s="4">
        <v>3</v>
      </c>
      <c r="B17" s="7">
        <v>2380500</v>
      </c>
      <c r="C17" s="7">
        <v>-1398380</v>
      </c>
      <c r="D17" s="5">
        <v>-0.58743121193026671</v>
      </c>
      <c r="E17">
        <v>4</v>
      </c>
    </row>
    <row r="18" spans="1:5" x14ac:dyDescent="0.3">
      <c r="A18" s="4">
        <v>1</v>
      </c>
      <c r="B18" s="7">
        <v>2091200</v>
      </c>
      <c r="C18" s="7">
        <v>-1372640</v>
      </c>
      <c r="D18" s="5">
        <v>-0.65638867635807197</v>
      </c>
      <c r="E18">
        <v>9</v>
      </c>
    </row>
    <row r="19" spans="1:5" x14ac:dyDescent="0.3">
      <c r="A19" s="4"/>
      <c r="B19" s="6">
        <v>6312930</v>
      </c>
      <c r="C19" s="6">
        <v>-3523870</v>
      </c>
      <c r="D19" s="5">
        <v>-0.55819880784358455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4924600</v>
      </c>
      <c r="C21" s="7">
        <v>-1799575</v>
      </c>
      <c r="D21" s="5">
        <v>-0.3654256183243309</v>
      </c>
      <c r="E21">
        <v>10</v>
      </c>
    </row>
    <row r="22" spans="1:5" x14ac:dyDescent="0.3">
      <c r="B22" s="7"/>
      <c r="C22" s="7">
        <v>272742</v>
      </c>
      <c r="D22" s="5">
        <v>5.5383584453559682E-2</v>
      </c>
    </row>
    <row r="23" spans="1:5" x14ac:dyDescent="0.3">
      <c r="A23" s="1" t="s">
        <v>8</v>
      </c>
      <c r="B23" s="6">
        <v>11237530</v>
      </c>
      <c r="C23" s="6">
        <v>-5323445</v>
      </c>
      <c r="D23" s="5">
        <v>-0.47372020363905593</v>
      </c>
      <c r="E23">
        <v>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F241-CA72-4CB5-8C3F-136F3E8408B6}">
  <dimension ref="A1:E23"/>
  <sheetViews>
    <sheetView workbookViewId="0">
      <selection activeCell="E2" sqref="E2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45758</v>
      </c>
      <c r="D1" t="s">
        <v>1</v>
      </c>
      <c r="E1">
        <v>1198.98</v>
      </c>
    </row>
    <row r="2" spans="1:5" x14ac:dyDescent="0.3">
      <c r="E2" s="8">
        <f>(E1-E13)/E13</f>
        <v>6.2303971080750566E-2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-752850</v>
      </c>
      <c r="D4" s="5">
        <f>C4/B4</f>
        <v>-0.40888427844430081</v>
      </c>
      <c r="E4">
        <v>6</v>
      </c>
    </row>
    <row r="5" spans="1:5" x14ac:dyDescent="0.3">
      <c r="A5" s="4">
        <v>3</v>
      </c>
      <c r="B5" s="7">
        <v>2380500</v>
      </c>
      <c r="C5" s="7">
        <v>-1398380</v>
      </c>
      <c r="D5" s="5">
        <f>C5/B5</f>
        <v>-0.58743121193026671</v>
      </c>
      <c r="E5">
        <v>4</v>
      </c>
    </row>
    <row r="6" spans="1:5" x14ac:dyDescent="0.3">
      <c r="A6" s="4">
        <v>1</v>
      </c>
      <c r="B6" s="7">
        <v>2091200</v>
      </c>
      <c r="C6" s="7">
        <v>-1372640</v>
      </c>
      <c r="D6" s="5">
        <f>C6/B6</f>
        <v>-0.65638867635807197</v>
      </c>
      <c r="E6">
        <v>9</v>
      </c>
    </row>
    <row r="7" spans="1:5" x14ac:dyDescent="0.3">
      <c r="A7" s="4"/>
      <c r="B7" s="6">
        <f>SUM(B4:B6)</f>
        <v>6312930</v>
      </c>
      <c r="C7" s="6">
        <f>SUM(C4:C6)</f>
        <v>-3523870</v>
      </c>
      <c r="D7" s="5">
        <f>C7/B7</f>
        <v>-0.55819880784358455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4924600</v>
      </c>
      <c r="C9" s="7">
        <v>-1799575</v>
      </c>
      <c r="D9" s="5">
        <f>C9/B9</f>
        <v>-0.3654256183243309</v>
      </c>
      <c r="E9">
        <v>10</v>
      </c>
    </row>
    <row r="10" spans="1:5" x14ac:dyDescent="0.3">
      <c r="B10" s="7"/>
      <c r="C10" s="7">
        <v>272742</v>
      </c>
      <c r="D10" s="5">
        <f>C10/B9</f>
        <v>5.5383584453559682E-2</v>
      </c>
    </row>
    <row r="11" spans="1:5" x14ac:dyDescent="0.3">
      <c r="A11" s="1" t="s">
        <v>8</v>
      </c>
      <c r="B11" s="6">
        <f>B7+B9</f>
        <v>11237530</v>
      </c>
      <c r="C11" s="6">
        <f>C7+C9</f>
        <v>-5323445</v>
      </c>
      <c r="D11" s="5">
        <f>C11/B11</f>
        <v>-0.47372020363905593</v>
      </c>
      <c r="E11">
        <f>E4+E5+E6+E9</f>
        <v>29</v>
      </c>
    </row>
    <row r="13" spans="1:5" x14ac:dyDescent="0.3">
      <c r="B13" s="1" t="s">
        <v>0</v>
      </c>
      <c r="C13" s="9">
        <v>45758</v>
      </c>
      <c r="D13" t="s">
        <v>1</v>
      </c>
      <c r="E13">
        <v>1128.6600000000001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1841230</v>
      </c>
      <c r="C16" s="7">
        <v>-812450</v>
      </c>
      <c r="D16" s="5">
        <v>-0.44125394437414117</v>
      </c>
      <c r="E16">
        <v>6</v>
      </c>
    </row>
    <row r="17" spans="1:5" x14ac:dyDescent="0.3">
      <c r="A17" s="4">
        <v>3</v>
      </c>
      <c r="B17" s="7">
        <v>2380500</v>
      </c>
      <c r="C17" s="7">
        <v>-1467160</v>
      </c>
      <c r="D17" s="5">
        <v>-0.61632430161730734</v>
      </c>
      <c r="E17">
        <v>4</v>
      </c>
    </row>
    <row r="18" spans="1:5" x14ac:dyDescent="0.3">
      <c r="A18" s="4">
        <v>1</v>
      </c>
      <c r="B18" s="7">
        <v>2091200</v>
      </c>
      <c r="C18" s="7">
        <v>-1403400</v>
      </c>
      <c r="D18" s="5">
        <v>-0.67109793420045905</v>
      </c>
      <c r="E18">
        <v>9</v>
      </c>
    </row>
    <row r="19" spans="1:5" x14ac:dyDescent="0.3">
      <c r="A19" s="4"/>
      <c r="B19" s="6">
        <v>6312930</v>
      </c>
      <c r="C19" s="6">
        <v>-3683010</v>
      </c>
      <c r="D19" s="5">
        <v>-0.58340738769477885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4924600</v>
      </c>
      <c r="C21" s="7">
        <v>-1913690</v>
      </c>
      <c r="D21" s="5">
        <v>-0.38859805872558179</v>
      </c>
      <c r="E21">
        <v>10</v>
      </c>
    </row>
    <row r="22" spans="1:5" x14ac:dyDescent="0.3">
      <c r="B22" s="7"/>
      <c r="C22" s="7">
        <v>280009</v>
      </c>
      <c r="D22" s="5">
        <v>5.6859237298460791E-2</v>
      </c>
    </row>
    <row r="23" spans="1:5" x14ac:dyDescent="0.3">
      <c r="A23" s="1" t="s">
        <v>8</v>
      </c>
      <c r="B23" s="6">
        <v>11237530</v>
      </c>
      <c r="C23" s="6">
        <v>-5596700</v>
      </c>
      <c r="D23" s="5">
        <v>-0.49803649022516516</v>
      </c>
      <c r="E23">
        <v>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DEBF-7012-4D3C-9A89-43C32C47B6EC}">
  <dimension ref="A1:E23"/>
  <sheetViews>
    <sheetView workbookViewId="0">
      <selection activeCell="E2" sqref="E2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45758</v>
      </c>
      <c r="D1" t="s">
        <v>1</v>
      </c>
      <c r="E1">
        <v>1128.6600000000001</v>
      </c>
    </row>
    <row r="2" spans="1:5" x14ac:dyDescent="0.3">
      <c r="E2" s="8">
        <f>(E1-E13)/E13</f>
        <v>-9.4325996421148889E-2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1841230</v>
      </c>
      <c r="C4" s="7">
        <v>-812450</v>
      </c>
      <c r="D4" s="5">
        <f>C4/B4</f>
        <v>-0.44125394437414117</v>
      </c>
      <c r="E4">
        <v>6</v>
      </c>
    </row>
    <row r="5" spans="1:5" x14ac:dyDescent="0.3">
      <c r="A5" s="4">
        <v>3</v>
      </c>
      <c r="B5" s="7">
        <v>2380500</v>
      </c>
      <c r="C5" s="7">
        <v>-1467160</v>
      </c>
      <c r="D5" s="5">
        <f>C5/B5</f>
        <v>-0.61632430161730734</v>
      </c>
      <c r="E5">
        <v>4</v>
      </c>
    </row>
    <row r="6" spans="1:5" x14ac:dyDescent="0.3">
      <c r="A6" s="4">
        <v>1</v>
      </c>
      <c r="B6" s="7">
        <v>2091200</v>
      </c>
      <c r="C6" s="7">
        <v>-1403400</v>
      </c>
      <c r="D6" s="5">
        <f>C6/B6</f>
        <v>-0.67109793420045905</v>
      </c>
      <c r="E6">
        <v>9</v>
      </c>
    </row>
    <row r="7" spans="1:5" x14ac:dyDescent="0.3">
      <c r="A7" s="4"/>
      <c r="B7" s="6">
        <f>SUM(B4:B6)</f>
        <v>6312930</v>
      </c>
      <c r="C7" s="6">
        <f>SUM(C4:C6)</f>
        <v>-3683010</v>
      </c>
      <c r="D7" s="5">
        <f>C7/B7</f>
        <v>-0.58340738769477885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4924600</v>
      </c>
      <c r="C9" s="7">
        <v>-1913690</v>
      </c>
      <c r="D9" s="5">
        <f>C9/B9</f>
        <v>-0.38859805872558179</v>
      </c>
      <c r="E9">
        <v>10</v>
      </c>
    </row>
    <row r="10" spans="1:5" x14ac:dyDescent="0.3">
      <c r="B10" s="7"/>
      <c r="C10" s="7">
        <v>280009</v>
      </c>
      <c r="D10" s="5">
        <f>C10/B9</f>
        <v>5.6859237298460791E-2</v>
      </c>
    </row>
    <row r="11" spans="1:5" x14ac:dyDescent="0.3">
      <c r="A11" s="1" t="s">
        <v>8</v>
      </c>
      <c r="B11" s="6">
        <f>B7+B9</f>
        <v>11237530</v>
      </c>
      <c r="C11" s="6">
        <f>C7+C9</f>
        <v>-5596700</v>
      </c>
      <c r="D11" s="5">
        <f>C11/B11</f>
        <v>-0.49803649022516516</v>
      </c>
      <c r="E11">
        <f>E4+E5+E6+E9</f>
        <v>29</v>
      </c>
    </row>
    <row r="13" spans="1:5" x14ac:dyDescent="0.3">
      <c r="B13" s="1" t="s">
        <v>0</v>
      </c>
      <c r="C13" s="9">
        <v>45709</v>
      </c>
      <c r="D13" t="s">
        <v>1</v>
      </c>
      <c r="E13">
        <v>1246.21</v>
      </c>
    </row>
    <row r="14" spans="1:5" x14ac:dyDescent="0.3">
      <c r="E14" s="8">
        <v>-0.10998350247462881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1748830</v>
      </c>
      <c r="C16" s="7">
        <v>-661680</v>
      </c>
      <c r="D16" s="5">
        <v>-0.37835581503062049</v>
      </c>
      <c r="E16">
        <v>6</v>
      </c>
    </row>
    <row r="17" spans="1:5" x14ac:dyDescent="0.3">
      <c r="A17" s="4">
        <v>3</v>
      </c>
      <c r="B17" s="7">
        <v>2442000</v>
      </c>
      <c r="C17" s="7">
        <v>-1472320</v>
      </c>
      <c r="D17" s="5">
        <v>-0.60291564291564292</v>
      </c>
      <c r="E17">
        <v>4</v>
      </c>
    </row>
    <row r="18" spans="1:5" x14ac:dyDescent="0.3">
      <c r="A18" s="4">
        <v>1</v>
      </c>
      <c r="B18" s="7">
        <v>2468900</v>
      </c>
      <c r="C18" s="7">
        <v>-1522080</v>
      </c>
      <c r="D18" s="5">
        <v>-0.61650127587184578</v>
      </c>
      <c r="E18">
        <v>10</v>
      </c>
    </row>
    <row r="19" spans="1:5" x14ac:dyDescent="0.3">
      <c r="A19" s="4"/>
      <c r="B19" s="6">
        <v>6659730</v>
      </c>
      <c r="C19" s="6">
        <v>-3656080</v>
      </c>
      <c r="D19" s="5">
        <v>-0.54898321703732733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4887100</v>
      </c>
      <c r="C21" s="7">
        <v>-1688230</v>
      </c>
      <c r="D21" s="5">
        <v>-0.34544617462298705</v>
      </c>
      <c r="E21">
        <v>10</v>
      </c>
    </row>
    <row r="22" spans="1:5" x14ac:dyDescent="0.3">
      <c r="B22" s="7"/>
      <c r="C22" s="7">
        <v>280009</v>
      </c>
      <c r="D22" s="5">
        <v>5.7295533138261953E-2</v>
      </c>
    </row>
    <row r="23" spans="1:5" x14ac:dyDescent="0.3">
      <c r="A23" s="1" t="s">
        <v>8</v>
      </c>
      <c r="B23" s="6">
        <v>11546830</v>
      </c>
      <c r="C23" s="6">
        <v>-5344310</v>
      </c>
      <c r="D23" s="5">
        <v>-0.46283785246686754</v>
      </c>
      <c r="E23">
        <v>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D270-1B52-4C5B-9E28-60314EA92662}">
  <dimension ref="A1:E23"/>
  <sheetViews>
    <sheetView workbookViewId="0">
      <selection activeCell="E2" sqref="E2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45709</v>
      </c>
      <c r="D1" t="s">
        <v>1</v>
      </c>
      <c r="E1">
        <v>1246.21</v>
      </c>
    </row>
    <row r="2" spans="1:5" x14ac:dyDescent="0.3">
      <c r="E2" s="8">
        <f>(E1-E13)/E13</f>
        <v>-0.10998350247462881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1748830</v>
      </c>
      <c r="C4" s="7">
        <v>-661680</v>
      </c>
      <c r="D4" s="5">
        <f>C4/B4</f>
        <v>-0.37835581503062049</v>
      </c>
      <c r="E4">
        <v>6</v>
      </c>
    </row>
    <row r="5" spans="1:5" x14ac:dyDescent="0.3">
      <c r="A5" s="4">
        <v>3</v>
      </c>
      <c r="B5" s="7">
        <v>2442000</v>
      </c>
      <c r="C5" s="7">
        <v>-1472320</v>
      </c>
      <c r="D5" s="5">
        <f>C5/B5</f>
        <v>-0.60291564291564292</v>
      </c>
      <c r="E5">
        <v>4</v>
      </c>
    </row>
    <row r="6" spans="1:5" x14ac:dyDescent="0.3">
      <c r="A6" s="4">
        <v>1</v>
      </c>
      <c r="B6" s="7">
        <v>2468900</v>
      </c>
      <c r="C6" s="7">
        <v>-1522080</v>
      </c>
      <c r="D6" s="5">
        <f>C6/B6</f>
        <v>-0.61650127587184578</v>
      </c>
      <c r="E6">
        <v>10</v>
      </c>
    </row>
    <row r="7" spans="1:5" x14ac:dyDescent="0.3">
      <c r="A7" s="4"/>
      <c r="B7" s="6">
        <f>SUM(B4:B6)</f>
        <v>6659730</v>
      </c>
      <c r="C7" s="6">
        <f>SUM(C4:C6)</f>
        <v>-3656080</v>
      </c>
      <c r="D7" s="5">
        <f>C7/B7</f>
        <v>-0.54898321703732733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4887100</v>
      </c>
      <c r="C9" s="7">
        <v>-1688230</v>
      </c>
      <c r="D9" s="5">
        <f>C9/B9</f>
        <v>-0.34544617462298705</v>
      </c>
      <c r="E9">
        <v>10</v>
      </c>
    </row>
    <row r="10" spans="1:5" x14ac:dyDescent="0.3">
      <c r="B10" s="7"/>
      <c r="C10" s="7">
        <v>280009</v>
      </c>
      <c r="D10" s="5">
        <f>C10/B9</f>
        <v>5.7295533138261953E-2</v>
      </c>
    </row>
    <row r="11" spans="1:5" x14ac:dyDescent="0.3">
      <c r="A11" s="1" t="s">
        <v>8</v>
      </c>
      <c r="B11" s="6">
        <f>B7+B9</f>
        <v>11546830</v>
      </c>
      <c r="C11" s="6">
        <f>C7+C9</f>
        <v>-5344310</v>
      </c>
      <c r="D11" s="5">
        <f>C11/B11</f>
        <v>-0.46283785246686754</v>
      </c>
      <c r="E11">
        <f>E4+E5+E6+E9</f>
        <v>30</v>
      </c>
    </row>
    <row r="13" spans="1:5" x14ac:dyDescent="0.3">
      <c r="B13" s="1" t="s">
        <v>0</v>
      </c>
      <c r="C13" s="9">
        <v>46021</v>
      </c>
      <c r="D13" t="s">
        <v>1</v>
      </c>
      <c r="E13">
        <v>1400.21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1748830</v>
      </c>
      <c r="C16" s="7">
        <v>-703370</v>
      </c>
      <c r="D16" s="5">
        <v>-0.40219461011075974</v>
      </c>
      <c r="E16">
        <v>6</v>
      </c>
    </row>
    <row r="17" spans="1:5" x14ac:dyDescent="0.3">
      <c r="A17" s="4">
        <v>3</v>
      </c>
      <c r="B17" s="7">
        <v>2442000</v>
      </c>
      <c r="C17" s="7">
        <v>-1456140</v>
      </c>
      <c r="D17" s="5">
        <v>-0.59628992628992628</v>
      </c>
      <c r="E17">
        <v>4</v>
      </c>
    </row>
    <row r="18" spans="1:5" x14ac:dyDescent="0.3">
      <c r="A18" s="4">
        <v>1</v>
      </c>
      <c r="B18" s="7">
        <v>2597400</v>
      </c>
      <c r="C18" s="7">
        <v>-1577080</v>
      </c>
      <c r="D18" s="5">
        <v>-0.6071764071764072</v>
      </c>
      <c r="E18">
        <v>11</v>
      </c>
    </row>
    <row r="19" spans="1:5" x14ac:dyDescent="0.3">
      <c r="A19" s="4"/>
      <c r="B19" s="6">
        <v>6788230</v>
      </c>
      <c r="C19" s="6">
        <v>-3736590</v>
      </c>
      <c r="D19" s="5">
        <v>-0.55045129584589803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4744300</v>
      </c>
      <c r="C21" s="7">
        <v>-1773850</v>
      </c>
      <c r="D21" s="5">
        <v>-0.37389077419218852</v>
      </c>
      <c r="E21">
        <v>10</v>
      </c>
    </row>
    <row r="22" spans="1:5" x14ac:dyDescent="0.3">
      <c r="B22" s="7"/>
      <c r="C22" s="7">
        <v>262703.5</v>
      </c>
      <c r="D22" s="5">
        <v>5.5372446936323587E-2</v>
      </c>
    </row>
    <row r="23" spans="1:5" x14ac:dyDescent="0.3">
      <c r="A23" s="1" t="s">
        <v>8</v>
      </c>
      <c r="B23" s="6">
        <v>11532530</v>
      </c>
      <c r="C23" s="6">
        <v>-5510440</v>
      </c>
      <c r="D23" s="5">
        <v>-0.47781709650874526</v>
      </c>
      <c r="E23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31B2-332E-43CB-8F48-59EA1BD2A5D3}">
  <dimension ref="A1:E23"/>
  <sheetViews>
    <sheetView workbookViewId="0">
      <selection activeCell="E7" sqref="E7"/>
    </sheetView>
  </sheetViews>
  <sheetFormatPr defaultRowHeight="14.4" x14ac:dyDescent="0.3"/>
  <cols>
    <col min="2" max="2" width="19.44140625" customWidth="1"/>
    <col min="3" max="3" width="19.5546875" bestFit="1" customWidth="1"/>
    <col min="4" max="4" width="14.44140625" customWidth="1"/>
  </cols>
  <sheetData>
    <row r="1" spans="1:5" x14ac:dyDescent="0.3">
      <c r="B1" s="1" t="s">
        <v>0</v>
      </c>
      <c r="C1" s="9">
        <v>46021</v>
      </c>
      <c r="D1" t="s">
        <v>1</v>
      </c>
      <c r="E1">
        <v>1400.21</v>
      </c>
    </row>
    <row r="2" spans="1:5" x14ac:dyDescent="0.3">
      <c r="E2" s="8">
        <f>(E1-E13)/E13</f>
        <v>0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x14ac:dyDescent="0.3">
      <c r="A4" s="4">
        <v>4</v>
      </c>
      <c r="B4" s="7">
        <v>1748830</v>
      </c>
      <c r="C4" s="7">
        <v>-703370</v>
      </c>
      <c r="D4" s="5">
        <f>C4/B4</f>
        <v>-0.40219461011075974</v>
      </c>
      <c r="E4">
        <v>6</v>
      </c>
    </row>
    <row r="5" spans="1:5" x14ac:dyDescent="0.3">
      <c r="A5" s="4">
        <v>3</v>
      </c>
      <c r="B5" s="7">
        <v>2442000</v>
      </c>
      <c r="C5" s="7">
        <v>-1456140</v>
      </c>
      <c r="D5" s="5">
        <f>C5/B5</f>
        <v>-0.59628992628992628</v>
      </c>
      <c r="E5">
        <v>4</v>
      </c>
    </row>
    <row r="6" spans="1:5" x14ac:dyDescent="0.3">
      <c r="A6" s="4">
        <v>1</v>
      </c>
      <c r="B6" s="7">
        <v>2597400</v>
      </c>
      <c r="C6" s="7">
        <v>-1577080</v>
      </c>
      <c r="D6" s="5">
        <f>C6/B6</f>
        <v>-0.6071764071764072</v>
      </c>
      <c r="E6">
        <v>11</v>
      </c>
    </row>
    <row r="7" spans="1:5" x14ac:dyDescent="0.3">
      <c r="A7" s="4"/>
      <c r="B7" s="6">
        <f>SUM(B4:B6)</f>
        <v>6788230</v>
      </c>
      <c r="C7" s="6">
        <f>SUM(C4:C6)</f>
        <v>-3736590</v>
      </c>
      <c r="D7" s="5">
        <f>C7/B7</f>
        <v>-0.55045129584589803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4744300</v>
      </c>
      <c r="C9" s="7">
        <v>-1773850</v>
      </c>
      <c r="D9" s="5">
        <f>C9/B9</f>
        <v>-0.37389077419218852</v>
      </c>
      <c r="E9">
        <v>10</v>
      </c>
    </row>
    <row r="10" spans="1:5" x14ac:dyDescent="0.3">
      <c r="B10" s="7"/>
      <c r="C10" s="7">
        <v>262703.5</v>
      </c>
      <c r="D10" s="5">
        <f>C10/B9</f>
        <v>5.5372446936323587E-2</v>
      </c>
    </row>
    <row r="11" spans="1:5" x14ac:dyDescent="0.3">
      <c r="A11" s="1" t="s">
        <v>8</v>
      </c>
      <c r="B11" s="6">
        <f>B7+B9</f>
        <v>11532530</v>
      </c>
      <c r="C11" s="6">
        <f>C7+C9</f>
        <v>-5510440</v>
      </c>
      <c r="D11" s="5">
        <f>C11/B11</f>
        <v>-0.47781709650874526</v>
      </c>
      <c r="E11">
        <f>E4+E5+E6+E9</f>
        <v>31</v>
      </c>
    </row>
    <row r="13" spans="1:5" x14ac:dyDescent="0.3">
      <c r="B13" s="1" t="s">
        <v>0</v>
      </c>
      <c r="C13" s="9">
        <v>46021</v>
      </c>
      <c r="D13" t="s">
        <v>1</v>
      </c>
      <c r="E13">
        <v>1400.21</v>
      </c>
    </row>
    <row r="14" spans="1:5" x14ac:dyDescent="0.3">
      <c r="E14" s="8">
        <v>0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1897630</v>
      </c>
      <c r="C16" s="7">
        <v>-642080</v>
      </c>
      <c r="D16" s="5">
        <v>-0.33835890031249505</v>
      </c>
      <c r="E16">
        <v>7</v>
      </c>
    </row>
    <row r="17" spans="1:5" x14ac:dyDescent="0.3">
      <c r="A17" s="4">
        <v>3</v>
      </c>
      <c r="B17" s="7">
        <v>2442000</v>
      </c>
      <c r="C17" s="7">
        <v>-1406800</v>
      </c>
      <c r="D17" s="5">
        <v>-0.57608517608517607</v>
      </c>
      <c r="E17">
        <v>4</v>
      </c>
    </row>
    <row r="18" spans="1:5" x14ac:dyDescent="0.3">
      <c r="A18" s="4">
        <v>1</v>
      </c>
      <c r="B18" s="7">
        <v>2448600</v>
      </c>
      <c r="C18" s="7">
        <v>-1379920</v>
      </c>
      <c r="D18" s="5">
        <v>-0.56355468430940125</v>
      </c>
      <c r="E18">
        <v>10</v>
      </c>
    </row>
    <row r="19" spans="1:5" x14ac:dyDescent="0.3">
      <c r="A19" s="4"/>
      <c r="B19" s="6">
        <v>6788230</v>
      </c>
      <c r="C19" s="6">
        <v>-3428800</v>
      </c>
      <c r="D19" s="5">
        <v>-0.50510957937488854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4744300</v>
      </c>
      <c r="C21" s="7">
        <v>-1727960</v>
      </c>
      <c r="D21" s="5">
        <v>-0.36421811436882151</v>
      </c>
      <c r="E21">
        <v>10</v>
      </c>
    </row>
    <row r="22" spans="1:5" x14ac:dyDescent="0.3">
      <c r="B22" s="7"/>
      <c r="C22" s="7">
        <v>257178</v>
      </c>
      <c r="D22" s="5">
        <v>5.4207786185527899E-2</v>
      </c>
    </row>
    <row r="23" spans="1:5" x14ac:dyDescent="0.3">
      <c r="A23" s="1" t="s">
        <v>8</v>
      </c>
      <c r="B23" s="6">
        <v>11532530</v>
      </c>
      <c r="C23" s="6">
        <v>-5156760</v>
      </c>
      <c r="D23" s="5">
        <v>-0.44714906442905417</v>
      </c>
      <c r="E23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E2" sqref="E2"/>
    </sheetView>
  </sheetViews>
  <sheetFormatPr defaultRowHeight="14.4" x14ac:dyDescent="0.3"/>
  <cols>
    <col min="1" max="1" width="4.6640625" customWidth="1"/>
    <col min="2" max="2" width="19.5546875" bestFit="1" customWidth="1"/>
    <col min="3" max="3" width="20.88671875" bestFit="1" customWidth="1"/>
    <col min="4" max="4" width="11.6640625" bestFit="1" customWidth="1"/>
    <col min="5" max="5" width="8.109375" bestFit="1" customWidth="1"/>
    <col min="6" max="6" width="13" bestFit="1" customWidth="1"/>
  </cols>
  <sheetData>
    <row r="1" spans="1:5" x14ac:dyDescent="0.3">
      <c r="B1" s="1" t="s">
        <v>0</v>
      </c>
      <c r="C1" s="9">
        <v>46021</v>
      </c>
      <c r="D1" t="s">
        <v>1</v>
      </c>
      <c r="E1">
        <v>1400.21</v>
      </c>
    </row>
    <row r="2" spans="1:5" x14ac:dyDescent="0.3">
      <c r="E2" s="8">
        <f>(E1-E13)/E13</f>
        <v>-3.4417841282100695E-2</v>
      </c>
    </row>
    <row r="3" spans="1:5" x14ac:dyDescent="0.3">
      <c r="A3" s="1" t="s">
        <v>2</v>
      </c>
      <c r="B3" s="2" t="s">
        <v>3</v>
      </c>
      <c r="C3" s="2" t="s">
        <v>4</v>
      </c>
      <c r="D3" s="3" t="s">
        <v>5</v>
      </c>
      <c r="E3" t="s">
        <v>6</v>
      </c>
    </row>
    <row r="4" spans="1:5" ht="14.25" customHeight="1" x14ac:dyDescent="0.3">
      <c r="A4" s="4">
        <v>4</v>
      </c>
      <c r="B4" s="7">
        <v>1897630</v>
      </c>
      <c r="C4" s="7">
        <v>-642080</v>
      </c>
      <c r="D4" s="5">
        <f>C4/B4</f>
        <v>-0.33835890031249505</v>
      </c>
      <c r="E4">
        <v>7</v>
      </c>
    </row>
    <row r="5" spans="1:5" x14ac:dyDescent="0.3">
      <c r="A5" s="4">
        <v>3</v>
      </c>
      <c r="B5" s="7">
        <v>2442000</v>
      </c>
      <c r="C5" s="7">
        <v>-1406800</v>
      </c>
      <c r="D5" s="5">
        <f>C5/B5</f>
        <v>-0.57608517608517607</v>
      </c>
      <c r="E5">
        <v>4</v>
      </c>
    </row>
    <row r="6" spans="1:5" x14ac:dyDescent="0.3">
      <c r="A6" s="4">
        <v>1</v>
      </c>
      <c r="B6" s="7">
        <v>2448600</v>
      </c>
      <c r="C6" s="7">
        <v>-1379920</v>
      </c>
      <c r="D6" s="5">
        <f>C6/B6</f>
        <v>-0.56355468430940125</v>
      </c>
      <c r="E6">
        <v>10</v>
      </c>
    </row>
    <row r="7" spans="1:5" x14ac:dyDescent="0.3">
      <c r="A7" s="4"/>
      <c r="B7" s="6">
        <f>SUM(B4:B6)</f>
        <v>6788230</v>
      </c>
      <c r="C7" s="6">
        <f>SUM(C4:C6)</f>
        <v>-3428800</v>
      </c>
      <c r="D7" s="5">
        <f>C7/B7</f>
        <v>-0.50510957937488854</v>
      </c>
    </row>
    <row r="8" spans="1:5" x14ac:dyDescent="0.3">
      <c r="B8" s="6"/>
      <c r="C8" s="2" t="s">
        <v>7</v>
      </c>
      <c r="D8" s="5"/>
    </row>
    <row r="9" spans="1:5" x14ac:dyDescent="0.3">
      <c r="A9" s="4">
        <v>2</v>
      </c>
      <c r="B9" s="7">
        <v>4744300</v>
      </c>
      <c r="C9" s="7">
        <v>-1727960</v>
      </c>
      <c r="D9" s="5">
        <f>C9/B9</f>
        <v>-0.36421811436882151</v>
      </c>
      <c r="E9">
        <v>10</v>
      </c>
    </row>
    <row r="10" spans="1:5" x14ac:dyDescent="0.3">
      <c r="B10" s="7"/>
      <c r="C10" s="7">
        <v>257178</v>
      </c>
      <c r="D10" s="5">
        <f>C10/B9</f>
        <v>5.4207786185527899E-2</v>
      </c>
    </row>
    <row r="11" spans="1:5" x14ac:dyDescent="0.3">
      <c r="A11" s="1" t="s">
        <v>8</v>
      </c>
      <c r="B11" s="6">
        <f>B7+B9</f>
        <v>11532530</v>
      </c>
      <c r="C11" s="6">
        <f>C7+C9</f>
        <v>-5156760</v>
      </c>
      <c r="D11" s="5">
        <f>C11/B11</f>
        <v>-0.44714906442905417</v>
      </c>
      <c r="E11">
        <f>E4+E5+E6+E9</f>
        <v>31</v>
      </c>
    </row>
    <row r="13" spans="1:5" x14ac:dyDescent="0.3">
      <c r="B13" s="1" t="s">
        <v>0</v>
      </c>
      <c r="C13" s="9">
        <v>45976</v>
      </c>
      <c r="D13" t="s">
        <v>1</v>
      </c>
      <c r="E13">
        <v>1450.12</v>
      </c>
    </row>
    <row r="14" spans="1:5" x14ac:dyDescent="0.3">
      <c r="E14" s="8">
        <v>-9.9474974226629268E-3</v>
      </c>
    </row>
    <row r="15" spans="1:5" x14ac:dyDescent="0.3">
      <c r="A15" s="1" t="s">
        <v>2</v>
      </c>
      <c r="B15" s="2" t="s">
        <v>3</v>
      </c>
      <c r="C15" s="2" t="s">
        <v>4</v>
      </c>
      <c r="D15" s="3" t="s">
        <v>5</v>
      </c>
      <c r="E15" t="s">
        <v>6</v>
      </c>
    </row>
    <row r="16" spans="1:5" x14ac:dyDescent="0.3">
      <c r="A16" s="4">
        <v>4</v>
      </c>
      <c r="B16" s="7">
        <v>1897630</v>
      </c>
      <c r="C16" s="7">
        <v>-652010</v>
      </c>
      <c r="D16" s="5">
        <v>-0.3435917433851699</v>
      </c>
      <c r="E16">
        <v>7</v>
      </c>
    </row>
    <row r="17" spans="1:5" x14ac:dyDescent="0.3">
      <c r="A17" s="4">
        <v>3</v>
      </c>
      <c r="B17" s="7">
        <v>2442000</v>
      </c>
      <c r="C17" s="7">
        <v>-1312280</v>
      </c>
      <c r="D17" s="5">
        <v>-0.53737919737919737</v>
      </c>
      <c r="E17">
        <v>4</v>
      </c>
    </row>
    <row r="18" spans="1:5" x14ac:dyDescent="0.3">
      <c r="A18" s="4">
        <v>1</v>
      </c>
      <c r="B18" s="7">
        <v>2448600</v>
      </c>
      <c r="C18" s="7">
        <v>-1162950</v>
      </c>
      <c r="D18" s="5">
        <v>-0.4749448664543004</v>
      </c>
      <c r="E18">
        <v>10</v>
      </c>
    </row>
    <row r="19" spans="1:5" x14ac:dyDescent="0.3">
      <c r="A19" s="4"/>
      <c r="B19" s="6">
        <v>6788230</v>
      </c>
      <c r="C19" s="6">
        <v>-3127240</v>
      </c>
      <c r="D19" s="5">
        <v>-0.4606856279177341</v>
      </c>
    </row>
    <row r="20" spans="1:5" x14ac:dyDescent="0.3">
      <c r="B20" s="6"/>
      <c r="C20" s="2" t="s">
        <v>7</v>
      </c>
      <c r="D20" s="5"/>
    </row>
    <row r="21" spans="1:5" x14ac:dyDescent="0.3">
      <c r="A21" s="4">
        <v>2</v>
      </c>
      <c r="B21" s="7">
        <v>4744300</v>
      </c>
      <c r="C21" s="7">
        <v>-1723190</v>
      </c>
      <c r="D21" s="5">
        <v>-0.36321269734207362</v>
      </c>
      <c r="E21">
        <v>10</v>
      </c>
    </row>
    <row r="22" spans="1:5" x14ac:dyDescent="0.3">
      <c r="B22" s="7"/>
      <c r="C22" s="7">
        <v>257178</v>
      </c>
      <c r="D22" s="5">
        <v>5.4207786185527899E-2</v>
      </c>
    </row>
    <row r="23" spans="1:5" x14ac:dyDescent="0.3">
      <c r="A23" s="1" t="s">
        <v>8</v>
      </c>
      <c r="B23" s="6">
        <v>11532530</v>
      </c>
      <c r="C23" s="6">
        <v>-4850430</v>
      </c>
      <c r="D23" s="5">
        <v>-0.42058680965928552</v>
      </c>
      <c r="E2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261002</vt:lpstr>
      <vt:lpstr>260831</vt:lpstr>
      <vt:lpstr>260731</vt:lpstr>
      <vt:lpstr>260630</vt:lpstr>
      <vt:lpstr>260529</vt:lpstr>
      <vt:lpstr>260430</vt:lpstr>
      <vt:lpstr>260327</vt:lpstr>
      <vt:lpstr>260227</vt:lpstr>
      <vt:lpstr>260130</vt:lpstr>
      <vt:lpstr>251230</vt:lpstr>
      <vt:lpstr>251128</vt:lpstr>
      <vt:lpstr>251031</vt:lpstr>
      <vt:lpstr>250926</vt:lpstr>
      <vt:lpstr>250919</vt:lpstr>
      <vt:lpstr>250912</vt:lpstr>
      <vt:lpstr>250905</vt:lpstr>
      <vt:lpstr>250815</vt:lpstr>
      <vt:lpstr>250808</vt:lpstr>
      <vt:lpstr>250718</vt:lpstr>
      <vt:lpstr>250704</vt:lpstr>
      <vt:lpstr>250627</vt:lpstr>
      <vt:lpstr>250620</vt:lpstr>
      <vt:lpstr>250613</vt:lpstr>
      <vt:lpstr>250530</vt:lpstr>
      <vt:lpstr>250523</vt:lpstr>
      <vt:lpstr>250516</vt:lpstr>
      <vt:lpstr>250509</vt:lpstr>
      <vt:lpstr>250502</vt:lpstr>
      <vt:lpstr>250411</vt:lpstr>
      <vt:lpstr>250221</vt:lpstr>
      <vt:lpstr>250131</vt:lpstr>
      <vt:lpstr>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 Soontarinka</cp:lastModifiedBy>
  <dcterms:created xsi:type="dcterms:W3CDTF">2021-03-08T15:38:37Z</dcterms:created>
  <dcterms:modified xsi:type="dcterms:W3CDTF">2026-10-05T13:11:28Z</dcterms:modified>
</cp:coreProperties>
</file>