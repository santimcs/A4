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157" documentId="8_{B00F7D7D-2236-4C8B-840E-2CD3F92C0379}" xr6:coauthVersionLast="47" xr6:coauthVersionMax="47" xr10:uidLastSave="{81AB62B3-7E47-4B15-88AC-EB2493449B96}"/>
  <bookViews>
    <workbookView xWindow="-108" yWindow="-108" windowWidth="23256" windowHeight="12456" tabRatio="445" xr2:uid="{00000000-000D-0000-FFFF-FFFF00000000}"/>
  </bookViews>
  <sheets>
    <sheet name="JUL26" sheetId="99" r:id="rId1"/>
    <sheet name="JUN26" sheetId="98" r:id="rId2"/>
    <sheet name="MAY26" sheetId="97" r:id="rId3"/>
    <sheet name="APR26" sheetId="96" r:id="rId4"/>
    <sheet name="MAR26" sheetId="95" r:id="rId5"/>
    <sheet name="FEB26" sheetId="94" r:id="rId6"/>
    <sheet name="JAN26" sheetId="93" r:id="rId7"/>
    <sheet name="DEC25" sheetId="92" r:id="rId8"/>
    <sheet name="NOV25" sheetId="91" r:id="rId9"/>
    <sheet name="OCT25" sheetId="90" r:id="rId10"/>
    <sheet name="SEP25" sheetId="89" r:id="rId11"/>
    <sheet name="AUG25" sheetId="8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99" l="1"/>
  <c r="H17" i="99" s="1"/>
  <c r="H13" i="99"/>
  <c r="H11" i="99"/>
  <c r="G5" i="99"/>
  <c r="E5" i="99"/>
  <c r="H5" i="99"/>
  <c r="H6" i="99" s="1"/>
  <c r="H8" i="99" s="1"/>
  <c r="H3" i="99"/>
  <c r="G2" i="99"/>
  <c r="H23" i="98"/>
  <c r="H18" i="98"/>
  <c r="G12" i="98"/>
  <c r="E12" i="98"/>
  <c r="H11" i="98"/>
  <c r="G9" i="98"/>
  <c r="G8" i="98"/>
  <c r="G7" i="98"/>
  <c r="G6" i="98"/>
  <c r="G4" i="98"/>
  <c r="G2" i="98"/>
  <c r="G3" i="98"/>
  <c r="G5" i="98"/>
  <c r="G2" i="97"/>
  <c r="H2" i="97" s="1"/>
  <c r="H18" i="97" s="1"/>
  <c r="H31" i="97" s="1"/>
  <c r="H10" i="97"/>
  <c r="H14" i="97"/>
  <c r="H26" i="97"/>
  <c r="G20" i="97"/>
  <c r="E20" i="97"/>
  <c r="H19" i="97"/>
  <c r="H20" i="97" s="1"/>
  <c r="G17" i="97"/>
  <c r="H17" i="97" s="1"/>
  <c r="G16" i="97"/>
  <c r="H16" i="97" s="1"/>
  <c r="G15" i="97"/>
  <c r="H15" i="97" s="1"/>
  <c r="G13" i="97"/>
  <c r="H13" i="97" s="1"/>
  <c r="G11" i="97"/>
  <c r="H11" i="97" s="1"/>
  <c r="G10" i="97"/>
  <c r="G9" i="97"/>
  <c r="G8" i="97"/>
  <c r="G7" i="97"/>
  <c r="H7" i="97" s="1"/>
  <c r="G6" i="97"/>
  <c r="H6" i="97" s="1"/>
  <c r="G4" i="97"/>
  <c r="H4" i="97" s="1"/>
  <c r="G12" i="97"/>
  <c r="H12" i="97" s="1"/>
  <c r="G5" i="97"/>
  <c r="H5" i="97" s="1"/>
  <c r="G3" i="97"/>
  <c r="H17" i="96"/>
  <c r="H9" i="96"/>
  <c r="H12" i="99" l="1"/>
  <c r="H14" i="99" s="1"/>
  <c r="H24" i="98"/>
  <c r="H32" i="97"/>
  <c r="H12" i="98"/>
  <c r="H8" i="98"/>
  <c r="H9" i="98"/>
  <c r="H2" i="98"/>
  <c r="H3" i="98"/>
  <c r="H6" i="98"/>
  <c r="H7" i="98"/>
  <c r="H4" i="98"/>
  <c r="H5" i="98"/>
  <c r="H21" i="97"/>
  <c r="H23" i="97" s="1"/>
  <c r="H27" i="97" s="1"/>
  <c r="H29" i="97" s="1"/>
  <c r="H12" i="96"/>
  <c r="H18" i="96" s="1"/>
  <c r="G6" i="96"/>
  <c r="E6" i="96"/>
  <c r="H6" i="96"/>
  <c r="G3" i="96"/>
  <c r="G2" i="96"/>
  <c r="H2" i="96" s="1"/>
  <c r="G7" i="95"/>
  <c r="G3" i="95"/>
  <c r="H3" i="95" s="1"/>
  <c r="H10" i="98" l="1"/>
  <c r="H13" i="98" s="1"/>
  <c r="H15" i="98" s="1"/>
  <c r="H19" i="98" s="1"/>
  <c r="H21" i="98" s="1"/>
  <c r="H4" i="96"/>
  <c r="H7" i="96" s="1"/>
  <c r="E14" i="95"/>
  <c r="G14" i="95"/>
  <c r="H13" i="95"/>
  <c r="H12" i="95"/>
  <c r="H11" i="95"/>
  <c r="H14" i="95" s="1"/>
  <c r="H20" i="95"/>
  <c r="G8" i="95"/>
  <c r="H8" i="95" s="1"/>
  <c r="G6" i="95"/>
  <c r="G5" i="95"/>
  <c r="H5" i="95" s="1"/>
  <c r="G9" i="95"/>
  <c r="H9" i="95" s="1"/>
  <c r="G4" i="95"/>
  <c r="H4" i="95" s="1"/>
  <c r="G2" i="95"/>
  <c r="H2" i="95" s="1"/>
  <c r="H5" i="94"/>
  <c r="G5" i="94"/>
  <c r="E5" i="94"/>
  <c r="G2" i="94"/>
  <c r="H2" i="94" s="1"/>
  <c r="H12" i="94"/>
  <c r="H17" i="94" s="1"/>
  <c r="H11" i="93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H13" i="96" l="1"/>
  <c r="H10" i="95"/>
  <c r="H3" i="94"/>
  <c r="H6" i="94"/>
  <c r="H7" i="94" s="1"/>
  <c r="H9" i="94" s="1"/>
  <c r="H13" i="94" s="1"/>
  <c r="H15" i="94" s="1"/>
  <c r="H23" i="92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5" i="96" l="1"/>
  <c r="H25" i="95"/>
  <c r="H26" i="95" s="1"/>
  <c r="H15" i="95"/>
  <c r="H17" i="95" s="1"/>
  <c r="H21" i="95" s="1"/>
  <c r="H23" i="95" s="1"/>
</calcChain>
</file>

<file path=xl/sharedStrings.xml><?xml version="1.0" encoding="utf-8"?>
<sst xmlns="http://schemas.openxmlformats.org/spreadsheetml/2006/main" count="518" uniqueCount="68">
  <si>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</si>
  <si>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</si>
  <si>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</si>
  <si>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</si>
  <si>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</si>
  <si>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</si>
  <si>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</si>
  <si>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</si>
  <si>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</si>
  <si>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</si>
  <si>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</si>
  <si>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</si>
  <si>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</si>
  <si>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</si>
  <si>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</si>
  <si>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</si>
  <si>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</si>
  <si>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</si>
  <si>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</si>
  <si>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</si>
  <si>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</si>
  <si>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</si>
  <si>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</si>
  <si>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</si>
  <si>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</si>
  <si>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>PTTGC</t>
  </si>
  <si>
    <t>ASK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</si>
  <si>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</si>
  <si>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</si>
  <si>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</si>
  <si>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</si>
  <si>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</si>
  <si>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</si>
  <si>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</si>
  <si>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</si>
  <si>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</si>
  <si>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</si>
  <si>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</si>
  <si>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</si>
  <si>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</si>
  <si>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</si>
  <si>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</si>
  <si>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</si>
  <si>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</si>
  <si>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</si>
  <si>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</si>
  <si>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</si>
  <si>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</si>
  <si>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</si>
  <si>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</si>
  <si>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</si>
  <si>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</si>
  <si>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</si>
  <si>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</si>
  <si>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</si>
  <si>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</si>
  <si>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</si>
  <si>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</si>
  <si>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</si>
  <si>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</si>
  <si>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</si>
  <si>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</si>
  <si>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</si>
  <si>
    <t>B/F Dividend</t>
  </si>
  <si>
    <t>C/F Dividend</t>
  </si>
  <si>
    <t>C/F Div - C/F Exp</t>
  </si>
  <si>
    <t xml:space="preserve">PTT 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</si>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</sst>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\฿#,##0.00"/>
    <numFmt numFmtId="166" formatCode="&quot;฿&quot;#,##0.00"/>
    <numFmt numFmtId="167" formatCode="0.0000"/>
    <numFmt numFmtId="168" formatCode="yyyy\-mm\-dd;@"/>
    <numFmt numFmtId="169" formatCode="yyyy/mm/dd;@"/>
    <numFmt numFmtId="170" formatCode="&quot;$&quot;#,##0.00"/>
    <numFmt numFmtId="171" formatCode="0.000000"/>
  </numFmts>
  <fonts count="23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00B050"/>
      <name val="Calibri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165" fontId="2" fillId="0" borderId="0" xfId="0" applyNumberFormat="1" applyFont="1"/>
    <xf numFmtId="165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3" fontId="4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66" fontId="4" fillId="0" borderId="0" xfId="0" applyNumberFormat="1" applyFont="1"/>
    <xf numFmtId="166" fontId="3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0" fillId="0" borderId="0" xfId="0" applyNumberFormat="1"/>
    <xf numFmtId="0" fontId="6" fillId="0" borderId="0" xfId="0" applyFont="1" applyAlignment="1">
      <alignment horizontal="center"/>
    </xf>
    <xf numFmtId="168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68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65" fontId="7" fillId="0" borderId="0" xfId="0" applyNumberFormat="1" applyFont="1"/>
    <xf numFmtId="164" fontId="7" fillId="0" borderId="0" xfId="0" applyNumberFormat="1" applyFont="1"/>
    <xf numFmtId="165" fontId="7" fillId="2" borderId="0" xfId="0" applyNumberFormat="1" applyFont="1" applyFill="1"/>
    <xf numFmtId="166" fontId="7" fillId="0" borderId="0" xfId="0" applyNumberFormat="1" applyFont="1"/>
    <xf numFmtId="4" fontId="7" fillId="2" borderId="0" xfId="0" applyNumberFormat="1" applyFont="1" applyFill="1"/>
    <xf numFmtId="167" fontId="7" fillId="0" borderId="0" xfId="0" applyNumberFormat="1" applyFont="1"/>
    <xf numFmtId="165" fontId="9" fillId="0" borderId="0" xfId="0" applyNumberFormat="1" applyFont="1"/>
    <xf numFmtId="165" fontId="9" fillId="3" borderId="0" xfId="0" applyNumberFormat="1" applyFont="1" applyFill="1"/>
    <xf numFmtId="165" fontId="6" fillId="0" borderId="0" xfId="0" applyNumberFormat="1" applyFont="1"/>
    <xf numFmtId="165" fontId="7" fillId="4" borderId="0" xfId="0" applyNumberFormat="1" applyFont="1" applyFill="1"/>
    <xf numFmtId="165" fontId="9" fillId="4" borderId="0" xfId="0" applyNumberFormat="1" applyFont="1" applyFill="1"/>
    <xf numFmtId="165" fontId="6" fillId="2" borderId="0" xfId="0" applyNumberFormat="1" applyFont="1" applyFill="1"/>
    <xf numFmtId="165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65" fontId="10" fillId="4" borderId="0" xfId="0" applyNumberFormat="1" applyFont="1" applyFill="1"/>
    <xf numFmtId="165" fontId="11" fillId="0" borderId="0" xfId="0" applyNumberFormat="1" applyFont="1"/>
    <xf numFmtId="4" fontId="5" fillId="0" borderId="0" xfId="0" applyNumberFormat="1" applyFont="1"/>
    <xf numFmtId="167" fontId="12" fillId="0" borderId="0" xfId="0" applyNumberFormat="1" applyFont="1"/>
    <xf numFmtId="167" fontId="14" fillId="0" borderId="0" xfId="0" applyNumberFormat="1" applyFont="1"/>
    <xf numFmtId="165" fontId="15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14" fontId="7" fillId="0" borderId="0" xfId="0" applyNumberFormat="1" applyFont="1"/>
    <xf numFmtId="4" fontId="16" fillId="0" borderId="0" xfId="0" applyNumberFormat="1" applyFont="1" applyAlignment="1">
      <alignment wrapText="1"/>
    </xf>
    <xf numFmtId="165" fontId="17" fillId="0" borderId="0" xfId="0" applyNumberFormat="1" applyFont="1"/>
    <xf numFmtId="165" fontId="17" fillId="4" borderId="0" xfId="0" applyNumberFormat="1" applyFont="1" applyFill="1"/>
    <xf numFmtId="166" fontId="17" fillId="0" borderId="0" xfId="0" applyNumberFormat="1" applyFont="1"/>
    <xf numFmtId="4" fontId="17" fillId="2" borderId="0" xfId="0" applyNumberFormat="1" applyFont="1" applyFill="1"/>
    <xf numFmtId="165" fontId="18" fillId="4" borderId="0" xfId="0" applyNumberFormat="1" applyFont="1" applyFill="1"/>
    <xf numFmtId="165" fontId="18" fillId="0" borderId="0" xfId="0" applyNumberFormat="1" applyFont="1"/>
    <xf numFmtId="0" fontId="19" fillId="0" borderId="0" xfId="0" applyFont="1" applyAlignment="1">
      <alignment horizontal="left" vertical="center"/>
    </xf>
    <xf numFmtId="4" fontId="3" fillId="0" borderId="0" xfId="0" applyNumberFormat="1" applyFont="1"/>
    <xf numFmtId="168" fontId="18" fillId="0" borderId="0" xfId="0" applyNumberFormat="1" applyFont="1" applyAlignment="1">
      <alignment horizontal="center"/>
    </xf>
    <xf numFmtId="169" fontId="17" fillId="0" borderId="0" xfId="0" applyNumberFormat="1" applyFont="1"/>
    <xf numFmtId="168" fontId="17" fillId="0" borderId="0" xfId="0" applyNumberFormat="1" applyFont="1"/>
    <xf numFmtId="14" fontId="17" fillId="0" borderId="0" xfId="0" applyNumberFormat="1" applyFont="1"/>
    <xf numFmtId="167" fontId="7" fillId="2" borderId="0" xfId="0" applyNumberFormat="1" applyFont="1" applyFill="1"/>
    <xf numFmtId="0" fontId="0" fillId="5" borderId="0" xfId="0" applyFill="1"/>
    <xf numFmtId="0" fontId="17" fillId="5" borderId="0" xfId="0" applyFont="1" applyFill="1" applyAlignment="1">
      <alignment horizontal="right" vertical="center" wrapText="1"/>
    </xf>
    <xf numFmtId="14" fontId="17" fillId="5" borderId="0" xfId="0" applyNumberFormat="1" applyFont="1" applyFill="1" applyAlignment="1">
      <alignment horizontal="right" vertical="center" wrapText="1"/>
    </xf>
    <xf numFmtId="3" fontId="17" fillId="5" borderId="0" xfId="0" applyNumberFormat="1" applyFont="1" applyFill="1" applyAlignment="1">
      <alignment horizontal="right" vertical="center" wrapText="1"/>
    </xf>
    <xf numFmtId="170" fontId="17" fillId="5" borderId="0" xfId="0" applyNumberFormat="1" applyFont="1" applyFill="1" applyAlignment="1">
      <alignment horizontal="right" vertical="center" wrapText="1"/>
    </xf>
    <xf numFmtId="170" fontId="1" fillId="0" borderId="0" xfId="0" applyNumberFormat="1" applyFont="1"/>
    <xf numFmtId="4" fontId="17" fillId="5" borderId="0" xfId="0" applyNumberFormat="1" applyFont="1" applyFill="1" applyAlignment="1">
      <alignment horizontal="right" vertical="center" wrapText="1"/>
    </xf>
    <xf numFmtId="0" fontId="21" fillId="5" borderId="0" xfId="0" applyFont="1" applyFill="1" applyAlignment="1">
      <alignment horizontal="right" vertical="center" wrapText="1"/>
    </xf>
    <xf numFmtId="3" fontId="21" fillId="5" borderId="0" xfId="0" applyNumberFormat="1" applyFont="1" applyFill="1" applyAlignment="1">
      <alignment horizontal="right" vertical="center" wrapText="1"/>
    </xf>
    <xf numFmtId="3" fontId="22" fillId="5" borderId="0" xfId="0" applyNumberFormat="1" applyFont="1" applyFill="1" applyAlignment="1">
      <alignment horizontal="right" vertical="center" wrapText="1"/>
    </xf>
    <xf numFmtId="0" fontId="22" fillId="5" borderId="0" xfId="0" applyFont="1" applyFill="1" applyAlignment="1">
      <alignment horizontal="right" vertical="center" wrapText="1"/>
    </xf>
    <xf numFmtId="3" fontId="14" fillId="0" borderId="0" xfId="0" applyNumberFormat="1" applyFont="1"/>
    <xf numFmtId="0" fontId="14" fillId="0" borderId="0" xfId="0" applyFont="1"/>
    <xf numFmtId="171" fontId="6" fillId="0" borderId="0" xfId="0" applyNumberFormat="1" applyFont="1" applyAlignment="1">
      <alignment horizontal="center"/>
    </xf>
    <xf numFmtId="171" fontId="7" fillId="0" borderId="0" xfId="0" applyNumberFormat="1" applyFont="1"/>
    <xf numFmtId="171" fontId="12" fillId="0" borderId="0" xfId="0" applyNumberFormat="1" applyFont="1"/>
    <xf numFmtId="171" fontId="14" fillId="0" borderId="0" xfId="0" applyNumberFormat="1" applyFont="1"/>
    <xf numFmtId="171" fontId="4" fillId="0" borderId="0" xfId="0" applyNumberFormat="1" applyFont="1"/>
    <xf numFmtId="170" fontId="7" fillId="2" borderId="0" xfId="0" applyNumberFormat="1" applyFont="1" applyFill="1"/>
    <xf numFmtId="166" fontId="6" fillId="0" borderId="0" xfId="0" applyNumberFormat="1" applyFont="1"/>
    <xf numFmtId="10" fontId="7" fillId="0" borderId="0" xfId="0" applyNumberFormat="1" applyFont="1"/>
    <xf numFmtId="170" fontId="7" fillId="0" borderId="0" xfId="0" applyNumberFormat="1" applyFont="1"/>
    <xf numFmtId="171" fontId="13" fillId="0" borderId="0" xfId="0" applyNumberFormat="1" applyFont="1"/>
    <xf numFmtId="171" fontId="20" fillId="0" borderId="0" xfId="0" applyNumberFormat="1" applyFont="1"/>
    <xf numFmtId="3" fontId="1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F8AE-F947-4FC1-BF85-790919A908D8}">
  <dimension ref="A1:N18"/>
  <sheetViews>
    <sheetView tabSelected="1" workbookViewId="0">
      <pane ySplit="1" topLeftCell="A2" activePane="bottomLeft" state="frozen"/>
      <selection pane="bottomLeft" activeCell="H17" sqref="H17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8.625" style="7" bestFit="1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23</v>
      </c>
      <c r="B2" s="28">
        <v>44736</v>
      </c>
      <c r="C2" s="29">
        <v>40000</v>
      </c>
      <c r="D2" s="30" t="s">
        <v>9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v>0</v>
      </c>
      <c r="I4" s="11"/>
      <c r="J4" s="7"/>
      <c r="K4" s="7"/>
      <c r="L4" s="15"/>
      <c r="M4" s="15"/>
      <c r="N4" s="6"/>
    </row>
    <row r="5" spans="1:14" ht="15.6" x14ac:dyDescent="0.3">
      <c r="A5" s="26"/>
      <c r="B5" s="28"/>
      <c r="C5" s="29"/>
      <c r="D5" s="33"/>
      <c r="E5" s="32">
        <f>SUM(E4:E4)</f>
        <v>36079.74</v>
      </c>
      <c r="F5" s="30"/>
      <c r="G5" s="32">
        <f>SUM(G4:G4)</f>
        <v>41128.699999999997</v>
      </c>
      <c r="H5" s="32">
        <f>SUM(H4:H4)</f>
        <v>0</v>
      </c>
      <c r="K5" s="7"/>
      <c r="L5" s="15"/>
      <c r="M5" s="15"/>
    </row>
    <row r="6" spans="1:14" s="1" customFormat="1" ht="2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 t="s">
        <v>12</v>
      </c>
      <c r="J6" s="7">
        <v>48852.81</v>
      </c>
      <c r="K6" s="7"/>
      <c r="L6" s="15"/>
      <c r="M6" s="15"/>
      <c r="N6" s="6"/>
    </row>
    <row r="7" spans="1:14" ht="15.6" x14ac:dyDescent="0.3">
      <c r="A7" s="26"/>
      <c r="B7" s="28"/>
      <c r="C7" s="29"/>
      <c r="D7" s="33"/>
      <c r="E7" s="32"/>
      <c r="F7" s="30"/>
      <c r="G7" s="32" t="s">
        <v>16</v>
      </c>
      <c r="H7" s="32">
        <v>-57483.65400000001</v>
      </c>
      <c r="I7" s="11" t="s">
        <v>16</v>
      </c>
      <c r="J7" s="7">
        <v>-106336.46400000001</v>
      </c>
      <c r="K7" s="7"/>
      <c r="L7" s="15"/>
      <c r="M7" s="15"/>
    </row>
    <row r="8" spans="1:14" ht="15.6" x14ac:dyDescent="0.3">
      <c r="A8" s="26"/>
      <c r="B8" s="28"/>
      <c r="C8" s="29"/>
      <c r="D8" s="33"/>
      <c r="E8" s="32"/>
      <c r="F8" s="30"/>
      <c r="G8" s="32" t="s">
        <v>28</v>
      </c>
      <c r="H8" s="34">
        <f>H6+H7</f>
        <v>-57483.65400000001</v>
      </c>
      <c r="I8" s="11" t="s">
        <v>28</v>
      </c>
      <c r="J8" s="7">
        <v>-57483.65400000001</v>
      </c>
      <c r="K8" s="7"/>
      <c r="L8" s="15"/>
      <c r="M8" s="15"/>
    </row>
    <row r="9" spans="1:14" ht="15.6" x14ac:dyDescent="0.3">
      <c r="A9" s="26"/>
      <c r="B9" s="28"/>
      <c r="C9" s="29"/>
      <c r="D9" s="33"/>
      <c r="E9" s="32"/>
      <c r="F9" s="30"/>
      <c r="G9" s="32" t="s">
        <v>13</v>
      </c>
      <c r="H9" s="35">
        <v>184230</v>
      </c>
      <c r="I9" s="11" t="s">
        <v>13</v>
      </c>
      <c r="J9" s="7">
        <v>169620</v>
      </c>
      <c r="K9" s="7"/>
      <c r="L9" s="15"/>
      <c r="M9" s="15"/>
    </row>
    <row r="10" spans="1:14" ht="15.6" x14ac:dyDescent="0.3">
      <c r="A10" s="26"/>
      <c r="B10" s="28"/>
      <c r="C10" s="29"/>
      <c r="D10" s="33"/>
      <c r="E10" s="32"/>
      <c r="F10" s="30"/>
      <c r="G10" s="32" t="s">
        <v>48</v>
      </c>
      <c r="H10" s="35">
        <v>34310</v>
      </c>
      <c r="I10" s="11" t="s">
        <v>47</v>
      </c>
      <c r="J10" s="7">
        <v>14610</v>
      </c>
      <c r="K10" s="7"/>
      <c r="L10" s="15"/>
      <c r="M10" s="15"/>
    </row>
    <row r="11" spans="1:14" s="1" customFormat="1" ht="2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218540</v>
      </c>
      <c r="I11" s="11" t="s">
        <v>14</v>
      </c>
      <c r="J11" s="7">
        <v>184230</v>
      </c>
      <c r="K11" s="7"/>
      <c r="L11" s="15"/>
      <c r="M11" s="15"/>
      <c r="N11" s="6"/>
    </row>
    <row r="12" spans="1:14" s="1" customFormat="1" ht="21" x14ac:dyDescent="0.6">
      <c r="A12" s="5"/>
      <c r="B12" s="12"/>
      <c r="C12" s="8"/>
      <c r="D12" s="9"/>
      <c r="E12" s="7"/>
      <c r="F12" s="10"/>
      <c r="G12" s="32" t="s">
        <v>15</v>
      </c>
      <c r="H12" s="46">
        <f>H8-H11</f>
        <v>-276023.65399999998</v>
      </c>
      <c r="I12" s="11" t="s">
        <v>15</v>
      </c>
      <c r="J12" s="7">
        <v>-241713.65400000001</v>
      </c>
      <c r="K12" s="7"/>
      <c r="L12" s="15"/>
      <c r="M12" s="15"/>
      <c r="N12" s="6"/>
    </row>
    <row r="13" spans="1:14" s="1" customFormat="1" ht="21" x14ac:dyDescent="0.6">
      <c r="A13" s="5"/>
      <c r="B13" s="12"/>
      <c r="C13" s="8"/>
      <c r="D13" s="9"/>
      <c r="E13" s="7"/>
      <c r="F13" s="10"/>
      <c r="G13" s="38" t="s">
        <v>30</v>
      </c>
      <c r="H13" s="38">
        <f>J13</f>
        <v>60000</v>
      </c>
      <c r="I13" s="11" t="s">
        <v>30</v>
      </c>
      <c r="J13" s="7">
        <v>60000</v>
      </c>
      <c r="K13" s="7"/>
      <c r="L13" s="15"/>
      <c r="M13" s="15"/>
      <c r="N13" s="6"/>
    </row>
    <row r="14" spans="1:14" s="1" customFormat="1" ht="21" x14ac:dyDescent="0.6">
      <c r="A14" s="6"/>
      <c r="B14" s="12"/>
      <c r="C14" s="8"/>
      <c r="D14" s="10"/>
      <c r="E14" s="14"/>
      <c r="F14" s="10"/>
      <c r="G14" s="38" t="s">
        <v>31</v>
      </c>
      <c r="H14" s="39">
        <f>H12+H13</f>
        <v>-216023.65399999998</v>
      </c>
      <c r="I14" s="11" t="s">
        <v>31</v>
      </c>
      <c r="J14" s="7">
        <v>-181713.65400000001</v>
      </c>
      <c r="K14" s="7"/>
      <c r="L14" s="15"/>
      <c r="M14" s="15"/>
      <c r="N14" s="6"/>
    </row>
    <row r="15" spans="1:14" ht="15.6" x14ac:dyDescent="0.3">
      <c r="G15" s="32" t="s">
        <v>63</v>
      </c>
      <c r="H15" s="7">
        <v>270100.40599999996</v>
      </c>
      <c r="I15" s="11" t="s">
        <v>63</v>
      </c>
      <c r="J15" s="7">
        <v>221247.59599999999</v>
      </c>
      <c r="K15" s="7"/>
      <c r="M15" s="7"/>
    </row>
    <row r="16" spans="1:14" ht="15.6" x14ac:dyDescent="0.3">
      <c r="G16" s="32" t="s">
        <v>64</v>
      </c>
      <c r="H16" s="32">
        <f>H15+H3</f>
        <v>270100.40599999996</v>
      </c>
      <c r="I16" s="11" t="s">
        <v>64</v>
      </c>
      <c r="J16" s="7">
        <v>270100.40599999996</v>
      </c>
      <c r="M16" s="7"/>
    </row>
    <row r="17" spans="3:13" ht="15.6" x14ac:dyDescent="0.3">
      <c r="G17" s="32" t="s">
        <v>65</v>
      </c>
      <c r="H17" s="32">
        <f>H16-H11</f>
        <v>51560.405999999959</v>
      </c>
      <c r="I17" s="11" t="s">
        <v>65</v>
      </c>
      <c r="J17" s="7">
        <v>85870.405999999959</v>
      </c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D7D9-1BF8-42AF-8BE9-2337E6298F4C}">
  <dimension ref="A1:N27"/>
  <sheetViews>
    <sheetView workbookViewId="0">
      <pane ySplit="1" topLeftCell="A5" activePane="bottomLeft" state="frozen"/>
      <selection pane="bottomLeft" activeCell="H24" sqref="H24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21</v>
      </c>
      <c r="B2" s="28">
        <v>46178</v>
      </c>
      <c r="C2" s="29">
        <v>20000</v>
      </c>
      <c r="D2" s="30" t="s">
        <v>9</v>
      </c>
      <c r="E2" s="31"/>
      <c r="F2" s="37">
        <v>0.1915</v>
      </c>
      <c r="G2" s="31">
        <f t="shared" ref="G2:G9" si="0">C2*F2</f>
        <v>3830</v>
      </c>
      <c r="H2" s="40">
        <f t="shared" ref="H2:H9" si="1">G2*0.9</f>
        <v>3447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46183</v>
      </c>
      <c r="C3" s="29">
        <v>900</v>
      </c>
      <c r="D3" s="30" t="s">
        <v>9</v>
      </c>
      <c r="E3" s="31"/>
      <c r="F3" s="51">
        <v>0.20499999999999999</v>
      </c>
      <c r="G3" s="31">
        <f t="shared" si="0"/>
        <v>184.5</v>
      </c>
      <c r="H3" s="40">
        <f t="shared" si="1"/>
        <v>166.05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18</v>
      </c>
      <c r="B4" s="28">
        <v>46183</v>
      </c>
      <c r="C4" s="84">
        <v>45000</v>
      </c>
      <c r="D4" s="30" t="s">
        <v>9</v>
      </c>
      <c r="E4" s="31"/>
      <c r="F4" s="37">
        <v>0.22220000000000001</v>
      </c>
      <c r="G4" s="31">
        <f t="shared" si="0"/>
        <v>9999</v>
      </c>
      <c r="H4" s="40">
        <f t="shared" si="1"/>
        <v>8999.1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20</v>
      </c>
      <c r="B5" s="28">
        <v>46184</v>
      </c>
      <c r="C5" s="29">
        <v>55000</v>
      </c>
      <c r="D5" s="30" t="s">
        <v>9</v>
      </c>
      <c r="E5" s="31"/>
      <c r="F5" s="52">
        <v>0.28000000000000003</v>
      </c>
      <c r="G5" s="31">
        <f t="shared" si="0"/>
        <v>15400.000000000002</v>
      </c>
      <c r="H5" s="40">
        <f t="shared" si="1"/>
        <v>13860.000000000002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46184</v>
      </c>
      <c r="C6" s="97">
        <v>69000</v>
      </c>
      <c r="D6" s="30" t="s">
        <v>9</v>
      </c>
      <c r="E6" s="31"/>
      <c r="F6" s="51">
        <v>0.1946</v>
      </c>
      <c r="G6" s="31">
        <f t="shared" si="0"/>
        <v>13427.4</v>
      </c>
      <c r="H6" s="40">
        <f t="shared" si="1"/>
        <v>12084.66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40</v>
      </c>
      <c r="B7" s="28">
        <v>46185</v>
      </c>
      <c r="C7" s="29">
        <v>7200</v>
      </c>
      <c r="D7" s="30" t="s">
        <v>9</v>
      </c>
      <c r="E7" s="31"/>
      <c r="F7" s="37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46189</v>
      </c>
      <c r="C8" s="84">
        <v>25000</v>
      </c>
      <c r="D8" s="30" t="s">
        <v>9</v>
      </c>
      <c r="E8" s="31"/>
      <c r="F8" s="52">
        <v>0.12039999999999999</v>
      </c>
      <c r="G8" s="31">
        <f t="shared" si="0"/>
        <v>3010</v>
      </c>
      <c r="H8" s="40">
        <f t="shared" si="1"/>
        <v>2709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46191</v>
      </c>
      <c r="C9" s="97">
        <v>50000</v>
      </c>
      <c r="D9" s="30" t="s">
        <v>9</v>
      </c>
      <c r="E9" s="31"/>
      <c r="F9" s="52">
        <v>0.1434</v>
      </c>
      <c r="G9" s="31">
        <f t="shared" si="0"/>
        <v>7170</v>
      </c>
      <c r="H9" s="40">
        <f t="shared" si="1"/>
        <v>6453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48852.81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37</v>
      </c>
      <c r="B11" s="28">
        <v>45824</v>
      </c>
      <c r="C11" s="29">
        <v>0</v>
      </c>
      <c r="D11" s="30">
        <v>67</v>
      </c>
      <c r="E11" s="50">
        <v>0</v>
      </c>
      <c r="F11" s="30">
        <v>16.600000000000001</v>
      </c>
      <c r="G11" s="31">
        <v>0</v>
      </c>
      <c r="H11" s="32">
        <f t="shared" ref="H11" si="2">G11-E11</f>
        <v>0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6"/>
      <c r="B12" s="28"/>
      <c r="C12" s="29"/>
      <c r="D12" s="33"/>
      <c r="E12" s="32" t="e">
        <f>SUM(#REF!)</f>
        <v>#REF!</v>
      </c>
      <c r="F12" s="30"/>
      <c r="G12" s="32" t="e">
        <f>SUM(#REF!)</f>
        <v>#REF!</v>
      </c>
      <c r="H12" s="41">
        <f>SUM(H11:H11)</f>
        <v>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12</v>
      </c>
      <c r="H13" s="43">
        <f>H10+H12</f>
        <v>48852.81</v>
      </c>
      <c r="I13" s="13" t="s">
        <v>12</v>
      </c>
      <c r="J13" s="7">
        <v>136023.70199999999</v>
      </c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16</v>
      </c>
      <c r="H14" s="32">
        <v>-106336.46400000001</v>
      </c>
      <c r="I14" s="13" t="s">
        <v>16</v>
      </c>
      <c r="J14" s="7">
        <v>-242360.16599999997</v>
      </c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28</v>
      </c>
      <c r="H15" s="34">
        <f>H13+H14</f>
        <v>-57483.65400000001</v>
      </c>
      <c r="I15" s="13" t="s">
        <v>28</v>
      </c>
      <c r="J15" s="7">
        <v>-106336.46399999998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13</v>
      </c>
      <c r="H16" s="7">
        <v>169620</v>
      </c>
      <c r="I16" s="13" t="s">
        <v>13</v>
      </c>
      <c r="J16" s="7">
        <v>127030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47</v>
      </c>
      <c r="H17" s="35">
        <v>14610</v>
      </c>
      <c r="I17" s="13" t="s">
        <v>46</v>
      </c>
      <c r="J17" s="7">
        <v>42590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14</v>
      </c>
      <c r="H18" s="41">
        <f>H16+H17</f>
        <v>184230</v>
      </c>
      <c r="I18" s="13" t="s">
        <v>14</v>
      </c>
      <c r="J18" s="7">
        <v>169620</v>
      </c>
      <c r="K18" s="7"/>
      <c r="L18" s="15"/>
      <c r="M18" s="15"/>
      <c r="N18" s="6"/>
    </row>
    <row r="19" spans="1:14" s="1" customFormat="1" ht="21" x14ac:dyDescent="0.6">
      <c r="A19" s="5"/>
      <c r="B19" s="12"/>
      <c r="C19" s="8"/>
      <c r="D19" s="9"/>
      <c r="E19" s="7"/>
      <c r="F19" s="10"/>
      <c r="G19" s="32" t="s">
        <v>15</v>
      </c>
      <c r="H19" s="46">
        <f>H15-H18</f>
        <v>-241713.65400000001</v>
      </c>
      <c r="I19" s="13" t="s">
        <v>15</v>
      </c>
      <c r="J19" s="7">
        <v>-275956.46399999998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8" t="s">
        <v>30</v>
      </c>
      <c r="H20" s="7">
        <v>60000</v>
      </c>
      <c r="I20" s="13" t="s">
        <v>30</v>
      </c>
      <c r="J20" s="7">
        <v>60000</v>
      </c>
      <c r="K20" s="7"/>
      <c r="L20" s="15"/>
      <c r="M20" s="15"/>
      <c r="N20" s="6"/>
    </row>
    <row r="21" spans="1:14" s="1" customFormat="1" ht="21" x14ac:dyDescent="0.6">
      <c r="A21" s="6"/>
      <c r="B21" s="12"/>
      <c r="C21" s="8"/>
      <c r="D21" s="10"/>
      <c r="E21" s="14"/>
      <c r="F21" s="10"/>
      <c r="G21" s="38" t="s">
        <v>31</v>
      </c>
      <c r="H21" s="39">
        <f>H19+H20</f>
        <v>-181713.65400000001</v>
      </c>
      <c r="I21" s="13" t="s">
        <v>31</v>
      </c>
      <c r="J21" s="7">
        <v>-215956.46399999998</v>
      </c>
      <c r="K21" s="7"/>
      <c r="L21" s="15"/>
      <c r="M21" s="15"/>
      <c r="N21" s="7"/>
    </row>
    <row r="22" spans="1:14" ht="15.6" x14ac:dyDescent="0.3">
      <c r="G22" s="32" t="s">
        <v>63</v>
      </c>
      <c r="H22" s="7">
        <v>221247.59599999999</v>
      </c>
      <c r="I22" s="7" t="s">
        <v>63</v>
      </c>
      <c r="J22" s="7">
        <v>84048.91399999999</v>
      </c>
      <c r="K22" s="7"/>
      <c r="N22" s="13"/>
    </row>
    <row r="23" spans="1:14" ht="15.6" customHeight="1" x14ac:dyDescent="0.3">
      <c r="G23" s="32" t="s">
        <v>64</v>
      </c>
      <c r="H23" s="32">
        <f>H22+H10</f>
        <v>270100.40599999996</v>
      </c>
      <c r="I23" s="11" t="s">
        <v>64</v>
      </c>
      <c r="J23" s="7">
        <v>221247.59599999999</v>
      </c>
      <c r="K23" s="7"/>
    </row>
    <row r="24" spans="1:14" ht="15.6" x14ac:dyDescent="0.3">
      <c r="G24" s="32" t="s">
        <v>65</v>
      </c>
      <c r="H24" s="32">
        <f>H23-H18</f>
        <v>85870.405999999959</v>
      </c>
      <c r="I24" s="11" t="s">
        <v>65</v>
      </c>
      <c r="J24" s="7">
        <v>51627.59599999999</v>
      </c>
      <c r="K24" s="7"/>
      <c r="M24" s="7"/>
    </row>
    <row r="25" spans="1:14" x14ac:dyDescent="0.3">
      <c r="M25" s="7"/>
    </row>
    <row r="26" spans="1:14" x14ac:dyDescent="0.3">
      <c r="M26" s="7"/>
    </row>
    <row r="27" spans="1:14" x14ac:dyDescent="0.3">
      <c r="K27" s="7"/>
    </row>
  </sheetData>
  <sheetProtection selectLockedCells="1" selectUnlockedCells="1"/>
  <sortState xmlns:xlrd2="http://schemas.microsoft.com/office/spreadsheetml/2017/richdata2" ref="A2:N9">
    <sortCondition ref="B2:B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3354-A7E2-4931-8BC9-D8891EC066BA}">
  <dimension ref="A1:N35"/>
  <sheetViews>
    <sheetView workbookViewId="0">
      <pane ySplit="1" topLeftCell="A15" activePane="bottomLeft" state="frozen"/>
      <selection pane="bottomLeft" activeCell="G30" sqref="G30:H32"/>
    </sheetView>
  </sheetViews>
  <sheetFormatPr defaultColWidth="8.625" defaultRowHeight="15.6" x14ac:dyDescent="0.3"/>
  <cols>
    <col min="1" max="1" width="10.875" style="5" bestFit="1" customWidth="1"/>
    <col min="2" max="2" width="12.625" style="71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10.5" style="9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68" t="s">
        <v>1</v>
      </c>
      <c r="C1" s="22" t="s">
        <v>2</v>
      </c>
      <c r="D1" s="23" t="s">
        <v>3</v>
      </c>
      <c r="E1" s="24" t="s">
        <v>4</v>
      </c>
      <c r="F1" s="86" t="s">
        <v>5</v>
      </c>
      <c r="G1" s="24" t="s">
        <v>6</v>
      </c>
      <c r="H1" s="26" t="s">
        <v>7</v>
      </c>
      <c r="I1" s="67"/>
      <c r="J1" s="3"/>
      <c r="K1" s="5"/>
      <c r="L1" s="7"/>
      <c r="M1" s="6"/>
      <c r="N1" s="6"/>
    </row>
    <row r="2" spans="1:14" s="1" customFormat="1" ht="21" x14ac:dyDescent="0.6">
      <c r="A2" s="27" t="s">
        <v>33</v>
      </c>
      <c r="B2" s="69">
        <v>46148</v>
      </c>
      <c r="C2" s="29">
        <v>7000</v>
      </c>
      <c r="D2" s="30" t="s">
        <v>9</v>
      </c>
      <c r="E2" s="31" t="s">
        <v>9</v>
      </c>
      <c r="F2" s="87">
        <v>0.43</v>
      </c>
      <c r="G2" s="31">
        <f t="shared" ref="G2:G13" si="0">C2*F2</f>
        <v>3010</v>
      </c>
      <c r="H2" s="40">
        <f>G2*0.9</f>
        <v>2709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32</v>
      </c>
      <c r="B3" s="69">
        <v>46149</v>
      </c>
      <c r="C3" s="97">
        <v>75000</v>
      </c>
      <c r="D3" s="30" t="s">
        <v>9</v>
      </c>
      <c r="E3" s="31" t="s">
        <v>9</v>
      </c>
      <c r="F3" s="89">
        <v>0.7</v>
      </c>
      <c r="G3" s="31">
        <f t="shared" si="0"/>
        <v>52500</v>
      </c>
      <c r="H3" s="40">
        <v>51975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35</v>
      </c>
      <c r="B4" s="69">
        <v>46149</v>
      </c>
      <c r="C4" s="29">
        <v>27000</v>
      </c>
      <c r="D4" s="30" t="s">
        <v>9</v>
      </c>
      <c r="E4" s="31" t="s">
        <v>9</v>
      </c>
      <c r="F4" s="88">
        <v>0.26</v>
      </c>
      <c r="G4" s="31">
        <f t="shared" si="0"/>
        <v>7020</v>
      </c>
      <c r="H4" s="40">
        <f>G4</f>
        <v>7020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10</v>
      </c>
      <c r="B5" s="69">
        <v>46150</v>
      </c>
      <c r="C5" s="29">
        <v>10000</v>
      </c>
      <c r="D5" s="30" t="s">
        <v>9</v>
      </c>
      <c r="E5" s="31" t="s">
        <v>9</v>
      </c>
      <c r="F5" s="89">
        <v>0.5</v>
      </c>
      <c r="G5" s="31">
        <f t="shared" si="0"/>
        <v>5000</v>
      </c>
      <c r="H5" s="40">
        <f>G5*0.9</f>
        <v>4500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34</v>
      </c>
      <c r="B6" s="69">
        <v>46154</v>
      </c>
      <c r="C6" s="84">
        <v>17500</v>
      </c>
      <c r="D6" s="30" t="s">
        <v>9</v>
      </c>
      <c r="E6" s="31" t="s">
        <v>9</v>
      </c>
      <c r="F6" s="89">
        <v>0.38</v>
      </c>
      <c r="G6" s="31">
        <f t="shared" si="0"/>
        <v>6650</v>
      </c>
      <c r="H6" s="40">
        <f>G6*0.9</f>
        <v>5985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38</v>
      </c>
      <c r="B7" s="69">
        <v>46157</v>
      </c>
      <c r="C7" s="29">
        <v>3600</v>
      </c>
      <c r="D7" s="30" t="s">
        <v>9</v>
      </c>
      <c r="E7" s="31" t="s">
        <v>9</v>
      </c>
      <c r="F7" s="95">
        <v>0.35</v>
      </c>
      <c r="G7" s="31">
        <f t="shared" si="0"/>
        <v>1260</v>
      </c>
      <c r="H7" s="40">
        <f>G7*0.9</f>
        <v>1134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39</v>
      </c>
      <c r="B8" s="69">
        <v>46157</v>
      </c>
      <c r="C8" s="29">
        <v>27000</v>
      </c>
      <c r="D8" s="30" t="s">
        <v>9</v>
      </c>
      <c r="E8" s="31" t="s">
        <v>9</v>
      </c>
      <c r="F8" s="96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61</v>
      </c>
      <c r="B9" s="69">
        <v>46157</v>
      </c>
      <c r="C9" s="29">
        <v>4000</v>
      </c>
      <c r="D9" s="30" t="s">
        <v>9</v>
      </c>
      <c r="E9" s="31" t="s">
        <v>9</v>
      </c>
      <c r="F9" s="95">
        <v>1.17</v>
      </c>
      <c r="G9" s="31">
        <f t="shared" si="0"/>
        <v>4680</v>
      </c>
      <c r="H9" s="40">
        <v>4272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42</v>
      </c>
      <c r="B10" s="69">
        <v>46164</v>
      </c>
      <c r="C10" s="29">
        <v>1200</v>
      </c>
      <c r="D10" s="30" t="s">
        <v>9</v>
      </c>
      <c r="E10" s="31" t="s">
        <v>9</v>
      </c>
      <c r="F10" s="87">
        <v>0.48</v>
      </c>
      <c r="G10" s="31">
        <f t="shared" si="0"/>
        <v>576</v>
      </c>
      <c r="H10" s="40">
        <f>526.8</f>
        <v>526.79999999999995</v>
      </c>
      <c r="I10" s="13"/>
      <c r="J10" s="2"/>
      <c r="K10" s="7"/>
      <c r="L10" s="6"/>
      <c r="M10" s="6"/>
      <c r="N10" s="6"/>
    </row>
    <row r="11" spans="1:14" s="1" customFormat="1" ht="21" x14ac:dyDescent="0.6">
      <c r="A11" s="27" t="s">
        <v>11</v>
      </c>
      <c r="B11" s="69">
        <v>46164</v>
      </c>
      <c r="C11" s="29">
        <v>4000</v>
      </c>
      <c r="D11" s="30" t="s">
        <v>9</v>
      </c>
      <c r="E11" s="31" t="s">
        <v>9</v>
      </c>
      <c r="F11" s="89">
        <v>0.3</v>
      </c>
      <c r="G11" s="31">
        <f t="shared" si="0"/>
        <v>1200</v>
      </c>
      <c r="H11" s="40">
        <f t="shared" ref="H11:H17" si="1">G11*0.9</f>
        <v>1080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62</v>
      </c>
      <c r="B12" s="69">
        <v>46164</v>
      </c>
      <c r="C12" s="29">
        <v>10000</v>
      </c>
      <c r="D12" s="30" t="s">
        <v>9</v>
      </c>
      <c r="E12" s="31" t="s">
        <v>9</v>
      </c>
      <c r="F12" s="87">
        <v>0.25</v>
      </c>
      <c r="G12" s="31">
        <f t="shared" si="0"/>
        <v>2500</v>
      </c>
      <c r="H12" s="40">
        <f t="shared" si="1"/>
        <v>2250</v>
      </c>
      <c r="I12" s="13"/>
      <c r="J12" s="17"/>
      <c r="K12" s="7"/>
      <c r="L12" s="6"/>
      <c r="M12" s="6"/>
      <c r="N12" s="6"/>
    </row>
    <row r="13" spans="1:14" s="1" customFormat="1" ht="21" x14ac:dyDescent="0.6">
      <c r="A13" s="27" t="s">
        <v>40</v>
      </c>
      <c r="B13" s="69">
        <v>46164</v>
      </c>
      <c r="C13" s="29">
        <v>7200</v>
      </c>
      <c r="D13" s="30" t="s">
        <v>9</v>
      </c>
      <c r="E13" s="31" t="s">
        <v>9</v>
      </c>
      <c r="F13" s="87">
        <v>0.17499999999999999</v>
      </c>
      <c r="G13" s="31">
        <f t="shared" si="0"/>
        <v>1260</v>
      </c>
      <c r="H13" s="40">
        <f t="shared" si="1"/>
        <v>1134</v>
      </c>
      <c r="I13" s="13"/>
      <c r="J13" s="2"/>
      <c r="K13" s="7"/>
      <c r="L13" s="6"/>
      <c r="M13" s="6"/>
      <c r="N13" s="6"/>
    </row>
    <row r="14" spans="1:14" s="1" customFormat="1" ht="21" x14ac:dyDescent="0.6">
      <c r="A14" s="27" t="s">
        <v>44</v>
      </c>
      <c r="B14" s="69">
        <v>46167</v>
      </c>
      <c r="C14" s="29">
        <v>105000</v>
      </c>
      <c r="D14" s="30" t="s">
        <v>9</v>
      </c>
      <c r="E14" s="31" t="s">
        <v>9</v>
      </c>
      <c r="F14" s="89">
        <v>0.138295</v>
      </c>
      <c r="G14" s="31">
        <v>14520.98</v>
      </c>
      <c r="H14" s="40">
        <f t="shared" si="1"/>
        <v>13068.882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45</v>
      </c>
      <c r="B15" s="69">
        <v>46168</v>
      </c>
      <c r="C15" s="29">
        <v>1000</v>
      </c>
      <c r="D15" s="30" t="s">
        <v>9</v>
      </c>
      <c r="E15" s="31" t="s">
        <v>9</v>
      </c>
      <c r="F15" s="89">
        <v>0.39</v>
      </c>
      <c r="G15" s="31">
        <f>C15*F15</f>
        <v>390</v>
      </c>
      <c r="H15" s="40">
        <f t="shared" si="1"/>
        <v>351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43</v>
      </c>
      <c r="B16" s="69">
        <v>46170</v>
      </c>
      <c r="C16" s="29">
        <v>9000</v>
      </c>
      <c r="D16" s="30" t="s">
        <v>9</v>
      </c>
      <c r="E16" s="31" t="s">
        <v>9</v>
      </c>
      <c r="F16" s="89">
        <v>0.08</v>
      </c>
      <c r="G16" s="31">
        <f>C16*F16</f>
        <v>720</v>
      </c>
      <c r="H16" s="40">
        <f t="shared" si="1"/>
        <v>648</v>
      </c>
      <c r="I16" s="13"/>
      <c r="J16" s="17"/>
      <c r="K16" s="7"/>
      <c r="L16" s="6"/>
      <c r="M16" s="6"/>
      <c r="N16" s="6"/>
    </row>
    <row r="17" spans="1:14" s="1" customFormat="1" ht="21" x14ac:dyDescent="0.6">
      <c r="A17" s="27" t="s">
        <v>41</v>
      </c>
      <c r="B17" s="69">
        <v>46170</v>
      </c>
      <c r="C17" s="29">
        <v>50000</v>
      </c>
      <c r="D17" s="30" t="s">
        <v>9</v>
      </c>
      <c r="E17" s="31" t="s">
        <v>9</v>
      </c>
      <c r="F17" s="87">
        <v>4.9000000000000002E-2</v>
      </c>
      <c r="G17" s="31">
        <f>C17*F17</f>
        <v>2450</v>
      </c>
      <c r="H17" s="40">
        <f t="shared" si="1"/>
        <v>2205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0"/>
      <c r="C18" s="29"/>
      <c r="D18" s="30"/>
      <c r="E18" s="31"/>
      <c r="F18" s="87"/>
      <c r="G18" s="31"/>
      <c r="H18" s="34">
        <f>SUM(H2:H17)</f>
        <v>137198.682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32</v>
      </c>
      <c r="B19" s="70">
        <v>46153</v>
      </c>
      <c r="C19" s="29">
        <v>5000</v>
      </c>
      <c r="D19" s="30">
        <v>8</v>
      </c>
      <c r="E19" s="31">
        <v>40088.6</v>
      </c>
      <c r="F19" s="87">
        <v>7.8</v>
      </c>
      <c r="G19" s="31">
        <v>38913.620000000003</v>
      </c>
      <c r="H19" s="32">
        <f>G19-E19</f>
        <v>-1174.9799999999959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0"/>
      <c r="C20" s="29"/>
      <c r="D20" s="33"/>
      <c r="E20" s="32">
        <f>SUM(E19:E19)</f>
        <v>40088.6</v>
      </c>
      <c r="F20" s="87"/>
      <c r="G20" s="32">
        <f>SUM(G19:G19)</f>
        <v>38913.620000000003</v>
      </c>
      <c r="H20" s="44">
        <f>SUM(H19:H19)</f>
        <v>-1174.9799999999959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0"/>
      <c r="C21" s="29"/>
      <c r="D21" s="33"/>
      <c r="E21" s="32"/>
      <c r="F21" s="87"/>
      <c r="G21" s="32" t="s">
        <v>12</v>
      </c>
      <c r="H21" s="34">
        <f>H18+H20</f>
        <v>136023.70199999999</v>
      </c>
      <c r="I21" s="13" t="s">
        <v>12</v>
      </c>
      <c r="J21" s="7">
        <v>12172.5</v>
      </c>
      <c r="K21" s="7"/>
      <c r="L21" s="15"/>
      <c r="M21" s="15"/>
      <c r="N21" s="6"/>
    </row>
    <row r="22" spans="1:14" s="1" customFormat="1" ht="21" x14ac:dyDescent="0.6">
      <c r="A22" s="26"/>
      <c r="B22" s="70"/>
      <c r="C22" s="29"/>
      <c r="D22" s="33"/>
      <c r="E22" s="32"/>
      <c r="F22" s="87"/>
      <c r="G22" s="32" t="s">
        <v>16</v>
      </c>
      <c r="H22" s="7">
        <v>-242360.16599999997</v>
      </c>
      <c r="I22" s="13" t="s">
        <v>16</v>
      </c>
      <c r="J22" s="7">
        <v>-254532.66599999997</v>
      </c>
      <c r="K22" s="7"/>
      <c r="L22" s="15"/>
      <c r="M22" s="15"/>
      <c r="N22" s="6"/>
    </row>
    <row r="23" spans="1:14" s="1" customFormat="1" ht="21" x14ac:dyDescent="0.6">
      <c r="A23" s="26"/>
      <c r="B23" s="70"/>
      <c r="C23" s="29"/>
      <c r="D23" s="33"/>
      <c r="E23" s="32"/>
      <c r="F23" s="87"/>
      <c r="G23" s="32" t="s">
        <v>28</v>
      </c>
      <c r="H23" s="34">
        <f>H21+H22</f>
        <v>-106336.46399999998</v>
      </c>
      <c r="I23" s="13" t="s">
        <v>28</v>
      </c>
      <c r="J23" s="7">
        <v>-242360.16599999997</v>
      </c>
      <c r="K23" s="7"/>
      <c r="L23" s="15"/>
      <c r="M23" s="15"/>
      <c r="N23" s="6"/>
    </row>
    <row r="24" spans="1:14" s="1" customFormat="1" ht="21" x14ac:dyDescent="0.6">
      <c r="A24" s="26"/>
      <c r="B24" s="70"/>
      <c r="C24" s="29"/>
      <c r="D24" s="33"/>
      <c r="E24" s="32"/>
      <c r="F24" s="87"/>
      <c r="G24" s="32" t="s">
        <v>13</v>
      </c>
      <c r="H24" s="7">
        <v>127030</v>
      </c>
      <c r="I24" s="13" t="s">
        <v>13</v>
      </c>
      <c r="J24" s="7">
        <v>98170</v>
      </c>
      <c r="K24" s="7"/>
      <c r="L24" s="15"/>
      <c r="M24" s="15"/>
      <c r="N24" s="6"/>
    </row>
    <row r="25" spans="1:14" s="1" customFormat="1" ht="21" x14ac:dyDescent="0.6">
      <c r="A25" s="26"/>
      <c r="B25" s="70"/>
      <c r="C25" s="29"/>
      <c r="D25" s="33"/>
      <c r="E25" s="32"/>
      <c r="F25" s="87"/>
      <c r="G25" s="32" t="s">
        <v>46</v>
      </c>
      <c r="H25" s="35">
        <v>42590</v>
      </c>
      <c r="I25" s="13" t="s">
        <v>29</v>
      </c>
      <c r="J25" s="7">
        <v>28860</v>
      </c>
      <c r="K25" s="7"/>
      <c r="L25" s="15"/>
      <c r="M25" s="15"/>
      <c r="N25" s="6"/>
    </row>
    <row r="26" spans="1:14" s="1" customFormat="1" ht="21" x14ac:dyDescent="0.6">
      <c r="A26" s="26"/>
      <c r="B26" s="70"/>
      <c r="C26" s="29"/>
      <c r="D26" s="33"/>
      <c r="E26" s="32"/>
      <c r="F26" s="87"/>
      <c r="G26" s="32" t="s">
        <v>14</v>
      </c>
      <c r="H26" s="41">
        <f>H24+H25</f>
        <v>169620</v>
      </c>
      <c r="I26" s="13" t="s">
        <v>14</v>
      </c>
      <c r="J26" s="7">
        <v>127030</v>
      </c>
      <c r="K26" s="7"/>
      <c r="L26" s="15"/>
      <c r="M26" s="15"/>
      <c r="N26" s="6"/>
    </row>
    <row r="27" spans="1:14" s="1" customFormat="1" ht="21" x14ac:dyDescent="0.6">
      <c r="A27" s="5"/>
      <c r="B27" s="71"/>
      <c r="C27" s="8"/>
      <c r="D27" s="9"/>
      <c r="E27" s="7"/>
      <c r="F27" s="90"/>
      <c r="G27" s="32" t="s">
        <v>15</v>
      </c>
      <c r="H27" s="46">
        <f>H23-H26</f>
        <v>-275956.46399999998</v>
      </c>
      <c r="I27" s="13" t="s">
        <v>15</v>
      </c>
      <c r="J27" s="7">
        <v>-369390.16599999997</v>
      </c>
      <c r="K27" s="7"/>
      <c r="L27" s="15"/>
      <c r="M27" s="15"/>
      <c r="N27" s="6"/>
    </row>
    <row r="28" spans="1:14" s="1" customFormat="1" ht="21" x14ac:dyDescent="0.6">
      <c r="A28" s="5"/>
      <c r="B28" s="71"/>
      <c r="C28" s="8"/>
      <c r="D28" s="9"/>
      <c r="E28" s="7"/>
      <c r="F28" s="90"/>
      <c r="G28" s="38" t="s">
        <v>30</v>
      </c>
      <c r="H28" s="38">
        <v>60000</v>
      </c>
      <c r="I28" s="13" t="s">
        <v>30</v>
      </c>
      <c r="J28" s="7">
        <v>60000</v>
      </c>
      <c r="K28" s="7"/>
      <c r="L28" s="15"/>
      <c r="M28" s="15"/>
      <c r="N28" s="6"/>
    </row>
    <row r="29" spans="1:14" s="1" customFormat="1" ht="21" x14ac:dyDescent="0.6">
      <c r="A29" s="6"/>
      <c r="B29" s="71"/>
      <c r="C29" s="8"/>
      <c r="D29" s="10"/>
      <c r="E29" s="14"/>
      <c r="F29" s="90"/>
      <c r="G29" s="38" t="s">
        <v>31</v>
      </c>
      <c r="H29" s="39">
        <f>H27+H28</f>
        <v>-215956.46399999998</v>
      </c>
      <c r="I29" s="13" t="s">
        <v>31</v>
      </c>
      <c r="J29" s="7">
        <v>-309390.16599999997</v>
      </c>
      <c r="K29" s="7"/>
      <c r="L29" s="15"/>
      <c r="M29" s="15"/>
      <c r="N29" s="7"/>
    </row>
    <row r="30" spans="1:14" x14ac:dyDescent="0.3">
      <c r="G30" s="32" t="s">
        <v>63</v>
      </c>
      <c r="H30" s="7">
        <v>84048.91399999999</v>
      </c>
      <c r="I30" s="13" t="s">
        <v>63</v>
      </c>
      <c r="J30" s="7">
        <v>71876.41399999999</v>
      </c>
      <c r="K30" s="7"/>
      <c r="N30" s="13"/>
    </row>
    <row r="31" spans="1:14" ht="15.6" customHeight="1" x14ac:dyDescent="0.3">
      <c r="G31" s="32" t="s">
        <v>64</v>
      </c>
      <c r="H31" s="32">
        <f>H30+H18</f>
        <v>221247.59599999999</v>
      </c>
      <c r="I31" s="13" t="s">
        <v>64</v>
      </c>
      <c r="J31" s="7">
        <v>84048.91399999999</v>
      </c>
      <c r="K31" s="7"/>
    </row>
    <row r="32" spans="1:14" x14ac:dyDescent="0.3">
      <c r="G32" s="32" t="s">
        <v>65</v>
      </c>
      <c r="H32" s="32">
        <f>H31-H26</f>
        <v>51627.59599999999</v>
      </c>
      <c r="I32" s="13" t="s">
        <v>65</v>
      </c>
      <c r="J32" s="7">
        <v>-42981.08600000001</v>
      </c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H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C5F2-0211-490B-8DD7-A2B28B5D4706}">
  <dimension ref="A1:L21"/>
  <sheetViews>
    <sheetView workbookViewId="0">
      <pane ySplit="1" topLeftCell="A2" activePane="bottomLeft" state="frozen"/>
      <selection pane="bottomLeft" activeCell="G7" sqref="G7:H18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8.625" style="7" bestFit="1" customWidth="1"/>
    <col min="8" max="8" width="14.5" style="7" bestFit="1" customWidth="1"/>
    <col min="9" max="9" width="17.75" style="7" bestFit="1" customWidth="1"/>
    <col min="10" max="10" width="14.5" style="6" bestFit="1" customWidth="1"/>
    <col min="11" max="11" width="10.625" style="6" bestFit="1" customWidth="1"/>
    <col min="12" max="12" width="21.25" style="6" bestFit="1" customWidth="1"/>
    <col min="13" max="16384" width="8.625" style="6"/>
  </cols>
  <sheetData>
    <row r="1" spans="1:12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</row>
    <row r="2" spans="1:12" s="1" customFormat="1" ht="21" x14ac:dyDescent="0.6">
      <c r="A2" s="27" t="s">
        <v>25</v>
      </c>
      <c r="B2" s="28">
        <v>46136</v>
      </c>
      <c r="C2" s="29">
        <v>6000</v>
      </c>
      <c r="D2" s="30" t="s">
        <v>9</v>
      </c>
      <c r="E2" s="31" t="s">
        <v>9</v>
      </c>
      <c r="F2" s="37">
        <v>0.5</v>
      </c>
      <c r="G2" s="31">
        <f>C2*F2</f>
        <v>3000</v>
      </c>
      <c r="H2" s="32">
        <f>G2*0.9</f>
        <v>2700</v>
      </c>
      <c r="I2" s="17"/>
      <c r="J2" s="7"/>
      <c r="K2" s="6"/>
      <c r="L2" s="6"/>
    </row>
    <row r="3" spans="1:12" s="1" customFormat="1" ht="21" x14ac:dyDescent="0.6">
      <c r="A3" s="27" t="s">
        <v>66</v>
      </c>
      <c r="B3" s="28">
        <v>46140</v>
      </c>
      <c r="C3" s="29">
        <v>7500</v>
      </c>
      <c r="D3" s="30" t="s">
        <v>9</v>
      </c>
      <c r="E3" s="31" t="s">
        <v>9</v>
      </c>
      <c r="F3" s="37">
        <v>1.4</v>
      </c>
      <c r="G3" s="31">
        <f>C3*F3</f>
        <v>10500</v>
      </c>
      <c r="H3" s="32">
        <v>9472.5</v>
      </c>
      <c r="I3" s="17"/>
      <c r="J3" s="7"/>
      <c r="K3" s="6"/>
      <c r="L3" s="6"/>
    </row>
    <row r="4" spans="1:12" s="1" customFormat="1" ht="21" x14ac:dyDescent="0.6">
      <c r="A4" s="27"/>
      <c r="B4" s="28"/>
      <c r="C4" s="29"/>
      <c r="D4" s="30"/>
      <c r="E4" s="31"/>
      <c r="F4" s="30"/>
      <c r="G4" s="31"/>
      <c r="H4" s="34">
        <f>SUM(H2:H3)</f>
        <v>12172.5</v>
      </c>
      <c r="I4" s="19"/>
      <c r="J4" s="7"/>
      <c r="K4" s="6"/>
      <c r="L4" s="6"/>
    </row>
    <row r="5" spans="1:12" s="1" customFormat="1" ht="21" x14ac:dyDescent="0.6">
      <c r="A5" s="27" t="s">
        <v>67</v>
      </c>
      <c r="B5" s="28">
        <v>45757</v>
      </c>
      <c r="C5" s="29">
        <v>0</v>
      </c>
      <c r="D5" s="30">
        <v>61.5</v>
      </c>
      <c r="E5" s="31">
        <v>61636.22</v>
      </c>
      <c r="F5" s="30">
        <v>16.600000000000001</v>
      </c>
      <c r="G5" s="31">
        <v>16563.23</v>
      </c>
      <c r="H5" s="49">
        <v>0</v>
      </c>
      <c r="I5" s="7"/>
      <c r="J5" s="7"/>
      <c r="K5" s="15"/>
      <c r="L5" s="6"/>
    </row>
    <row r="6" spans="1:12" s="1" customFormat="1" ht="21" x14ac:dyDescent="0.6">
      <c r="A6" s="26"/>
      <c r="B6" s="28"/>
      <c r="C6" s="29"/>
      <c r="D6" s="33"/>
      <c r="E6" s="32">
        <f>SUM(E5:E5)</f>
        <v>61636.22</v>
      </c>
      <c r="F6" s="30"/>
      <c r="G6" s="32">
        <f>SUM(G5:G5)</f>
        <v>16563.23</v>
      </c>
      <c r="H6" s="34">
        <f>SUM(H5:H5)</f>
        <v>0</v>
      </c>
      <c r="I6" s="7"/>
      <c r="J6" s="7"/>
      <c r="K6" s="15"/>
      <c r="L6" s="6"/>
    </row>
    <row r="7" spans="1:12" s="1" customFormat="1" ht="21" x14ac:dyDescent="0.6">
      <c r="A7" s="26"/>
      <c r="B7" s="28"/>
      <c r="C7" s="29"/>
      <c r="D7" s="33"/>
      <c r="E7" s="32"/>
      <c r="F7" s="30"/>
      <c r="G7" s="32" t="s">
        <v>12</v>
      </c>
      <c r="H7" s="34">
        <f>H4+H6</f>
        <v>12172.5</v>
      </c>
      <c r="I7" s="32" t="s">
        <v>12</v>
      </c>
      <c r="J7" s="34">
        <v>-243272.66599999997</v>
      </c>
      <c r="K7" s="15"/>
      <c r="L7" s="6"/>
    </row>
    <row r="8" spans="1:12" s="1" customFormat="1" ht="21" x14ac:dyDescent="0.6">
      <c r="A8" s="26"/>
      <c r="B8" s="28"/>
      <c r="C8" s="29"/>
      <c r="D8" s="33"/>
      <c r="E8" s="32"/>
      <c r="F8" s="30"/>
      <c r="G8" s="32" t="s">
        <v>16</v>
      </c>
      <c r="H8" s="7">
        <v>-254532.66599999997</v>
      </c>
      <c r="I8" s="32" t="s">
        <v>16</v>
      </c>
      <c r="J8" s="32">
        <v>-11260</v>
      </c>
      <c r="K8" s="15"/>
      <c r="L8" s="6"/>
    </row>
    <row r="9" spans="1:12" s="1" customFormat="1" ht="21" x14ac:dyDescent="0.6">
      <c r="A9" s="26"/>
      <c r="B9" s="28"/>
      <c r="C9" s="29"/>
      <c r="D9" s="33"/>
      <c r="E9" s="32"/>
      <c r="F9" s="30"/>
      <c r="G9" s="32" t="s">
        <v>28</v>
      </c>
      <c r="H9" s="34">
        <f>H7+H8</f>
        <v>-242360.16599999997</v>
      </c>
      <c r="I9" s="60" t="s">
        <v>28</v>
      </c>
      <c r="J9" s="41">
        <v>-254532.66599999997</v>
      </c>
      <c r="K9" s="15"/>
      <c r="L9" s="6"/>
    </row>
    <row r="10" spans="1:12" s="1" customFormat="1" ht="21" x14ac:dyDescent="0.6">
      <c r="A10" s="26"/>
      <c r="B10" s="28"/>
      <c r="C10" s="29"/>
      <c r="D10" s="33"/>
      <c r="E10" s="32"/>
      <c r="F10" s="30"/>
      <c r="G10" s="32" t="s">
        <v>13</v>
      </c>
      <c r="H10" s="7">
        <v>98170</v>
      </c>
      <c r="I10" s="32" t="s">
        <v>13</v>
      </c>
      <c r="J10" s="35">
        <v>71260</v>
      </c>
      <c r="K10" s="15"/>
      <c r="L10" s="6"/>
    </row>
    <row r="11" spans="1:12" s="1" customFormat="1" ht="21" x14ac:dyDescent="0.6">
      <c r="A11" s="26"/>
      <c r="B11" s="28"/>
      <c r="C11" s="29"/>
      <c r="D11" s="33"/>
      <c r="E11" s="32"/>
      <c r="F11" s="30"/>
      <c r="G11" s="32" t="s">
        <v>29</v>
      </c>
      <c r="H11" s="35">
        <v>28860</v>
      </c>
      <c r="I11" s="32" t="s">
        <v>24</v>
      </c>
      <c r="J11" s="35">
        <v>26910</v>
      </c>
      <c r="K11" s="15"/>
      <c r="L11" s="6"/>
    </row>
    <row r="12" spans="1:12" s="1" customFormat="1" ht="21" x14ac:dyDescent="0.6">
      <c r="A12" s="26"/>
      <c r="B12" s="28"/>
      <c r="C12" s="29"/>
      <c r="D12" s="33"/>
      <c r="E12" s="32"/>
      <c r="F12" s="30"/>
      <c r="G12" s="32" t="s">
        <v>14</v>
      </c>
      <c r="H12" s="34">
        <f>H10+H11</f>
        <v>127030</v>
      </c>
      <c r="I12" s="32" t="s">
        <v>14</v>
      </c>
      <c r="J12" s="41">
        <v>98170</v>
      </c>
      <c r="K12" s="15"/>
      <c r="L12" s="6"/>
    </row>
    <row r="13" spans="1:12" s="1" customFormat="1" ht="21" x14ac:dyDescent="0.6">
      <c r="A13" s="5"/>
      <c r="B13" s="12"/>
      <c r="C13" s="8"/>
      <c r="D13" s="9"/>
      <c r="E13" s="7"/>
      <c r="F13" s="10"/>
      <c r="G13" s="32" t="s">
        <v>15</v>
      </c>
      <c r="H13" s="45">
        <f>H9-H12</f>
        <v>-369390.16599999997</v>
      </c>
      <c r="I13" s="32" t="s">
        <v>15</v>
      </c>
      <c r="J13" s="45">
        <v>-352702.66599999997</v>
      </c>
      <c r="K13" s="15"/>
      <c r="L13" s="6"/>
    </row>
    <row r="14" spans="1:12" s="1" customFormat="1" ht="21" x14ac:dyDescent="0.6">
      <c r="A14" s="5"/>
      <c r="B14" s="12"/>
      <c r="C14" s="8"/>
      <c r="D14" s="9"/>
      <c r="E14" s="7"/>
      <c r="F14" s="10"/>
      <c r="G14" s="38" t="s">
        <v>30</v>
      </c>
      <c r="H14" s="38">
        <v>60000</v>
      </c>
      <c r="I14" s="60" t="s">
        <v>30</v>
      </c>
      <c r="J14" s="94">
        <v>60000</v>
      </c>
      <c r="K14" s="15"/>
      <c r="L14" s="6"/>
    </row>
    <row r="15" spans="1:12" s="1" customFormat="1" ht="21" x14ac:dyDescent="0.6">
      <c r="A15" s="6"/>
      <c r="B15" s="12"/>
      <c r="C15" s="8"/>
      <c r="D15" s="10"/>
      <c r="E15" s="14"/>
      <c r="F15" s="10"/>
      <c r="G15" s="38" t="s">
        <v>31</v>
      </c>
      <c r="H15" s="39">
        <f>H13+H14</f>
        <v>-309390.16599999997</v>
      </c>
      <c r="I15" s="60" t="s">
        <v>31</v>
      </c>
      <c r="J15" s="41">
        <v>-292702.66599999997</v>
      </c>
      <c r="K15" s="15"/>
      <c r="L15" s="7"/>
    </row>
    <row r="16" spans="1:12" ht="15.6" x14ac:dyDescent="0.3">
      <c r="G16" s="32" t="s">
        <v>63</v>
      </c>
      <c r="H16" s="32">
        <v>71876.41399999999</v>
      </c>
      <c r="I16" s="7" t="s">
        <v>63</v>
      </c>
      <c r="J16" s="7">
        <v>0</v>
      </c>
      <c r="L16" s="13"/>
    </row>
    <row r="17" spans="7:11" ht="15.6" customHeight="1" x14ac:dyDescent="0.3">
      <c r="G17" s="32" t="s">
        <v>64</v>
      </c>
      <c r="H17" s="32">
        <f>H16+H4</f>
        <v>84048.91399999999</v>
      </c>
      <c r="I17" s="7" t="s">
        <v>64</v>
      </c>
      <c r="J17" s="7">
        <v>71876.41399999999</v>
      </c>
    </row>
    <row r="18" spans="7:11" ht="15.6" x14ac:dyDescent="0.3">
      <c r="G18" s="32" t="s">
        <v>65</v>
      </c>
      <c r="H18" s="32">
        <f>H17-H12</f>
        <v>-42981.08600000001</v>
      </c>
      <c r="I18" s="7" t="s">
        <v>65</v>
      </c>
      <c r="J18" s="7">
        <v>-26293.58600000001</v>
      </c>
      <c r="K18" s="7"/>
    </row>
    <row r="19" spans="7:11" x14ac:dyDescent="0.3">
      <c r="K19" s="7"/>
    </row>
    <row r="20" spans="7:11" x14ac:dyDescent="0.3">
      <c r="K20" s="7"/>
    </row>
    <row r="21" spans="7:11" x14ac:dyDescent="0.3">
      <c r="J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9199-1687-4EE7-A0F3-54DE6332B9D4}">
  <dimension ref="A1:N26"/>
  <sheetViews>
    <sheetView topLeftCell="A5" workbookViewId="0">
      <selection activeCell="G15" sqref="G15:H26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9.25" style="8" bestFit="1" customWidth="1"/>
    <col min="4" max="4" width="8" style="9" bestFit="1" customWidth="1"/>
    <col min="5" max="5" width="14.75" style="7" customWidth="1"/>
    <col min="6" max="6" width="13" style="90" bestFit="1" customWidth="1"/>
    <col min="7" max="7" width="17.75" style="7" bestFit="1" customWidth="1"/>
    <col min="8" max="8" width="14.5" style="7" bestFit="1" customWidth="1"/>
    <col min="9" max="9" width="17.75" style="11" bestFit="1" customWidth="1"/>
    <col min="10" max="10" width="14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86" t="s">
        <v>5</v>
      </c>
      <c r="G1" s="24" t="s">
        <v>6</v>
      </c>
      <c r="H1" s="26" t="s">
        <v>7</v>
      </c>
      <c r="I1" s="92"/>
      <c r="J1" s="92"/>
      <c r="K1" s="5"/>
    </row>
    <row r="2" spans="1:14" s="1" customFormat="1" ht="19.95" customHeight="1" x14ac:dyDescent="0.6">
      <c r="A2" s="27" t="s">
        <v>51</v>
      </c>
      <c r="B2" s="28">
        <v>46085</v>
      </c>
      <c r="C2" s="29">
        <v>120000</v>
      </c>
      <c r="D2" s="30" t="s">
        <v>9</v>
      </c>
      <c r="E2" s="31" t="s">
        <v>9</v>
      </c>
      <c r="F2" s="89">
        <v>0.22412299999999999</v>
      </c>
      <c r="G2" s="31">
        <f t="shared" ref="G2:G8" si="0">C2*F2</f>
        <v>26894.76</v>
      </c>
      <c r="H2" s="32">
        <f>G2*0.9</f>
        <v>24205.284</v>
      </c>
      <c r="I2" s="35"/>
      <c r="J2" s="35"/>
      <c r="K2" s="6"/>
    </row>
    <row r="3" spans="1:14" s="1" customFormat="1" ht="19.95" customHeight="1" x14ac:dyDescent="0.6">
      <c r="A3" s="27" t="s">
        <v>18</v>
      </c>
      <c r="B3" s="28">
        <v>46090</v>
      </c>
      <c r="C3" s="29">
        <v>45000</v>
      </c>
      <c r="D3" s="30" t="s">
        <v>9</v>
      </c>
      <c r="E3" s="31" t="s">
        <v>9</v>
      </c>
      <c r="F3" s="87">
        <v>0.22220000000000001</v>
      </c>
      <c r="G3" s="31">
        <f t="shared" ref="G3" si="1">C3*F3</f>
        <v>9999</v>
      </c>
      <c r="H3" s="32">
        <f>G3*0.9</f>
        <v>8999.1</v>
      </c>
      <c r="I3" s="35"/>
      <c r="J3" s="35"/>
      <c r="K3" s="6"/>
    </row>
    <row r="4" spans="1:14" s="1" customFormat="1" ht="19.95" customHeight="1" x14ac:dyDescent="0.6">
      <c r="A4" s="27" t="s">
        <v>19</v>
      </c>
      <c r="B4" s="28">
        <v>46093</v>
      </c>
      <c r="C4" s="29">
        <v>69000</v>
      </c>
      <c r="D4" s="30" t="s">
        <v>9</v>
      </c>
      <c r="E4" s="31" t="s">
        <v>9</v>
      </c>
      <c r="F4" s="88">
        <v>0.17829999999999999</v>
      </c>
      <c r="G4" s="31">
        <f t="shared" si="0"/>
        <v>12302.699999999999</v>
      </c>
      <c r="H4" s="32">
        <f>G4*0.9</f>
        <v>11072.429999999998</v>
      </c>
      <c r="I4" s="35"/>
      <c r="J4" s="35"/>
      <c r="K4" s="6"/>
    </row>
    <row r="5" spans="1:14" s="1" customFormat="1" ht="19.95" customHeight="1" x14ac:dyDescent="0.6">
      <c r="A5" s="27" t="s">
        <v>8</v>
      </c>
      <c r="B5" s="28">
        <v>46099</v>
      </c>
      <c r="C5" s="29">
        <v>20000</v>
      </c>
      <c r="D5" s="30" t="s">
        <v>9</v>
      </c>
      <c r="E5" s="31" t="s">
        <v>9</v>
      </c>
      <c r="F5" s="89">
        <v>0.12189999999999999</v>
      </c>
      <c r="G5" s="31">
        <f t="shared" si="0"/>
        <v>2438</v>
      </c>
      <c r="H5" s="32">
        <f>G5*0.9</f>
        <v>2194.2000000000003</v>
      </c>
      <c r="I5" s="35"/>
      <c r="J5" s="35"/>
      <c r="K5" s="6"/>
    </row>
    <row r="6" spans="1:14" s="1" customFormat="1" ht="19.95" customHeight="1" x14ac:dyDescent="0.6">
      <c r="A6" s="27" t="s">
        <v>21</v>
      </c>
      <c r="B6" s="28">
        <v>46101</v>
      </c>
      <c r="C6" s="29">
        <v>20000</v>
      </c>
      <c r="D6" s="30" t="s">
        <v>9</v>
      </c>
      <c r="E6" s="31" t="s">
        <v>9</v>
      </c>
      <c r="F6" s="87">
        <v>0.1212</v>
      </c>
      <c r="G6" s="31">
        <f t="shared" si="0"/>
        <v>2424</v>
      </c>
      <c r="H6" s="32">
        <v>2181.6</v>
      </c>
      <c r="I6" s="35"/>
      <c r="J6" s="35"/>
      <c r="K6" s="6"/>
    </row>
    <row r="7" spans="1:14" s="1" customFormat="1" ht="19.95" customHeight="1" x14ac:dyDescent="0.6">
      <c r="A7" s="27" t="s">
        <v>21</v>
      </c>
      <c r="B7" s="28">
        <v>46101</v>
      </c>
      <c r="C7" s="29">
        <v>20000</v>
      </c>
      <c r="D7" s="30" t="s">
        <v>9</v>
      </c>
      <c r="E7" s="31" t="s">
        <v>9</v>
      </c>
      <c r="F7" s="87">
        <v>7.4800000000000005E-2</v>
      </c>
      <c r="G7" s="31">
        <f t="shared" ref="G7" si="2">C7*F7</f>
        <v>1496</v>
      </c>
      <c r="H7" s="32">
        <v>1496</v>
      </c>
      <c r="I7" s="35"/>
      <c r="J7" s="35"/>
      <c r="K7" s="6"/>
    </row>
    <row r="8" spans="1:14" s="1" customFormat="1" ht="19.95" customHeight="1" x14ac:dyDescent="0.6">
      <c r="A8" s="27" t="s">
        <v>23</v>
      </c>
      <c r="B8" s="28">
        <v>46108</v>
      </c>
      <c r="C8" s="29">
        <v>50000</v>
      </c>
      <c r="D8" s="30" t="s">
        <v>9</v>
      </c>
      <c r="E8" s="31" t="s">
        <v>9</v>
      </c>
      <c r="F8" s="88">
        <v>0.17549999999999999</v>
      </c>
      <c r="G8" s="31">
        <f t="shared" si="0"/>
        <v>8775</v>
      </c>
      <c r="H8" s="32">
        <f>G8*0.9</f>
        <v>7897.5</v>
      </c>
      <c r="I8" s="35"/>
      <c r="J8" s="35"/>
      <c r="K8" s="6"/>
    </row>
    <row r="9" spans="1:14" s="1" customFormat="1" ht="19.95" customHeight="1" x14ac:dyDescent="0.6">
      <c r="A9" s="27" t="s">
        <v>20</v>
      </c>
      <c r="B9" s="28">
        <v>46108</v>
      </c>
      <c r="C9" s="29">
        <v>55000</v>
      </c>
      <c r="D9" s="30" t="s">
        <v>9</v>
      </c>
      <c r="E9" s="31" t="s">
        <v>9</v>
      </c>
      <c r="F9" s="89">
        <v>0.27939999999999998</v>
      </c>
      <c r="G9" s="31">
        <f>C9*F9</f>
        <v>15366.999999999998</v>
      </c>
      <c r="H9" s="32">
        <f>G9*0.9</f>
        <v>13830.3</v>
      </c>
      <c r="I9" s="35"/>
      <c r="J9" s="35"/>
      <c r="K9" s="6"/>
    </row>
    <row r="10" spans="1:14" s="1" customFormat="1" ht="19.95" customHeight="1" x14ac:dyDescent="0.6">
      <c r="A10" s="27"/>
      <c r="B10" s="28"/>
      <c r="C10" s="29"/>
      <c r="D10" s="30"/>
      <c r="E10" s="31"/>
      <c r="F10" s="87"/>
      <c r="G10" s="31"/>
      <c r="H10" s="32">
        <f>SUM(H2:H9)</f>
        <v>71876.41399999999</v>
      </c>
      <c r="I10" s="35"/>
      <c r="J10" s="35"/>
      <c r="K10" s="6"/>
    </row>
    <row r="11" spans="1:14" s="1" customFormat="1" ht="21.75" customHeight="1" x14ac:dyDescent="0.6">
      <c r="A11" s="27" t="s">
        <v>22</v>
      </c>
      <c r="B11" s="28">
        <v>46085</v>
      </c>
      <c r="C11" s="29">
        <v>17500</v>
      </c>
      <c r="D11" s="30">
        <v>10.6</v>
      </c>
      <c r="E11" s="31">
        <v>185910.87</v>
      </c>
      <c r="F11" s="87">
        <v>11.1</v>
      </c>
      <c r="G11" s="31">
        <v>193819.75</v>
      </c>
      <c r="H11" s="40">
        <f>G11-E11</f>
        <v>7908.8800000000047</v>
      </c>
      <c r="I11" s="93"/>
      <c r="J11" s="32"/>
      <c r="K11" s="7"/>
      <c r="L11" s="15"/>
      <c r="M11" s="15"/>
      <c r="N11" s="6"/>
    </row>
    <row r="12" spans="1:14" s="1" customFormat="1" ht="21.75" customHeight="1" x14ac:dyDescent="0.6">
      <c r="A12" s="27" t="s">
        <v>36</v>
      </c>
      <c r="B12" s="28">
        <v>46085</v>
      </c>
      <c r="C12" s="29">
        <v>6800</v>
      </c>
      <c r="D12" s="30">
        <v>33</v>
      </c>
      <c r="E12" s="31">
        <v>224897.03</v>
      </c>
      <c r="F12" s="87">
        <v>6.25</v>
      </c>
      <c r="G12" s="31">
        <v>42405.86</v>
      </c>
      <c r="H12" s="40">
        <f>G12-E12</f>
        <v>-182491.16999999998</v>
      </c>
      <c r="I12" s="93"/>
      <c r="J12" s="32"/>
      <c r="K12" s="7"/>
      <c r="L12" s="15"/>
      <c r="M12" s="15"/>
      <c r="N12" s="6"/>
    </row>
    <row r="13" spans="1:14" s="1" customFormat="1" ht="21.75" customHeight="1" x14ac:dyDescent="0.6">
      <c r="A13" s="27" t="s">
        <v>49</v>
      </c>
      <c r="B13" s="28">
        <v>46090</v>
      </c>
      <c r="C13" s="29">
        <v>600</v>
      </c>
      <c r="D13" s="30">
        <v>405</v>
      </c>
      <c r="E13" s="31">
        <v>243538.22</v>
      </c>
      <c r="F13" s="87">
        <v>172</v>
      </c>
      <c r="G13" s="31">
        <v>102971.43</v>
      </c>
      <c r="H13" s="40">
        <f>G13-E13</f>
        <v>-140566.79</v>
      </c>
      <c r="I13" s="93"/>
      <c r="J13" s="32"/>
      <c r="K13" s="7"/>
      <c r="L13" s="15"/>
      <c r="M13" s="15"/>
      <c r="N13" s="6"/>
    </row>
    <row r="14" spans="1:14" ht="19.95" customHeight="1" x14ac:dyDescent="0.3">
      <c r="A14" s="26"/>
      <c r="B14" s="28"/>
      <c r="C14" s="29"/>
      <c r="D14" s="33"/>
      <c r="E14" s="32">
        <f>SUM(E11:E13)</f>
        <v>654346.12</v>
      </c>
      <c r="F14" s="87"/>
      <c r="G14" s="32">
        <f>SUM(G11:G13)</f>
        <v>339197.04</v>
      </c>
      <c r="H14" s="32">
        <f>SUM(H11:H13)</f>
        <v>-315149.07999999996</v>
      </c>
      <c r="I14" s="35"/>
      <c r="J14" s="35"/>
      <c r="K14" s="15"/>
      <c r="L14" s="6"/>
    </row>
    <row r="15" spans="1:14" ht="19.95" customHeight="1" x14ac:dyDescent="0.3">
      <c r="A15" s="26"/>
      <c r="B15" s="28"/>
      <c r="C15" s="29"/>
      <c r="D15" s="33"/>
      <c r="E15" s="32"/>
      <c r="F15" s="87"/>
      <c r="G15" s="32" t="s">
        <v>12</v>
      </c>
      <c r="H15" s="34">
        <f>H10+H14</f>
        <v>-243272.66599999997</v>
      </c>
      <c r="I15" s="93" t="s">
        <v>12</v>
      </c>
      <c r="J15" s="60">
        <v>0</v>
      </c>
    </row>
    <row r="16" spans="1:14" ht="19.95" customHeight="1" x14ac:dyDescent="0.3">
      <c r="A16" s="26"/>
      <c r="B16" s="28"/>
      <c r="C16" s="29"/>
      <c r="D16" s="33"/>
      <c r="E16" s="32"/>
      <c r="F16" s="87"/>
      <c r="G16" s="32" t="s">
        <v>16</v>
      </c>
      <c r="H16" s="32">
        <v>-11260</v>
      </c>
      <c r="I16" s="35" t="s">
        <v>16</v>
      </c>
      <c r="J16" s="60">
        <v>0</v>
      </c>
      <c r="L16" s="6"/>
    </row>
    <row r="17" spans="1:12" ht="19.95" customHeight="1" x14ac:dyDescent="0.3">
      <c r="A17" s="26"/>
      <c r="B17" s="28"/>
      <c r="C17" s="29"/>
      <c r="D17" s="33"/>
      <c r="E17" s="32"/>
      <c r="F17" s="87"/>
      <c r="G17" s="60" t="s">
        <v>28</v>
      </c>
      <c r="H17" s="41">
        <f>SUM(H15,H16)</f>
        <v>-254532.66599999997</v>
      </c>
      <c r="I17" s="35" t="s">
        <v>28</v>
      </c>
      <c r="J17" s="60">
        <v>0</v>
      </c>
      <c r="L17" s="66"/>
    </row>
    <row r="18" spans="1:12" ht="19.95" customHeight="1" x14ac:dyDescent="0.3">
      <c r="A18" s="26"/>
      <c r="B18" s="28"/>
      <c r="C18" s="29"/>
      <c r="D18" s="33"/>
      <c r="E18" s="32"/>
      <c r="F18" s="87"/>
      <c r="G18" s="32" t="s">
        <v>13</v>
      </c>
      <c r="H18" s="35">
        <v>71260</v>
      </c>
      <c r="I18" s="35" t="s">
        <v>13</v>
      </c>
      <c r="J18" s="60">
        <v>38040</v>
      </c>
      <c r="L18" s="66"/>
    </row>
    <row r="19" spans="1:12" ht="19.95" customHeight="1" x14ac:dyDescent="0.3">
      <c r="A19" s="26"/>
      <c r="B19" s="28"/>
      <c r="C19" s="29"/>
      <c r="D19" s="33"/>
      <c r="E19" s="32"/>
      <c r="F19" s="87"/>
      <c r="G19" s="32" t="s">
        <v>24</v>
      </c>
      <c r="H19" s="35">
        <v>26910</v>
      </c>
      <c r="I19" s="35" t="s">
        <v>17</v>
      </c>
      <c r="J19" s="60">
        <v>33220</v>
      </c>
      <c r="L19" s="66"/>
    </row>
    <row r="20" spans="1:12" ht="19.95" customHeight="1" x14ac:dyDescent="0.3">
      <c r="A20" s="26"/>
      <c r="B20" s="28"/>
      <c r="C20" s="29"/>
      <c r="D20" s="33"/>
      <c r="E20" s="32"/>
      <c r="F20" s="87"/>
      <c r="G20" s="32" t="s">
        <v>14</v>
      </c>
      <c r="H20" s="41">
        <f>H18+H19</f>
        <v>98170</v>
      </c>
      <c r="I20" s="35" t="s">
        <v>14</v>
      </c>
      <c r="J20" s="60">
        <v>71260</v>
      </c>
      <c r="L20" s="6"/>
    </row>
    <row r="21" spans="1:12" ht="19.95" customHeight="1" x14ac:dyDescent="0.3">
      <c r="A21" s="26"/>
      <c r="B21" s="28"/>
      <c r="C21" s="29"/>
      <c r="D21" s="33"/>
      <c r="E21" s="32"/>
      <c r="F21" s="87"/>
      <c r="G21" s="32" t="s">
        <v>15</v>
      </c>
      <c r="H21" s="91">
        <f>H17-H20</f>
        <v>-352702.66599999997</v>
      </c>
      <c r="I21" s="35" t="s">
        <v>15</v>
      </c>
      <c r="J21" s="60">
        <v>-71260</v>
      </c>
      <c r="L21" s="6"/>
    </row>
    <row r="22" spans="1:12" ht="15.6" x14ac:dyDescent="0.3">
      <c r="A22" s="26"/>
      <c r="B22" s="28"/>
      <c r="C22" s="29"/>
      <c r="D22" s="33"/>
      <c r="E22" s="32"/>
      <c r="F22" s="87"/>
      <c r="G22" s="60" t="s">
        <v>30</v>
      </c>
      <c r="H22" s="94">
        <v>60000</v>
      </c>
      <c r="I22" s="35" t="s">
        <v>30</v>
      </c>
      <c r="J22" s="60">
        <v>60000</v>
      </c>
      <c r="L22" s="6"/>
    </row>
    <row r="23" spans="1:12" ht="15.6" x14ac:dyDescent="0.3">
      <c r="A23" s="26"/>
      <c r="B23" s="58"/>
      <c r="C23" s="29"/>
      <c r="D23" s="33"/>
      <c r="E23" s="32"/>
      <c r="F23" s="87"/>
      <c r="G23" s="60" t="s">
        <v>31</v>
      </c>
      <c r="H23" s="41">
        <f>H21+H22</f>
        <v>-292702.66599999997</v>
      </c>
      <c r="I23" s="93" t="s">
        <v>31</v>
      </c>
      <c r="J23" s="60">
        <v>-11260</v>
      </c>
    </row>
    <row r="24" spans="1:12" ht="15.6" x14ac:dyDescent="0.3">
      <c r="A24" s="26"/>
      <c r="B24" s="58"/>
      <c r="C24" s="29"/>
      <c r="D24" s="33"/>
      <c r="E24" s="32"/>
      <c r="F24" s="87"/>
      <c r="G24" s="32" t="s">
        <v>63</v>
      </c>
      <c r="H24" s="32">
        <v>0</v>
      </c>
      <c r="I24" s="93"/>
      <c r="J24" s="32"/>
    </row>
    <row r="25" spans="1:12" ht="15.6" x14ac:dyDescent="0.3">
      <c r="A25" s="26"/>
      <c r="B25" s="58"/>
      <c r="C25" s="29"/>
      <c r="D25" s="33"/>
      <c r="E25" s="32"/>
      <c r="F25" s="87"/>
      <c r="G25" s="32" t="s">
        <v>64</v>
      </c>
      <c r="H25" s="32">
        <f>H24+H10</f>
        <v>71876.41399999999</v>
      </c>
      <c r="I25" s="93"/>
      <c r="J25" s="32"/>
    </row>
    <row r="26" spans="1:12" ht="15.6" x14ac:dyDescent="0.3">
      <c r="A26" s="26"/>
      <c r="B26" s="58"/>
      <c r="C26" s="29"/>
      <c r="D26" s="33"/>
      <c r="E26" s="32"/>
      <c r="F26" s="87"/>
      <c r="G26" s="32" t="s">
        <v>65</v>
      </c>
      <c r="H26" s="32">
        <f>H25-H20</f>
        <v>-26293.58600000001</v>
      </c>
      <c r="I26" s="93"/>
      <c r="J26" s="3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483-6499-49C9-BB8D-67572F4517B8}">
  <dimension ref="A1:N18"/>
  <sheetViews>
    <sheetView workbookViewId="0">
      <selection activeCell="H17" sqref="H17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22.875" style="7" bestFit="1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I5" s="15"/>
      <c r="J5" s="15"/>
      <c r="K5" s="15"/>
      <c r="L5" s="6"/>
    </row>
    <row r="6" spans="1:14" s="1" customFormat="1" ht="22.8" customHeight="1" x14ac:dyDescent="0.6">
      <c r="A6" s="27"/>
      <c r="B6" s="28"/>
      <c r="C6" s="29"/>
      <c r="D6" s="30"/>
      <c r="E6" s="31"/>
      <c r="F6" s="30"/>
      <c r="G6" s="59"/>
      <c r="H6" s="60">
        <f>SUM(H2:H5)</f>
        <v>0</v>
      </c>
      <c r="I6" s="15"/>
      <c r="J6" s="15"/>
      <c r="K6" s="6"/>
    </row>
    <row r="7" spans="1:14" ht="15" customHeight="1" x14ac:dyDescent="0.3">
      <c r="A7" s="26"/>
      <c r="B7" s="28"/>
      <c r="C7" s="29"/>
      <c r="D7" s="33"/>
      <c r="E7" s="32"/>
      <c r="F7" s="30"/>
      <c r="G7" s="60" t="s">
        <v>12</v>
      </c>
      <c r="H7" s="60">
        <f>H6</f>
        <v>0</v>
      </c>
      <c r="I7" s="15" t="s">
        <v>12</v>
      </c>
      <c r="J7" s="15">
        <v>0</v>
      </c>
      <c r="L7" s="6"/>
    </row>
    <row r="8" spans="1:14" ht="15" customHeight="1" x14ac:dyDescent="0.3">
      <c r="A8" s="26"/>
      <c r="B8" s="28"/>
      <c r="C8" s="29"/>
      <c r="D8" s="33"/>
      <c r="E8" s="32"/>
      <c r="F8" s="30"/>
      <c r="G8" s="60" t="s">
        <v>16</v>
      </c>
      <c r="H8" s="60">
        <v>0</v>
      </c>
      <c r="I8" s="15" t="s">
        <v>16</v>
      </c>
      <c r="J8" s="15">
        <v>0</v>
      </c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0" t="s">
        <v>28</v>
      </c>
      <c r="H9" s="61">
        <f>SUM(H7,H8)</f>
        <v>0</v>
      </c>
      <c r="I9" s="15" t="s">
        <v>28</v>
      </c>
      <c r="J9" s="15">
        <v>0</v>
      </c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0" t="s">
        <v>13</v>
      </c>
      <c r="H10" s="62">
        <v>38040</v>
      </c>
      <c r="I10" s="15" t="s">
        <v>13</v>
      </c>
      <c r="J10" s="15">
        <v>0</v>
      </c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0" t="s">
        <v>17</v>
      </c>
      <c r="H11" s="62">
        <v>33220</v>
      </c>
      <c r="I11" s="15" t="s">
        <v>56</v>
      </c>
      <c r="J11" s="15">
        <v>38040</v>
      </c>
      <c r="L11" s="6"/>
    </row>
    <row r="12" spans="1:14" ht="15" customHeight="1" x14ac:dyDescent="0.3">
      <c r="A12" s="26"/>
      <c r="B12" s="28"/>
      <c r="C12" s="29"/>
      <c r="D12" s="33"/>
      <c r="E12" s="32"/>
      <c r="F12" s="57" t="s">
        <v>58</v>
      </c>
      <c r="G12" s="60" t="s">
        <v>14</v>
      </c>
      <c r="H12" s="61">
        <f>H10+H11</f>
        <v>71260</v>
      </c>
      <c r="I12" s="15" t="s">
        <v>14</v>
      </c>
      <c r="J12" s="15">
        <v>38040</v>
      </c>
      <c r="L12" s="6"/>
    </row>
    <row r="13" spans="1:14" ht="15" customHeight="1" x14ac:dyDescent="0.3">
      <c r="A13" s="26"/>
      <c r="B13" s="28"/>
      <c r="C13" s="29"/>
      <c r="D13" s="33"/>
      <c r="E13" s="32"/>
      <c r="F13" s="30"/>
      <c r="G13" s="60" t="s">
        <v>15</v>
      </c>
      <c r="H13" s="63">
        <f>H9-H12</f>
        <v>-71260</v>
      </c>
      <c r="I13" s="15" t="s">
        <v>15</v>
      </c>
      <c r="J13" s="15">
        <v>-38040</v>
      </c>
      <c r="L13" s="6"/>
    </row>
    <row r="14" spans="1:14" ht="15.6" x14ac:dyDescent="0.3">
      <c r="A14" s="26"/>
      <c r="B14" s="28"/>
      <c r="C14" s="29"/>
      <c r="D14" s="33"/>
      <c r="E14" s="32"/>
      <c r="F14" s="57" t="s">
        <v>57</v>
      </c>
      <c r="G14" s="60" t="s">
        <v>30</v>
      </c>
      <c r="H14" s="60">
        <v>60000</v>
      </c>
      <c r="I14" s="15" t="s">
        <v>30</v>
      </c>
      <c r="J14" s="15">
        <v>60000</v>
      </c>
      <c r="L14" s="6"/>
    </row>
    <row r="15" spans="1:14" ht="15.6" x14ac:dyDescent="0.3">
      <c r="A15" s="26"/>
      <c r="B15" s="58"/>
      <c r="C15" s="29"/>
      <c r="D15" s="33"/>
      <c r="E15" s="32"/>
      <c r="F15" s="30"/>
      <c r="G15" s="60" t="s">
        <v>31</v>
      </c>
      <c r="H15" s="64">
        <f>H13+H14</f>
        <v>-11260</v>
      </c>
      <c r="I15" s="11" t="s">
        <v>31</v>
      </c>
      <c r="J15" s="7">
        <v>21960</v>
      </c>
    </row>
    <row r="16" spans="1:14" s="11" customFormat="1" ht="15.6" x14ac:dyDescent="0.3">
      <c r="A16" s="26"/>
      <c r="B16" s="58"/>
      <c r="C16" s="29"/>
      <c r="D16" s="33"/>
      <c r="E16" s="32"/>
      <c r="F16" s="30"/>
      <c r="G16" s="60"/>
      <c r="H16" s="60"/>
      <c r="J16" s="7"/>
      <c r="K16" s="6"/>
      <c r="L16" s="7"/>
      <c r="M16" s="6"/>
      <c r="N16" s="6"/>
    </row>
    <row r="17" spans="1:14" s="11" customFormat="1" ht="15.6" x14ac:dyDescent="0.3">
      <c r="A17" s="26"/>
      <c r="B17" s="58"/>
      <c r="C17" s="29"/>
      <c r="D17" s="33"/>
      <c r="E17" s="32"/>
      <c r="F17" s="57" t="s">
        <v>59</v>
      </c>
      <c r="G17" s="65" t="s">
        <v>60</v>
      </c>
      <c r="H17" s="60">
        <f>H14-H12</f>
        <v>-11260</v>
      </c>
      <c r="J17" s="7"/>
      <c r="K17" s="6"/>
      <c r="L17" s="7"/>
      <c r="M17" s="6"/>
      <c r="N17" s="6"/>
    </row>
    <row r="18" spans="1:14" s="11" customFormat="1" ht="8.4" customHeight="1" x14ac:dyDescent="0.3">
      <c r="A18" s="5"/>
      <c r="B18" s="12"/>
      <c r="C18" s="8"/>
      <c r="D18" s="9"/>
      <c r="E18" s="7"/>
      <c r="F18" s="10"/>
      <c r="G18" s="7"/>
      <c r="H18" s="7"/>
      <c r="J18" s="7"/>
      <c r="K18" s="6"/>
      <c r="L18" s="7"/>
      <c r="M18" s="6"/>
      <c r="N18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workbookViewId="0">
      <pane ySplit="1" topLeftCell="A2" activePane="bottomLeft" state="frozen"/>
      <selection pane="bottomLeft" activeCell="H6" sqref="H6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56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2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39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1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85" t="s">
        <v>36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84">
        <v>17500</v>
      </c>
      <c r="D7" s="30" t="s">
        <v>9</v>
      </c>
      <c r="E7" s="31"/>
      <c r="F7" s="51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41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1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84">
        <v>69000</v>
      </c>
      <c r="D11" s="30" t="s">
        <v>9</v>
      </c>
      <c r="E11" s="31"/>
      <c r="F11" s="51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1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85" t="s">
        <v>51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28</v>
      </c>
      <c r="H19" s="41">
        <f>H17+H18</f>
        <v>-453418.88799999998</v>
      </c>
      <c r="I19" s="11" t="s">
        <v>28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55</v>
      </c>
      <c r="H21" s="35">
        <v>12050</v>
      </c>
      <c r="I21" s="11" t="s">
        <v>50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30</v>
      </c>
      <c r="H24" s="7">
        <v>57000</v>
      </c>
      <c r="I24" s="11" t="s">
        <v>30</v>
      </c>
      <c r="J24" s="7">
        <v>57000</v>
      </c>
    </row>
    <row r="25" spans="1:14" ht="15.6" x14ac:dyDescent="0.3">
      <c r="G25" s="38" t="s">
        <v>31</v>
      </c>
      <c r="H25" s="42">
        <f>H23+H24</f>
        <v>-805018.88800000004</v>
      </c>
      <c r="I25" s="11" t="s">
        <v>31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27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26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-522636.73</v>
      </c>
      <c r="I8" s="11" t="s">
        <v>28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54</v>
      </c>
      <c r="H10" s="35">
        <v>24420</v>
      </c>
      <c r="I10" s="11" t="s">
        <v>50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7">
        <v>57000</v>
      </c>
      <c r="I13" s="11" t="s">
        <v>30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2">
        <f>H12+H13</f>
        <v>-886606.73</v>
      </c>
      <c r="I14" s="11" t="s">
        <v>31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workbookViewId="0">
      <pane ySplit="1" topLeftCell="A2" activePane="bottomLeft" state="frozen"/>
      <selection pane="bottomLeft" activeCell="A4" sqref="A4:XFD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36</v>
      </c>
      <c r="B2" s="28">
        <v>45576</v>
      </c>
      <c r="C2" s="29">
        <v>6800</v>
      </c>
      <c r="D2" s="30" t="s">
        <v>9</v>
      </c>
      <c r="E2" s="31"/>
      <c r="F2" s="52">
        <v>0</v>
      </c>
      <c r="G2" s="31">
        <f>C2*F2</f>
        <v>0</v>
      </c>
      <c r="H2" s="53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41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39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27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28</v>
      </c>
      <c r="H10" s="41">
        <f>H8+H9</f>
        <v>-520323.55</v>
      </c>
      <c r="I10" s="11" t="s">
        <v>28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53</v>
      </c>
      <c r="H12" s="35">
        <v>19270</v>
      </c>
      <c r="I12" s="11" t="s">
        <v>50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30</v>
      </c>
      <c r="H15" s="38">
        <v>57000</v>
      </c>
      <c r="I15" s="11" t="s">
        <v>30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31</v>
      </c>
      <c r="H16" s="42">
        <f>H14+H15</f>
        <v>-879143.55</v>
      </c>
      <c r="I16" s="11" t="s">
        <v>31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5"/>
      <c r="J1" s="5"/>
      <c r="K1" s="6"/>
      <c r="L1" s="6"/>
      <c r="M1" s="6"/>
      <c r="N1" s="6"/>
    </row>
    <row r="2" spans="1:14" s="1" customFormat="1" ht="21" x14ac:dyDescent="0.6">
      <c r="A2" s="74" t="s">
        <v>51</v>
      </c>
      <c r="B2" s="75">
        <v>45903</v>
      </c>
      <c r="C2" s="76">
        <v>120000</v>
      </c>
      <c r="D2" s="74"/>
      <c r="E2" s="74"/>
      <c r="F2" s="74">
        <v>0.15454999999999999</v>
      </c>
      <c r="G2" s="79">
        <v>18546</v>
      </c>
      <c r="H2" s="79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74" t="s">
        <v>42</v>
      </c>
      <c r="B3" s="75">
        <v>45910</v>
      </c>
      <c r="C3" s="76">
        <v>1200</v>
      </c>
      <c r="D3" s="74"/>
      <c r="E3" s="74"/>
      <c r="F3" s="80">
        <v>0.31</v>
      </c>
      <c r="G3" s="79">
        <v>372</v>
      </c>
      <c r="H3" s="79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74" t="s">
        <v>22</v>
      </c>
      <c r="B4" s="75">
        <v>45905</v>
      </c>
      <c r="C4" s="81">
        <v>17500</v>
      </c>
      <c r="D4" s="74"/>
      <c r="E4" s="74"/>
      <c r="F4" s="80">
        <v>0.20499999999999999</v>
      </c>
      <c r="G4" s="79">
        <v>3587.5</v>
      </c>
      <c r="H4" s="79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74" t="s">
        <v>11</v>
      </c>
      <c r="B5" s="75">
        <v>45912</v>
      </c>
      <c r="C5" s="76">
        <v>4000</v>
      </c>
      <c r="D5" s="74"/>
      <c r="E5" s="74"/>
      <c r="F5" s="80">
        <v>0.15</v>
      </c>
      <c r="G5" s="79">
        <v>600</v>
      </c>
      <c r="H5" s="79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74" t="s">
        <v>62</v>
      </c>
      <c r="B6" s="75">
        <v>45912</v>
      </c>
      <c r="C6" s="76">
        <v>5000</v>
      </c>
      <c r="D6" s="74"/>
      <c r="E6" s="74"/>
      <c r="F6" s="74">
        <v>1</v>
      </c>
      <c r="G6" s="79">
        <v>5000</v>
      </c>
      <c r="H6" s="79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74" t="s">
        <v>20</v>
      </c>
      <c r="B7" s="75">
        <v>45911</v>
      </c>
      <c r="C7" s="82">
        <v>55000</v>
      </c>
      <c r="D7" s="74"/>
      <c r="E7" s="74"/>
      <c r="F7" s="80">
        <v>0.2261</v>
      </c>
      <c r="G7" s="79">
        <v>12435.5</v>
      </c>
      <c r="H7" s="79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74" t="s">
        <v>18</v>
      </c>
      <c r="B8" s="75">
        <v>45909</v>
      </c>
      <c r="C8" s="81">
        <v>50000</v>
      </c>
      <c r="D8" s="74"/>
      <c r="E8" s="74"/>
      <c r="F8" s="74">
        <v>0.22220000000000001</v>
      </c>
      <c r="G8" s="79">
        <v>11110</v>
      </c>
      <c r="H8" s="79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74" t="s">
        <v>19</v>
      </c>
      <c r="B9" s="75">
        <v>45911</v>
      </c>
      <c r="C9" s="81">
        <v>69000</v>
      </c>
      <c r="D9" s="74"/>
      <c r="E9" s="74"/>
      <c r="F9" s="80">
        <v>0.19650000000000001</v>
      </c>
      <c r="G9" s="79">
        <v>13558.5</v>
      </c>
      <c r="H9" s="79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74" t="s">
        <v>40</v>
      </c>
      <c r="B10" s="75">
        <v>45911</v>
      </c>
      <c r="C10" s="82">
        <v>7200</v>
      </c>
      <c r="D10" s="74"/>
      <c r="E10" s="74"/>
      <c r="F10" s="74">
        <v>0.17499999999999999</v>
      </c>
      <c r="G10" s="79">
        <v>1260</v>
      </c>
      <c r="H10" s="79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74" t="s">
        <v>33</v>
      </c>
      <c r="B11" s="75">
        <v>45912</v>
      </c>
      <c r="C11" s="82">
        <v>4200</v>
      </c>
      <c r="D11" s="74"/>
      <c r="E11" s="74"/>
      <c r="F11" s="83">
        <v>0.24</v>
      </c>
      <c r="G11" s="79">
        <v>1008</v>
      </c>
      <c r="H11" s="79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74" t="s">
        <v>32</v>
      </c>
      <c r="B12" s="75">
        <v>45910</v>
      </c>
      <c r="C12" s="81">
        <v>81000</v>
      </c>
      <c r="D12" s="74"/>
      <c r="E12" s="74"/>
      <c r="F12" s="80">
        <v>0.25</v>
      </c>
      <c r="G12" s="79">
        <v>20250</v>
      </c>
      <c r="H12" s="79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74" t="s">
        <v>35</v>
      </c>
      <c r="B13" s="75">
        <v>45905</v>
      </c>
      <c r="C13" s="76">
        <v>27000</v>
      </c>
      <c r="D13" s="74"/>
      <c r="E13" s="74"/>
      <c r="F13" s="74">
        <v>0.05</v>
      </c>
      <c r="G13" s="79">
        <v>1350</v>
      </c>
      <c r="H13" s="79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74" t="s">
        <v>39</v>
      </c>
      <c r="B14" s="75">
        <v>45905</v>
      </c>
      <c r="C14" s="76">
        <v>27000</v>
      </c>
      <c r="D14" s="74"/>
      <c r="E14" s="74"/>
      <c r="F14" s="74">
        <v>0.5</v>
      </c>
      <c r="G14" s="79">
        <v>13500</v>
      </c>
      <c r="H14" s="79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74" t="s">
        <v>34</v>
      </c>
      <c r="B15" s="75">
        <v>45910</v>
      </c>
      <c r="C15" s="81">
        <v>17500</v>
      </c>
      <c r="D15" s="74"/>
      <c r="E15" s="74"/>
      <c r="F15" s="74">
        <v>0.1</v>
      </c>
      <c r="G15" s="79">
        <v>1750</v>
      </c>
      <c r="H15" s="79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74" t="s">
        <v>8</v>
      </c>
      <c r="B16" s="75">
        <v>45915</v>
      </c>
      <c r="C16" s="76">
        <v>20000</v>
      </c>
      <c r="D16" s="74"/>
      <c r="E16" s="74"/>
      <c r="F16" s="80">
        <v>0.1128</v>
      </c>
      <c r="G16" s="79">
        <v>2256</v>
      </c>
      <c r="H16" s="79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74" t="s">
        <v>45</v>
      </c>
      <c r="B17" s="75">
        <v>45912</v>
      </c>
      <c r="C17" s="76">
        <v>1000</v>
      </c>
      <c r="D17" s="74"/>
      <c r="E17" s="74"/>
      <c r="F17" s="80">
        <v>0.36</v>
      </c>
      <c r="G17" s="79">
        <v>360</v>
      </c>
      <c r="H17" s="79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74" t="s">
        <v>61</v>
      </c>
      <c r="B18" s="75">
        <v>45905</v>
      </c>
      <c r="C18" s="76">
        <v>8000</v>
      </c>
      <c r="D18" s="74"/>
      <c r="E18" s="74"/>
      <c r="F18" s="74">
        <v>0.8</v>
      </c>
      <c r="G18" s="79">
        <v>6400</v>
      </c>
      <c r="H18" s="79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74" t="s">
        <v>23</v>
      </c>
      <c r="B19" s="75">
        <v>45915</v>
      </c>
      <c r="C19" s="76">
        <v>50000</v>
      </c>
      <c r="D19" s="74"/>
      <c r="E19" s="74"/>
      <c r="F19" s="83">
        <v>0.13250000000000001</v>
      </c>
      <c r="G19" s="79">
        <v>6625</v>
      </c>
      <c r="H19" s="79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74" t="s">
        <v>21</v>
      </c>
      <c r="B20" s="75">
        <v>45905</v>
      </c>
      <c r="C20" s="82">
        <v>25000</v>
      </c>
      <c r="D20" s="74"/>
      <c r="E20" s="74"/>
      <c r="F20" s="83">
        <v>0.17169999999999999</v>
      </c>
      <c r="G20" s="79">
        <v>4292.5</v>
      </c>
      <c r="H20" s="79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74" t="s">
        <v>18</v>
      </c>
      <c r="B22" s="75">
        <v>45903</v>
      </c>
      <c r="C22" s="74">
        <v>5000</v>
      </c>
      <c r="D22" s="74">
        <v>7.5</v>
      </c>
      <c r="E22" s="79">
        <v>37583.06</v>
      </c>
      <c r="F22" s="74">
        <v>8.3000000000000007</v>
      </c>
      <c r="G22" s="79">
        <v>41408.080000000002</v>
      </c>
      <c r="H22" s="79">
        <v>3825.02</v>
      </c>
      <c r="I22" s="56"/>
      <c r="J22" s="7"/>
      <c r="K22" s="7"/>
      <c r="L22" s="15"/>
      <c r="M22" s="15"/>
      <c r="N22" s="6"/>
    </row>
    <row r="23" spans="1:14" s="1" customFormat="1" ht="21.75" customHeight="1" x14ac:dyDescent="0.6">
      <c r="A23" s="74" t="s">
        <v>62</v>
      </c>
      <c r="B23" s="75">
        <v>45908</v>
      </c>
      <c r="C23" s="74">
        <v>5000</v>
      </c>
      <c r="D23" s="74">
        <v>24.1</v>
      </c>
      <c r="E23" s="79">
        <v>120766.9</v>
      </c>
      <c r="F23" s="74">
        <v>23.4</v>
      </c>
      <c r="G23" s="79">
        <v>116740.86</v>
      </c>
      <c r="H23" s="79">
        <v>-4026.04</v>
      </c>
      <c r="I23" s="56"/>
      <c r="J23" s="7"/>
      <c r="K23" s="7"/>
      <c r="L23" s="15"/>
      <c r="M23" s="15"/>
      <c r="N23" s="6"/>
    </row>
    <row r="24" spans="1:14" s="1" customFormat="1" ht="21.75" customHeight="1" x14ac:dyDescent="0.6">
      <c r="A24" s="74" t="s">
        <v>62</v>
      </c>
      <c r="B24" s="75">
        <v>45911</v>
      </c>
      <c r="C24" s="74">
        <v>5000</v>
      </c>
      <c r="D24" s="74">
        <v>23.2</v>
      </c>
      <c r="E24" s="79">
        <v>116256.93</v>
      </c>
      <c r="F24" s="74">
        <v>23.4</v>
      </c>
      <c r="G24" s="79">
        <v>116740.86</v>
      </c>
      <c r="H24" s="74">
        <v>483.93</v>
      </c>
      <c r="I24" s="56"/>
      <c r="J24" s="7"/>
      <c r="K24" s="7"/>
      <c r="L24" s="15"/>
      <c r="M24" s="15"/>
      <c r="N24" s="6"/>
    </row>
    <row r="25" spans="1:14" s="1" customFormat="1" ht="21.75" customHeight="1" x14ac:dyDescent="0.6">
      <c r="A25" s="74" t="s">
        <v>61</v>
      </c>
      <c r="B25" s="75">
        <v>45915</v>
      </c>
      <c r="C25" s="74">
        <v>4000</v>
      </c>
      <c r="D25" s="74">
        <v>23.1</v>
      </c>
      <c r="E25" s="79">
        <v>92604.66</v>
      </c>
      <c r="F25" s="74">
        <v>25.75</v>
      </c>
      <c r="G25" s="79">
        <v>102771.87</v>
      </c>
      <c r="H25" s="79">
        <v>10167.209999999999</v>
      </c>
      <c r="I25" s="56"/>
      <c r="J25" s="7"/>
      <c r="K25" s="7"/>
      <c r="L25" s="15"/>
      <c r="M25" s="15"/>
      <c r="N25" s="6"/>
    </row>
    <row r="26" spans="1:14" s="1" customFormat="1" ht="21.75" customHeight="1" x14ac:dyDescent="0.6">
      <c r="A26" s="74" t="s">
        <v>21</v>
      </c>
      <c r="B26" s="75">
        <v>45915</v>
      </c>
      <c r="C26" s="74">
        <v>5000</v>
      </c>
      <c r="D26" s="74">
        <v>8.8000000000000007</v>
      </c>
      <c r="E26" s="79">
        <v>44097.46</v>
      </c>
      <c r="F26" s="74">
        <v>9.6999999999999993</v>
      </c>
      <c r="G26" s="79">
        <v>48392.57</v>
      </c>
      <c r="H26" s="79">
        <v>4295.1099999999997</v>
      </c>
      <c r="I26" s="56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28</v>
      </c>
      <c r="H30" s="41">
        <f>H28+H29</f>
        <v>-393315.2</v>
      </c>
      <c r="I30" s="10" t="s">
        <v>28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52</v>
      </c>
      <c r="H32" s="35">
        <v>62010</v>
      </c>
      <c r="I32" s="10" t="s">
        <v>50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30</v>
      </c>
      <c r="H35" s="7">
        <v>57000</v>
      </c>
      <c r="I35" s="10" t="s">
        <v>30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31</v>
      </c>
      <c r="H36" s="42">
        <f>H34+H35</f>
        <v>-794875.2</v>
      </c>
      <c r="I36" s="10" t="s">
        <v>31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4" t="s">
        <v>20</v>
      </c>
      <c r="B38" s="28">
        <v>45546</v>
      </c>
      <c r="C38" s="29">
        <v>24000</v>
      </c>
      <c r="D38" s="30" t="s">
        <v>9</v>
      </c>
      <c r="E38" s="31"/>
      <c r="F38" s="51">
        <v>3.9899999999999998E-2</v>
      </c>
      <c r="G38" s="31">
        <f>C38*F38</f>
        <v>957.59999999999991</v>
      </c>
      <c r="H38" s="53">
        <f>G38*0.9</f>
        <v>861.83999999999992</v>
      </c>
      <c r="K38" s="7"/>
      <c r="L38" s="15"/>
      <c r="M38" s="15"/>
    </row>
    <row r="39" spans="1:14" ht="15.6" x14ac:dyDescent="0.3">
      <c r="A39" s="54" t="s">
        <v>51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49</v>
      </c>
      <c r="B2" s="28">
        <v>45897</v>
      </c>
      <c r="C2" s="29">
        <v>600</v>
      </c>
      <c r="D2" s="30" t="s">
        <v>9</v>
      </c>
      <c r="E2" s="31"/>
      <c r="F2" s="72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4" t="s">
        <v>41</v>
      </c>
      <c r="B4" s="75">
        <v>45874</v>
      </c>
      <c r="C4" s="76">
        <v>10000</v>
      </c>
      <c r="D4" s="77">
        <v>1.88</v>
      </c>
      <c r="E4" s="77">
        <v>18841.64</v>
      </c>
      <c r="F4" s="77">
        <v>1.9</v>
      </c>
      <c r="G4" s="77">
        <v>18957.919999999998</v>
      </c>
      <c r="H4" s="77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74" t="s">
        <v>33</v>
      </c>
      <c r="B5" s="75">
        <v>45875</v>
      </c>
      <c r="C5" s="76">
        <v>2800</v>
      </c>
      <c r="D5" s="77">
        <v>10.5</v>
      </c>
      <c r="E5" s="77">
        <v>29465.119999999999</v>
      </c>
      <c r="F5" s="77">
        <v>11.6</v>
      </c>
      <c r="G5" s="77">
        <v>32408.06</v>
      </c>
      <c r="H5" s="77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74" t="s">
        <v>35</v>
      </c>
      <c r="B6" s="75">
        <v>45875</v>
      </c>
      <c r="C6" s="76">
        <v>5000</v>
      </c>
      <c r="D6" s="77">
        <v>3.9</v>
      </c>
      <c r="E6" s="77">
        <v>19543.2</v>
      </c>
      <c r="F6" s="77">
        <v>4.5199999999999996</v>
      </c>
      <c r="G6" s="77">
        <v>22549.95</v>
      </c>
      <c r="H6" s="77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74" t="s">
        <v>36</v>
      </c>
      <c r="B7" s="75">
        <v>45876</v>
      </c>
      <c r="C7" s="76">
        <v>3200</v>
      </c>
      <c r="D7" s="77">
        <v>9.25</v>
      </c>
      <c r="E7" s="77">
        <v>29665.56</v>
      </c>
      <c r="F7" s="77">
        <v>9.4</v>
      </c>
      <c r="G7" s="77">
        <v>30013.37</v>
      </c>
      <c r="H7" s="77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74" t="s">
        <v>41</v>
      </c>
      <c r="B8" s="75">
        <v>45876</v>
      </c>
      <c r="C8" s="76">
        <v>10000</v>
      </c>
      <c r="D8" s="77">
        <v>1.85</v>
      </c>
      <c r="E8" s="77">
        <v>18540.98</v>
      </c>
      <c r="F8" s="77">
        <v>2.06</v>
      </c>
      <c r="G8" s="77">
        <v>20554.38</v>
      </c>
      <c r="H8" s="77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74" t="s">
        <v>19</v>
      </c>
      <c r="B9" s="75">
        <v>45877</v>
      </c>
      <c r="C9" s="76">
        <v>6000</v>
      </c>
      <c r="D9" s="77">
        <v>6.1</v>
      </c>
      <c r="E9" s="77">
        <v>36681.06</v>
      </c>
      <c r="F9" s="77">
        <v>6.7</v>
      </c>
      <c r="G9" s="77">
        <v>40110.97</v>
      </c>
      <c r="H9" s="77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74" t="s">
        <v>39</v>
      </c>
      <c r="B10" s="75">
        <v>45877</v>
      </c>
      <c r="C10" s="76">
        <v>3000</v>
      </c>
      <c r="D10" s="77">
        <v>27.75</v>
      </c>
      <c r="E10" s="77">
        <v>83434.39</v>
      </c>
      <c r="F10" s="77">
        <v>31</v>
      </c>
      <c r="G10" s="77">
        <v>92794.01</v>
      </c>
      <c r="H10" s="77">
        <v>9359.6200000000008</v>
      </c>
      <c r="I10" s="73"/>
      <c r="J10" s="7"/>
      <c r="K10" s="7"/>
      <c r="L10" s="15"/>
      <c r="M10" s="15"/>
      <c r="N10" s="6"/>
    </row>
    <row r="11" spans="1:14" s="1" customFormat="1" ht="21.75" customHeight="1" x14ac:dyDescent="0.6">
      <c r="A11" s="74" t="s">
        <v>62</v>
      </c>
      <c r="B11" s="75">
        <v>45889</v>
      </c>
      <c r="C11" s="76">
        <v>4000</v>
      </c>
      <c r="D11" s="77">
        <v>24.1</v>
      </c>
      <c r="E11" s="77">
        <v>96613.52</v>
      </c>
      <c r="F11" s="77">
        <v>24.3</v>
      </c>
      <c r="G11" s="77">
        <v>96984.72</v>
      </c>
      <c r="H11" s="77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74" t="s">
        <v>62</v>
      </c>
      <c r="B12" s="75">
        <v>45890</v>
      </c>
      <c r="C12" s="76">
        <v>4000</v>
      </c>
      <c r="D12" s="77">
        <v>24.1</v>
      </c>
      <c r="E12" s="77">
        <v>96613.52</v>
      </c>
      <c r="F12" s="77">
        <v>24.3</v>
      </c>
      <c r="G12" s="77">
        <v>96984.72</v>
      </c>
      <c r="H12" s="77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74" t="s">
        <v>62</v>
      </c>
      <c r="B13" s="75">
        <v>45891</v>
      </c>
      <c r="C13" s="76">
        <v>5000</v>
      </c>
      <c r="D13" s="77">
        <v>24.1</v>
      </c>
      <c r="E13" s="77">
        <v>120766.9</v>
      </c>
      <c r="F13" s="77">
        <v>24.3</v>
      </c>
      <c r="G13" s="77">
        <v>121230.88</v>
      </c>
      <c r="H13" s="77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74" t="s">
        <v>32</v>
      </c>
      <c r="B14" s="75">
        <v>45896</v>
      </c>
      <c r="C14" s="76">
        <v>6000</v>
      </c>
      <c r="D14" s="77">
        <v>7.3</v>
      </c>
      <c r="E14" s="77">
        <v>43897.02</v>
      </c>
      <c r="F14" s="77">
        <v>8.4</v>
      </c>
      <c r="G14" s="77">
        <v>50288.37</v>
      </c>
      <c r="H14" s="77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74" t="s">
        <v>41</v>
      </c>
      <c r="B15" s="75">
        <v>45897</v>
      </c>
      <c r="C15" s="76">
        <v>5000</v>
      </c>
      <c r="D15" s="77">
        <v>2.2000000000000002</v>
      </c>
      <c r="E15" s="77">
        <v>11024.36</v>
      </c>
      <c r="F15" s="77">
        <v>2.2999999999999998</v>
      </c>
      <c r="G15" s="77">
        <v>11474.52</v>
      </c>
      <c r="H15" s="77">
        <v>450.16</v>
      </c>
      <c r="I15" s="78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28</v>
      </c>
      <c r="H19" s="41">
        <f>H17+H18</f>
        <v>-522636.73</v>
      </c>
      <c r="I19" s="11" t="s">
        <v>28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50</v>
      </c>
      <c r="H21" s="35">
        <v>10130</v>
      </c>
      <c r="I21" s="11" t="s">
        <v>48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30</v>
      </c>
      <c r="H24" s="7">
        <v>57000</v>
      </c>
      <c r="I24" s="11" t="s">
        <v>30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31</v>
      </c>
      <c r="H25" s="42">
        <f>H23+H24</f>
        <v>-862186.73</v>
      </c>
      <c r="I25" s="11" t="s">
        <v>31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JUL26</vt:lpstr>
      <vt:lpstr>JUN26</vt:lpstr>
      <vt:lpstr>MAY26</vt:lpstr>
      <vt:lpstr>APR26</vt:lpstr>
      <vt:lpstr>MAR26</vt:lpstr>
      <vt:lpstr>FEB26</vt:lpstr>
      <vt:lpstr>JAN26</vt:lpstr>
      <vt:lpstr>DEC25</vt:lpstr>
      <vt:lpstr>NOV25</vt:lpstr>
      <vt:lpstr>OCT25</vt:lpstr>
      <vt:lpstr>SEP25</vt:lpstr>
      <vt:lpstr>AUG25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2026-08-02T13:10:43Z</dcterms:modified>
  <cp:category/>
  <cp:contentStatus/>
</cp:coreProperties>
</file>