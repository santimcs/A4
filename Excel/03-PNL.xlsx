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7330" documentId="8_{B00F7D7D-2236-4C8B-840E-2CD3F92C0379}" xr6:coauthVersionLast="47" xr6:coauthVersionMax="47" xr10:uidLastSave="{D3298DA1-2A8C-4C33-8A55-27FBF34598A7}"/>
  <bookViews>
    <workbookView xWindow="8976" yWindow="504" windowWidth="12216" windowHeight="9564" tabRatio="445" xr2:uid="{00000000-000D-0000-FFFF-FFFF00000000}"/>
  </bookViews>
  <sheets>
    <sheet name="SEP26" sheetId="101" r:id="rId1"/>
    <sheet name="AUG26" sheetId="100" r:id="rId2"/>
    <sheet name="JUL26" sheetId="99" r:id="rId3"/>
    <sheet name="JUN26" sheetId="98" r:id="rId4"/>
    <sheet name="MAY26" sheetId="97" r:id="rId5"/>
    <sheet name="APR26" sheetId="96" r:id="rId6"/>
    <sheet name="MAR26" sheetId="95" r:id="rId7"/>
    <sheet name="FEB26" sheetId="94" r:id="rId8"/>
    <sheet name="JAN26" sheetId="93" r:id="rId9"/>
    <sheet name="DEC25" sheetId="92" r:id="rId10"/>
    <sheet name="NOV25" sheetId="91" r:id="rId11"/>
    <sheet name="OCT25" sheetId="9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01" l="1"/>
  <c r="H36" i="101"/>
  <c r="J37" i="101"/>
  <c r="J38" i="101" s="1"/>
  <c r="H30" i="101"/>
  <c r="H28" i="101"/>
  <c r="H25" i="101"/>
  <c r="G18" i="101"/>
  <c r="H18" i="101" s="1"/>
  <c r="G22" i="101"/>
  <c r="H22" i="101" s="1"/>
  <c r="G10" i="101"/>
  <c r="H10" i="101" s="1"/>
  <c r="G4" i="101"/>
  <c r="H4" i="101" s="1"/>
  <c r="G7" i="101"/>
  <c r="H7" i="101" s="1"/>
  <c r="G23" i="101"/>
  <c r="H23" i="101" s="1"/>
  <c r="G21" i="101"/>
  <c r="G20" i="101"/>
  <c r="H20" i="101" s="1"/>
  <c r="G19" i="101"/>
  <c r="H19" i="101" s="1"/>
  <c r="G3" i="101"/>
  <c r="H3" i="101" s="1"/>
  <c r="G6" i="101"/>
  <c r="H6" i="101" s="1"/>
  <c r="G5" i="101"/>
  <c r="H5" i="101" s="1"/>
  <c r="G17" i="101"/>
  <c r="H17" i="101" s="1"/>
  <c r="G14" i="101"/>
  <c r="H14" i="101" s="1"/>
  <c r="G9" i="101"/>
  <c r="H9" i="101" s="1"/>
  <c r="G12" i="101"/>
  <c r="H12" i="101" s="1"/>
  <c r="G8" i="101"/>
  <c r="H8" i="101" s="1"/>
  <c r="G16" i="101"/>
  <c r="H16" i="101" s="1"/>
  <c r="G15" i="101"/>
  <c r="H15" i="101" s="1"/>
  <c r="G11" i="101"/>
  <c r="H11" i="101" s="1"/>
  <c r="G13" i="101"/>
  <c r="H13" i="101" s="1"/>
  <c r="G2" i="101"/>
  <c r="H2" i="101" s="1"/>
  <c r="H32" i="101"/>
  <c r="H26" i="101"/>
  <c r="G26" i="101"/>
  <c r="E26" i="101"/>
  <c r="H16" i="100"/>
  <c r="H16" i="99"/>
  <c r="H9" i="100"/>
  <c r="H11" i="100" s="1"/>
  <c r="H17" i="100" s="1"/>
  <c r="H7" i="100"/>
  <c r="G2" i="100"/>
  <c r="H3" i="100" s="1"/>
  <c r="H5" i="100"/>
  <c r="G5" i="100"/>
  <c r="E5" i="100"/>
  <c r="H2" i="99"/>
  <c r="G2" i="99"/>
  <c r="H13" i="99"/>
  <c r="H11" i="99"/>
  <c r="G5" i="99"/>
  <c r="E5" i="99"/>
  <c r="H5" i="99"/>
  <c r="H3" i="99"/>
  <c r="H17" i="99" s="1"/>
  <c r="H23" i="98"/>
  <c r="H18" i="98"/>
  <c r="G12" i="98"/>
  <c r="E12" i="98"/>
  <c r="H11" i="98"/>
  <c r="G9" i="98"/>
  <c r="G8" i="98"/>
  <c r="G7" i="98"/>
  <c r="G6" i="98"/>
  <c r="G4" i="98"/>
  <c r="G2" i="98"/>
  <c r="G3" i="98"/>
  <c r="G5" i="98"/>
  <c r="G2" i="97"/>
  <c r="H2" i="97" s="1"/>
  <c r="H18" i="97" s="1"/>
  <c r="H31" i="97" s="1"/>
  <c r="H10" i="97"/>
  <c r="H14" i="97"/>
  <c r="H26" i="97"/>
  <c r="G20" i="97"/>
  <c r="E20" i="97"/>
  <c r="H19" i="97"/>
  <c r="H20" i="97" s="1"/>
  <c r="G17" i="97"/>
  <c r="H17" i="97" s="1"/>
  <c r="G16" i="97"/>
  <c r="H16" i="97" s="1"/>
  <c r="G15" i="97"/>
  <c r="H15" i="97" s="1"/>
  <c r="G13" i="97"/>
  <c r="H13" i="97" s="1"/>
  <c r="G11" i="97"/>
  <c r="H11" i="97" s="1"/>
  <c r="G10" i="97"/>
  <c r="G9" i="97"/>
  <c r="G8" i="97"/>
  <c r="G7" i="97"/>
  <c r="H7" i="97" s="1"/>
  <c r="G6" i="97"/>
  <c r="H6" i="97" s="1"/>
  <c r="G4" i="97"/>
  <c r="H4" i="97" s="1"/>
  <c r="G12" i="97"/>
  <c r="H12" i="97" s="1"/>
  <c r="G5" i="97"/>
  <c r="H5" i="97" s="1"/>
  <c r="G3" i="97"/>
  <c r="H17" i="96"/>
  <c r="H9" i="96"/>
  <c r="H38" i="101" l="1"/>
  <c r="H24" i="101"/>
  <c r="H27" i="101" s="1"/>
  <c r="H29" i="101" s="1"/>
  <c r="H33" i="101" s="1"/>
  <c r="H35" i="101" s="1"/>
  <c r="H6" i="100"/>
  <c r="H8" i="100" s="1"/>
  <c r="H12" i="100" s="1"/>
  <c r="H14" i="100" s="1"/>
  <c r="H6" i="99"/>
  <c r="H8" i="99" s="1"/>
  <c r="H12" i="99"/>
  <c r="H14" i="99" s="1"/>
  <c r="H24" i="98"/>
  <c r="H32" i="97"/>
  <c r="H12" i="98"/>
  <c r="H8" i="98"/>
  <c r="H9" i="98"/>
  <c r="H2" i="98"/>
  <c r="H3" i="98"/>
  <c r="H6" i="98"/>
  <c r="H7" i="98"/>
  <c r="H4" i="98"/>
  <c r="H5" i="98"/>
  <c r="H21" i="97"/>
  <c r="H23" i="97" s="1"/>
  <c r="H27" i="97" s="1"/>
  <c r="H29" i="97" s="1"/>
  <c r="H12" i="96"/>
  <c r="H18" i="96" s="1"/>
  <c r="G6" i="96"/>
  <c r="E6" i="96"/>
  <c r="H6" i="96"/>
  <c r="G3" i="96"/>
  <c r="G2" i="96"/>
  <c r="H2" i="96" s="1"/>
  <c r="G7" i="95"/>
  <c r="G3" i="95"/>
  <c r="H3" i="95" s="1"/>
  <c r="H10" i="98" l="1"/>
  <c r="H13" i="98" s="1"/>
  <c r="H15" i="98" s="1"/>
  <c r="H19" i="98" s="1"/>
  <c r="H21" i="98" s="1"/>
  <c r="H4" i="96"/>
  <c r="H7" i="96" s="1"/>
  <c r="E14" i="95"/>
  <c r="G14" i="95"/>
  <c r="H13" i="95"/>
  <c r="H12" i="95"/>
  <c r="H11" i="95"/>
  <c r="H14" i="95" s="1"/>
  <c r="H20" i="95"/>
  <c r="G8" i="95"/>
  <c r="H8" i="95" s="1"/>
  <c r="G6" i="95"/>
  <c r="G5" i="95"/>
  <c r="H5" i="95" s="1"/>
  <c r="G9" i="95"/>
  <c r="H9" i="95" s="1"/>
  <c r="G4" i="95"/>
  <c r="H4" i="95" s="1"/>
  <c r="G2" i="95"/>
  <c r="H2" i="95" s="1"/>
  <c r="H5" i="94"/>
  <c r="G5" i="94"/>
  <c r="E5" i="94"/>
  <c r="G2" i="94"/>
  <c r="H2" i="94" s="1"/>
  <c r="H12" i="94"/>
  <c r="H17" i="94" s="1"/>
  <c r="H11" i="93"/>
  <c r="H5" i="93"/>
  <c r="G5" i="93"/>
  <c r="E5" i="93"/>
  <c r="H3" i="93"/>
  <c r="H6" i="93" s="1"/>
  <c r="H8" i="93" s="1"/>
  <c r="H12" i="93" s="1"/>
  <c r="H14" i="93" s="1"/>
  <c r="H2" i="93"/>
  <c r="G2" i="93"/>
  <c r="H22" i="92"/>
  <c r="H17" i="92"/>
  <c r="H19" i="92" s="1"/>
  <c r="G16" i="92"/>
  <c r="E16" i="92"/>
  <c r="H15" i="92"/>
  <c r="H16" i="92" s="1"/>
  <c r="H13" i="92"/>
  <c r="G12" i="92"/>
  <c r="H12" i="92" s="1"/>
  <c r="G6" i="92"/>
  <c r="H6" i="92" s="1"/>
  <c r="G13" i="92"/>
  <c r="G11" i="92"/>
  <c r="H11" i="92" s="1"/>
  <c r="G10" i="92"/>
  <c r="H10" i="92" s="1"/>
  <c r="G9" i="92"/>
  <c r="H9" i="92" s="1"/>
  <c r="G8" i="92"/>
  <c r="H8" i="92" s="1"/>
  <c r="G7" i="92"/>
  <c r="H7" i="92" s="1"/>
  <c r="G5" i="92"/>
  <c r="H5" i="92" s="1"/>
  <c r="G4" i="92"/>
  <c r="H4" i="92" s="1"/>
  <c r="G3" i="92"/>
  <c r="G2" i="92"/>
  <c r="H2" i="92" s="1"/>
  <c r="H11" i="91"/>
  <c r="G5" i="91"/>
  <c r="E5" i="91"/>
  <c r="H4" i="91"/>
  <c r="H5" i="91" s="1"/>
  <c r="G2" i="91"/>
  <c r="H2" i="91" s="1"/>
  <c r="H3" i="91" s="1"/>
  <c r="H6" i="91" s="1"/>
  <c r="H8" i="91" s="1"/>
  <c r="H12" i="91" s="1"/>
  <c r="H14" i="91" s="1"/>
  <c r="H7" i="90"/>
  <c r="G7" i="90"/>
  <c r="E7" i="90"/>
  <c r="H5" i="90"/>
  <c r="H4" i="90"/>
  <c r="G2" i="90"/>
  <c r="H13" i="90"/>
  <c r="H6" i="90"/>
  <c r="H2" i="90"/>
  <c r="H3" i="90" s="1"/>
  <c r="H13" i="96" l="1"/>
  <c r="H10" i="95"/>
  <c r="H3" i="94"/>
  <c r="H6" i="94"/>
  <c r="H7" i="94" s="1"/>
  <c r="H9" i="94" s="1"/>
  <c r="H13" i="94" s="1"/>
  <c r="H15" i="94" s="1"/>
  <c r="H23" i="92"/>
  <c r="H25" i="92" s="1"/>
  <c r="H14" i="92"/>
  <c r="H8" i="90"/>
  <c r="H10" i="90" s="1"/>
  <c r="H14" i="90" s="1"/>
  <c r="H16" i="90" s="1"/>
  <c r="H15" i="96" l="1"/>
  <c r="H25" i="95"/>
  <c r="H26" i="95" s="1"/>
  <c r="H15" i="95"/>
  <c r="H17" i="95" s="1"/>
  <c r="H21" i="95" s="1"/>
  <c r="H23" i="95" s="1"/>
</calcChain>
</file>

<file path=xl/sharedStrings.xml><?xml version="1.0" encoding="utf-8"?>
<sst xmlns="http://schemas.openxmlformats.org/spreadsheetml/2006/main" count="514" uniqueCount="70">
  <si>
    <t>Name</t>
  </si>
  <si>
    <t>Sales Date</t>
  </si>
  <si>
    <t>Volume</t>
  </si>
  <si>
    <t>Buy</t>
  </si>
  <si>
    <t>Purchase</t>
  </si>
  <si>
    <t>Sell</t>
  </si>
  <si>
    <t>Sales</t>
  </si>
  <si>
    <t>Net</t>
  </si>
  <si>
    <t>TFFIF</t>
  </si>
  <si>
    <t xml:space="preserve"> </t>
  </si>
  <si>
    <t>STA</t>
  </si>
  <si>
    <t>BCH</t>
  </si>
  <si>
    <t>Div+Gain</t>
  </si>
  <si>
    <t>B/F Expense</t>
  </si>
  <si>
    <t>C/F Expense</t>
  </si>
  <si>
    <t>Profit - Expense</t>
  </si>
  <si>
    <t>Carry Over</t>
  </si>
  <si>
    <t>February Exp</t>
  </si>
  <si>
    <t>DIF</t>
  </si>
  <si>
    <t>GVREIT</t>
  </si>
  <si>
    <t>CPNREIT</t>
  </si>
  <si>
    <t>WHART</t>
  </si>
  <si>
    <t>AIMIRT</t>
  </si>
  <si>
    <t>WHAIR</t>
  </si>
  <si>
    <t>March Exp</t>
  </si>
  <si>
    <t>PTTGC</t>
  </si>
  <si>
    <t>ASK</t>
  </si>
  <si>
    <t>PTT</t>
  </si>
  <si>
    <t>Div+Gain+CO</t>
  </si>
  <si>
    <t>April Exp</t>
  </si>
  <si>
    <t>Tax Refund</t>
  </si>
  <si>
    <t>Net Profit/Loss</t>
  </si>
  <si>
    <t>MCS</t>
  </si>
  <si>
    <t>JMT</t>
  </si>
  <si>
    <t>SYNEX</t>
  </si>
  <si>
    <t>NER</t>
  </si>
  <si>
    <t>JMART</t>
  </si>
  <si>
    <t>KCE</t>
  </si>
  <si>
    <t>PTG</t>
  </si>
  <si>
    <t>RCL</t>
  </si>
  <si>
    <t>IVL</t>
  </si>
  <si>
    <t>ORI</t>
  </si>
  <si>
    <t>AH</t>
  </si>
  <si>
    <t>AWC</t>
  </si>
  <si>
    <t>SENA</t>
  </si>
  <si>
    <t>TOA</t>
  </si>
  <si>
    <t>May Exp</t>
  </si>
  <si>
    <t>June Exp</t>
  </si>
  <si>
    <t>JuLY Exp</t>
  </si>
  <si>
    <t>SCC</t>
  </si>
  <si>
    <t>Aug Exp</t>
  </si>
  <si>
    <t>3BBIF</t>
  </si>
  <si>
    <t>Sep Exp</t>
  </si>
  <si>
    <t>Oct Expense</t>
  </si>
  <si>
    <t>Nov Expense</t>
  </si>
  <si>
    <t>Dec Expense</t>
  </si>
  <si>
    <t>Jan Expense</t>
  </si>
  <si>
    <t>*1*</t>
  </si>
  <si>
    <t>*2*</t>
  </si>
  <si>
    <t>*1* - *2*</t>
  </si>
  <si>
    <t>Div-Exp+Refund</t>
  </si>
  <si>
    <t>TVO</t>
  </si>
  <si>
    <t>CPF</t>
  </si>
  <si>
    <t>B/F Dividend</t>
  </si>
  <si>
    <t>C/F Dividend</t>
  </si>
  <si>
    <t>C/F Div - C/F Exp</t>
  </si>
  <si>
    <t xml:space="preserve">PTT </t>
  </si>
  <si>
    <t>Dummy</t>
  </si>
  <si>
    <t>PROSPECT</t>
  </si>
  <si>
    <t>ADVANC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</si>
</sst>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\฿#,##0.00"/>
    <numFmt numFmtId="166" formatCode="&quot;฿&quot;#,##0.00"/>
    <numFmt numFmtId="167" formatCode="0.0000"/>
    <numFmt numFmtId="168" formatCode="yyyy\-mm\-dd;@"/>
    <numFmt numFmtId="169" formatCode="yyyy/mm/dd;@"/>
    <numFmt numFmtId="170" formatCode="&quot;$&quot;#,##0.00"/>
    <numFmt numFmtId="171" formatCode="0.000000"/>
  </numFmts>
  <fonts count="23" x14ac:knownFonts="1">
    <font>
      <sz val="14"/>
      <name val="Cordia New"/>
      <charset val="222"/>
    </font>
    <font>
      <sz val="14"/>
      <name val="Cordia New"/>
      <family val="2"/>
    </font>
    <font>
      <b/>
      <sz val="14"/>
      <name val="Cordia New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333333"/>
      <name val="Verdana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333333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sz val="12"/>
      <color rgb="FFFF0000"/>
      <name val="Calibri"/>
      <family val="2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onsolas"/>
      <family val="3"/>
    </font>
    <font>
      <sz val="1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65" fontId="2" fillId="0" borderId="0" xfId="0" applyNumberFormat="1" applyFont="1"/>
    <xf numFmtId="165" fontId="3" fillId="0" borderId="0" xfId="0" applyNumberFormat="1" applyFont="1" applyAlignment="1">
      <alignment horizontal="center"/>
    </xf>
    <xf numFmtId="10" fontId="3" fillId="0" borderId="0" xfId="0" applyNumberFormat="1" applyFont="1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14" fontId="4" fillId="0" borderId="0" xfId="0" applyNumberFormat="1" applyFont="1"/>
    <xf numFmtId="4" fontId="4" fillId="0" borderId="0" xfId="0" applyNumberFormat="1" applyFont="1"/>
    <xf numFmtId="4" fontId="5" fillId="0" borderId="0" xfId="0" applyNumberFormat="1" applyFont="1" applyAlignment="1">
      <alignment wrapText="1"/>
    </xf>
    <xf numFmtId="166" fontId="4" fillId="0" borderId="0" xfId="0" applyNumberFormat="1" applyFont="1"/>
    <xf numFmtId="166" fontId="3" fillId="0" borderId="0" xfId="0" applyNumberFormat="1" applyFont="1"/>
    <xf numFmtId="165" fontId="1" fillId="0" borderId="0" xfId="0" applyNumberFormat="1" applyFont="1"/>
    <xf numFmtId="168" fontId="4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center"/>
    </xf>
    <xf numFmtId="168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68" fontId="7" fillId="0" borderId="0" xfId="0" applyNumberFormat="1" applyFont="1"/>
    <xf numFmtId="3" fontId="7" fillId="0" borderId="0" xfId="0" applyNumberFormat="1" applyFont="1"/>
    <xf numFmtId="2" fontId="7" fillId="0" borderId="0" xfId="0" applyNumberFormat="1" applyFont="1"/>
    <xf numFmtId="4" fontId="8" fillId="0" borderId="0" xfId="0" applyNumberFormat="1" applyFont="1" applyAlignment="1">
      <alignment wrapText="1"/>
    </xf>
    <xf numFmtId="165" fontId="7" fillId="0" borderId="0" xfId="0" applyNumberFormat="1" applyFont="1"/>
    <xf numFmtId="164" fontId="7" fillId="0" borderId="0" xfId="0" applyNumberFormat="1" applyFont="1"/>
    <xf numFmtId="165" fontId="7" fillId="2" borderId="0" xfId="0" applyNumberFormat="1" applyFont="1" applyFill="1"/>
    <xf numFmtId="166" fontId="7" fillId="0" borderId="0" xfId="0" applyNumberFormat="1" applyFont="1"/>
    <xf numFmtId="4" fontId="7" fillId="2" borderId="0" xfId="0" applyNumberFormat="1" applyFont="1" applyFill="1"/>
    <xf numFmtId="167" fontId="7" fillId="0" borderId="0" xfId="0" applyNumberFormat="1" applyFont="1"/>
    <xf numFmtId="165" fontId="9" fillId="0" borderId="0" xfId="0" applyNumberFormat="1" applyFont="1"/>
    <xf numFmtId="165" fontId="9" fillId="3" borderId="0" xfId="0" applyNumberFormat="1" applyFont="1" applyFill="1"/>
    <xf numFmtId="165" fontId="6" fillId="0" borderId="0" xfId="0" applyNumberFormat="1" applyFont="1"/>
    <xf numFmtId="165" fontId="7" fillId="4" borderId="0" xfId="0" applyNumberFormat="1" applyFont="1" applyFill="1"/>
    <xf numFmtId="165" fontId="9" fillId="4" borderId="0" xfId="0" applyNumberFormat="1" applyFont="1" applyFill="1"/>
    <xf numFmtId="165" fontId="6" fillId="2" borderId="0" xfId="0" applyNumberFormat="1" applyFont="1" applyFill="1"/>
    <xf numFmtId="165" fontId="6" fillId="4" borderId="0" xfId="0" applyNumberFormat="1" applyFont="1" applyFill="1"/>
    <xf numFmtId="4" fontId="6" fillId="2" borderId="0" xfId="0" applyNumberFormat="1" applyFont="1" applyFill="1"/>
    <xf numFmtId="4" fontId="6" fillId="3" borderId="0" xfId="0" applyNumberFormat="1" applyFont="1" applyFill="1"/>
    <xf numFmtId="4" fontId="6" fillId="4" borderId="0" xfId="0" applyNumberFormat="1" applyFont="1" applyFill="1"/>
    <xf numFmtId="165" fontId="10" fillId="4" borderId="0" xfId="0" applyNumberFormat="1" applyFont="1" applyFill="1"/>
    <xf numFmtId="165" fontId="11" fillId="0" borderId="0" xfId="0" applyNumberFormat="1" applyFont="1"/>
    <xf numFmtId="4" fontId="5" fillId="0" borderId="0" xfId="0" applyNumberFormat="1" applyFont="1"/>
    <xf numFmtId="167" fontId="12" fillId="0" borderId="0" xfId="0" applyNumberFormat="1" applyFont="1"/>
    <xf numFmtId="167" fontId="14" fillId="0" borderId="0" xfId="0" applyNumberFormat="1" applyFont="1"/>
    <xf numFmtId="165" fontId="15" fillId="0" borderId="0" xfId="0" applyNumberFormat="1" applyFont="1"/>
    <xf numFmtId="0" fontId="12" fillId="0" borderId="0" xfId="0" applyFont="1"/>
    <xf numFmtId="2" fontId="3" fillId="0" borderId="0" xfId="0" applyNumberFormat="1" applyFont="1" applyAlignment="1">
      <alignment horizontal="center"/>
    </xf>
    <xf numFmtId="2" fontId="9" fillId="0" borderId="0" xfId="0" applyNumberFormat="1" applyFont="1"/>
    <xf numFmtId="2" fontId="7" fillId="0" borderId="0" xfId="0" quotePrefix="1" applyNumberFormat="1" applyFont="1"/>
    <xf numFmtId="14" fontId="7" fillId="0" borderId="0" xfId="0" applyNumberFormat="1" applyFont="1"/>
    <xf numFmtId="4" fontId="16" fillId="0" borderId="0" xfId="0" applyNumberFormat="1" applyFont="1" applyAlignment="1">
      <alignment wrapText="1"/>
    </xf>
    <xf numFmtId="165" fontId="17" fillId="0" borderId="0" xfId="0" applyNumberFormat="1" applyFont="1"/>
    <xf numFmtId="165" fontId="17" fillId="4" borderId="0" xfId="0" applyNumberFormat="1" applyFont="1" applyFill="1"/>
    <xf numFmtId="166" fontId="17" fillId="0" borderId="0" xfId="0" applyNumberFormat="1" applyFont="1"/>
    <xf numFmtId="4" fontId="17" fillId="2" borderId="0" xfId="0" applyNumberFormat="1" applyFont="1" applyFill="1"/>
    <xf numFmtId="165" fontId="18" fillId="4" borderId="0" xfId="0" applyNumberFormat="1" applyFont="1" applyFill="1"/>
    <xf numFmtId="165" fontId="18" fillId="0" borderId="0" xfId="0" applyNumberFormat="1" applyFont="1"/>
    <xf numFmtId="0" fontId="19" fillId="0" borderId="0" xfId="0" applyFont="1" applyAlignment="1">
      <alignment horizontal="left" vertical="center"/>
    </xf>
    <xf numFmtId="4" fontId="3" fillId="0" borderId="0" xfId="0" applyNumberFormat="1" applyFont="1"/>
    <xf numFmtId="168" fontId="18" fillId="0" borderId="0" xfId="0" applyNumberFormat="1" applyFont="1" applyAlignment="1">
      <alignment horizontal="center"/>
    </xf>
    <xf numFmtId="169" fontId="17" fillId="0" borderId="0" xfId="0" applyNumberFormat="1" applyFont="1"/>
    <xf numFmtId="168" fontId="17" fillId="0" borderId="0" xfId="0" applyNumberFormat="1" applyFont="1"/>
    <xf numFmtId="14" fontId="17" fillId="0" borderId="0" xfId="0" applyNumberFormat="1" applyFont="1"/>
    <xf numFmtId="0" fontId="0" fillId="5" borderId="0" xfId="0" applyFill="1"/>
    <xf numFmtId="0" fontId="17" fillId="5" borderId="0" xfId="0" applyFont="1" applyFill="1" applyAlignment="1">
      <alignment horizontal="right" vertical="center" wrapText="1"/>
    </xf>
    <xf numFmtId="14" fontId="17" fillId="5" borderId="0" xfId="0" applyNumberFormat="1" applyFont="1" applyFill="1" applyAlignment="1">
      <alignment horizontal="right" vertical="center" wrapText="1"/>
    </xf>
    <xf numFmtId="3" fontId="17" fillId="5" borderId="0" xfId="0" applyNumberFormat="1" applyFont="1" applyFill="1" applyAlignment="1">
      <alignment horizontal="right" vertical="center" wrapText="1"/>
    </xf>
    <xf numFmtId="170" fontId="17" fillId="5" borderId="0" xfId="0" applyNumberFormat="1" applyFont="1" applyFill="1" applyAlignment="1">
      <alignment horizontal="right" vertical="center" wrapText="1"/>
    </xf>
    <xf numFmtId="4" fontId="17" fillId="5" borderId="0" xfId="0" applyNumberFormat="1" applyFont="1" applyFill="1" applyAlignment="1">
      <alignment horizontal="right" vertical="center" wrapText="1"/>
    </xf>
    <xf numFmtId="0" fontId="21" fillId="5" borderId="0" xfId="0" applyFont="1" applyFill="1" applyAlignment="1">
      <alignment horizontal="right" vertical="center" wrapText="1"/>
    </xf>
    <xf numFmtId="3" fontId="21" fillId="5" borderId="0" xfId="0" applyNumberFormat="1" applyFont="1" applyFill="1" applyAlignment="1">
      <alignment horizontal="right" vertical="center" wrapText="1"/>
    </xf>
    <xf numFmtId="3" fontId="22" fillId="5" borderId="0" xfId="0" applyNumberFormat="1" applyFont="1" applyFill="1" applyAlignment="1">
      <alignment horizontal="right" vertical="center" wrapText="1"/>
    </xf>
    <xf numFmtId="0" fontId="22" fillId="5" borderId="0" xfId="0" applyFont="1" applyFill="1" applyAlignment="1">
      <alignment horizontal="right" vertical="center" wrapText="1"/>
    </xf>
    <xf numFmtId="3" fontId="14" fillId="0" borderId="0" xfId="0" applyNumberFormat="1" applyFont="1"/>
    <xf numFmtId="0" fontId="14" fillId="0" borderId="0" xfId="0" applyFont="1"/>
    <xf numFmtId="171" fontId="6" fillId="0" borderId="0" xfId="0" applyNumberFormat="1" applyFont="1" applyAlignment="1">
      <alignment horizontal="center"/>
    </xf>
    <xf numFmtId="171" fontId="7" fillId="0" borderId="0" xfId="0" applyNumberFormat="1" applyFont="1"/>
    <xf numFmtId="171" fontId="12" fillId="0" borderId="0" xfId="0" applyNumberFormat="1" applyFont="1"/>
    <xf numFmtId="171" fontId="14" fillId="0" borderId="0" xfId="0" applyNumberFormat="1" applyFont="1"/>
    <xf numFmtId="171" fontId="4" fillId="0" borderId="0" xfId="0" applyNumberFormat="1" applyFont="1"/>
    <xf numFmtId="170" fontId="7" fillId="2" borderId="0" xfId="0" applyNumberFormat="1" applyFont="1" applyFill="1"/>
    <xf numFmtId="166" fontId="6" fillId="0" borderId="0" xfId="0" applyNumberFormat="1" applyFont="1"/>
    <xf numFmtId="10" fontId="7" fillId="0" borderId="0" xfId="0" applyNumberFormat="1" applyFont="1"/>
    <xf numFmtId="170" fontId="7" fillId="0" borderId="0" xfId="0" applyNumberFormat="1" applyFont="1"/>
    <xf numFmtId="171" fontId="13" fillId="0" borderId="0" xfId="0" applyNumberFormat="1" applyFont="1"/>
    <xf numFmtId="171" fontId="20" fillId="0" borderId="0" xfId="0" applyNumberFormat="1" applyFont="1"/>
    <xf numFmtId="3" fontId="1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BE80-A462-4F14-943A-7BDD311B776B}">
  <dimension ref="A1:N41"/>
  <sheetViews>
    <sheetView tabSelected="1" workbookViewId="0">
      <pane ySplit="1" topLeftCell="A28" activePane="bottomLeft" state="frozen"/>
      <selection pane="bottomLeft" activeCell="H32" sqref="H32"/>
    </sheetView>
  </sheetViews>
  <sheetFormatPr defaultColWidth="8.625" defaultRowHeight="13.8" x14ac:dyDescent="0.3"/>
  <cols>
    <col min="1" max="1" width="12.375" style="5" customWidth="1"/>
    <col min="2" max="2" width="12.625" style="18" bestFit="1" customWidth="1"/>
    <col min="3" max="3" width="10.125" style="8" bestFit="1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4.5" style="7" bestFit="1" customWidth="1"/>
    <col min="9" max="9" width="14.75" style="10" bestFit="1" customWidth="1"/>
    <col min="10" max="10" width="13.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55"/>
      <c r="J1" s="5"/>
      <c r="K1" s="6"/>
      <c r="L1" s="6"/>
      <c r="M1" s="6"/>
      <c r="N1" s="6"/>
    </row>
    <row r="2" spans="1:14" s="1" customFormat="1" ht="21" x14ac:dyDescent="0.6">
      <c r="A2" s="73" t="s">
        <v>51</v>
      </c>
      <c r="B2" s="74">
        <v>46267</v>
      </c>
      <c r="C2" s="75">
        <v>120000</v>
      </c>
      <c r="D2" s="73"/>
      <c r="E2" s="73"/>
      <c r="F2" s="81">
        <v>0.14000000000000001</v>
      </c>
      <c r="G2" s="77">
        <f t="shared" ref="G2:G23" si="0">C2*F2</f>
        <v>16800</v>
      </c>
      <c r="H2" s="77">
        <f>G2*0.9</f>
        <v>15120</v>
      </c>
      <c r="I2" s="10"/>
      <c r="J2" s="7"/>
      <c r="K2" s="7"/>
      <c r="L2" s="15"/>
      <c r="M2" s="15"/>
      <c r="N2" s="6"/>
    </row>
    <row r="3" spans="1:14" s="1" customFormat="1" ht="21" x14ac:dyDescent="0.6">
      <c r="A3" s="73" t="s">
        <v>34</v>
      </c>
      <c r="B3" s="74">
        <v>46267</v>
      </c>
      <c r="C3" s="75">
        <v>17500</v>
      </c>
      <c r="D3" s="73"/>
      <c r="E3" s="73"/>
      <c r="F3" s="73">
        <v>0.1</v>
      </c>
      <c r="G3" s="77">
        <f t="shared" si="0"/>
        <v>1750</v>
      </c>
      <c r="H3" s="77">
        <f>G3*0.9</f>
        <v>1575</v>
      </c>
      <c r="I3" s="10"/>
      <c r="J3" s="7"/>
      <c r="K3" s="7"/>
      <c r="L3" s="15"/>
      <c r="M3" s="15"/>
      <c r="N3" s="6"/>
    </row>
    <row r="4" spans="1:14" s="1" customFormat="1" ht="21" x14ac:dyDescent="0.6">
      <c r="A4" s="73" t="s">
        <v>69</v>
      </c>
      <c r="B4" s="74">
        <v>46268</v>
      </c>
      <c r="C4" s="75">
        <v>400</v>
      </c>
      <c r="D4" s="73"/>
      <c r="E4" s="73"/>
      <c r="F4" s="73">
        <v>8.69</v>
      </c>
      <c r="G4" s="77">
        <f t="shared" si="0"/>
        <v>3476</v>
      </c>
      <c r="H4" s="77">
        <f>G4*0.9</f>
        <v>3128.4</v>
      </c>
      <c r="I4" s="10"/>
      <c r="J4" s="7"/>
      <c r="K4" s="7"/>
      <c r="L4" s="15"/>
      <c r="M4" s="15"/>
      <c r="N4" s="6"/>
    </row>
    <row r="5" spans="1:14" s="1" customFormat="1" ht="21" x14ac:dyDescent="0.6">
      <c r="A5" s="73" t="s">
        <v>35</v>
      </c>
      <c r="B5" s="74">
        <v>46269</v>
      </c>
      <c r="C5" s="75">
        <v>27000</v>
      </c>
      <c r="D5" s="73"/>
      <c r="E5" s="73"/>
      <c r="F5" s="73">
        <v>0.05</v>
      </c>
      <c r="G5" s="77">
        <f t="shared" si="0"/>
        <v>1350</v>
      </c>
      <c r="H5" s="77">
        <f>G5</f>
        <v>1350</v>
      </c>
      <c r="I5" s="10"/>
      <c r="J5" s="7"/>
      <c r="K5" s="7"/>
      <c r="L5" s="15"/>
      <c r="M5" s="15"/>
      <c r="N5" s="6"/>
    </row>
    <row r="6" spans="1:14" s="1" customFormat="1" ht="21" x14ac:dyDescent="0.6">
      <c r="A6" s="73" t="s">
        <v>39</v>
      </c>
      <c r="B6" s="74">
        <v>46269</v>
      </c>
      <c r="C6" s="80">
        <v>24000</v>
      </c>
      <c r="D6" s="73"/>
      <c r="E6" s="73"/>
      <c r="F6" s="73">
        <v>0.5</v>
      </c>
      <c r="G6" s="77">
        <f t="shared" si="0"/>
        <v>12000</v>
      </c>
      <c r="H6" s="77">
        <f>G6</f>
        <v>12000</v>
      </c>
      <c r="I6" s="10"/>
      <c r="J6" s="7"/>
      <c r="K6" s="7"/>
      <c r="L6" s="15"/>
      <c r="M6" s="15"/>
      <c r="N6" s="6"/>
    </row>
    <row r="7" spans="1:14" s="1" customFormat="1" ht="21" x14ac:dyDescent="0.6">
      <c r="A7" s="73" t="s">
        <v>21</v>
      </c>
      <c r="B7" s="74">
        <v>46269</v>
      </c>
      <c r="C7" s="80">
        <v>20000</v>
      </c>
      <c r="D7" s="73"/>
      <c r="E7" s="73"/>
      <c r="F7" s="78">
        <v>0.193</v>
      </c>
      <c r="G7" s="77">
        <f t="shared" si="0"/>
        <v>3860</v>
      </c>
      <c r="H7" s="77">
        <f t="shared" ref="H7:H20" si="1">G7*0.9</f>
        <v>3474</v>
      </c>
      <c r="I7" s="10"/>
      <c r="J7" s="7"/>
      <c r="K7" s="7"/>
      <c r="L7" s="15"/>
      <c r="M7" s="15"/>
      <c r="N7" s="6"/>
    </row>
    <row r="8" spans="1:14" s="1" customFormat="1" ht="21" x14ac:dyDescent="0.6">
      <c r="A8" s="73" t="s">
        <v>20</v>
      </c>
      <c r="B8" s="74">
        <v>46273</v>
      </c>
      <c r="C8" s="75">
        <v>55000</v>
      </c>
      <c r="D8" s="73"/>
      <c r="E8" s="73"/>
      <c r="F8" s="78">
        <v>0.28000000000000003</v>
      </c>
      <c r="G8" s="77">
        <f t="shared" si="0"/>
        <v>15400.000000000002</v>
      </c>
      <c r="H8" s="77">
        <f t="shared" si="1"/>
        <v>13860.000000000002</v>
      </c>
      <c r="I8" s="10"/>
      <c r="J8" s="7"/>
      <c r="K8" s="7"/>
      <c r="L8" s="15"/>
      <c r="M8" s="15"/>
      <c r="N8" s="6"/>
    </row>
    <row r="9" spans="1:14" s="1" customFormat="1" ht="21" x14ac:dyDescent="0.6">
      <c r="A9" s="73" t="s">
        <v>19</v>
      </c>
      <c r="B9" s="74">
        <v>46273</v>
      </c>
      <c r="C9" s="75">
        <v>69000</v>
      </c>
      <c r="D9" s="73"/>
      <c r="E9" s="73"/>
      <c r="F9" s="81">
        <v>0.1875</v>
      </c>
      <c r="G9" s="77">
        <f t="shared" si="0"/>
        <v>12937.5</v>
      </c>
      <c r="H9" s="77">
        <f t="shared" si="1"/>
        <v>11643.75</v>
      </c>
      <c r="I9" s="10"/>
      <c r="J9" s="7"/>
      <c r="K9" s="7"/>
      <c r="L9" s="15"/>
      <c r="M9" s="15"/>
      <c r="N9" s="6"/>
    </row>
    <row r="10" spans="1:14" s="1" customFormat="1" ht="21" x14ac:dyDescent="0.6">
      <c r="A10" s="73" t="s">
        <v>68</v>
      </c>
      <c r="B10" s="74">
        <v>46273</v>
      </c>
      <c r="C10" s="75">
        <v>30000</v>
      </c>
      <c r="D10" s="73"/>
      <c r="E10" s="73"/>
      <c r="F10" s="73">
        <v>7.0499999999999993E-2</v>
      </c>
      <c r="G10" s="77">
        <f t="shared" si="0"/>
        <v>2115</v>
      </c>
      <c r="H10" s="77">
        <f t="shared" si="1"/>
        <v>1903.5</v>
      </c>
      <c r="I10" s="10"/>
      <c r="J10" s="7"/>
      <c r="K10" s="7"/>
      <c r="L10" s="15"/>
      <c r="M10" s="15"/>
      <c r="N10" s="6"/>
    </row>
    <row r="11" spans="1:14" s="1" customFormat="1" ht="21" x14ac:dyDescent="0.6">
      <c r="A11" s="73" t="s">
        <v>22</v>
      </c>
      <c r="B11" s="74">
        <v>46274</v>
      </c>
      <c r="C11" s="80">
        <v>10000</v>
      </c>
      <c r="D11" s="73"/>
      <c r="E11" s="73"/>
      <c r="F11" s="73">
        <v>0.20499999999999999</v>
      </c>
      <c r="G11" s="77">
        <f t="shared" si="0"/>
        <v>2050</v>
      </c>
      <c r="H11" s="77">
        <f t="shared" si="1"/>
        <v>1845</v>
      </c>
      <c r="I11" s="10"/>
      <c r="J11" s="7"/>
      <c r="K11" s="7"/>
      <c r="L11" s="15"/>
      <c r="M11" s="15"/>
      <c r="N11" s="6"/>
    </row>
    <row r="12" spans="1:14" s="1" customFormat="1" ht="21" x14ac:dyDescent="0.6">
      <c r="A12" s="73" t="s">
        <v>18</v>
      </c>
      <c r="B12" s="74">
        <v>46274</v>
      </c>
      <c r="C12" s="80">
        <v>45000</v>
      </c>
      <c r="D12" s="73"/>
      <c r="E12" s="73"/>
      <c r="F12" s="73">
        <v>0.22220000000000001</v>
      </c>
      <c r="G12" s="77">
        <f t="shared" si="0"/>
        <v>9999</v>
      </c>
      <c r="H12" s="77">
        <f t="shared" si="1"/>
        <v>8999.1</v>
      </c>
      <c r="I12" s="10"/>
      <c r="J12" s="7"/>
      <c r="K12" s="7"/>
      <c r="L12" s="15"/>
      <c r="M12" s="15"/>
      <c r="N12" s="6"/>
    </row>
    <row r="13" spans="1:14" s="1" customFormat="1" ht="21" x14ac:dyDescent="0.6">
      <c r="A13" s="73" t="s">
        <v>42</v>
      </c>
      <c r="B13" s="74">
        <v>46275</v>
      </c>
      <c r="C13" s="75">
        <v>1200</v>
      </c>
      <c r="D13" s="73"/>
      <c r="E13" s="73"/>
      <c r="F13" s="78">
        <v>0.38</v>
      </c>
      <c r="G13" s="77">
        <f t="shared" si="0"/>
        <v>456</v>
      </c>
      <c r="H13" s="77">
        <f t="shared" si="1"/>
        <v>410.40000000000003</v>
      </c>
      <c r="I13" s="10"/>
      <c r="J13" s="7"/>
      <c r="K13" s="7"/>
      <c r="L13" s="15"/>
      <c r="M13" s="15"/>
      <c r="N13" s="6"/>
    </row>
    <row r="14" spans="1:14" s="1" customFormat="1" ht="21" x14ac:dyDescent="0.6">
      <c r="A14" s="73" t="s">
        <v>40</v>
      </c>
      <c r="B14" s="74">
        <v>46275</v>
      </c>
      <c r="C14" s="75">
        <v>7200</v>
      </c>
      <c r="D14" s="73"/>
      <c r="E14" s="73"/>
      <c r="F14" s="78">
        <v>0.2</v>
      </c>
      <c r="G14" s="77">
        <f t="shared" si="0"/>
        <v>1440</v>
      </c>
      <c r="H14" s="77">
        <f t="shared" si="1"/>
        <v>1296</v>
      </c>
      <c r="I14" s="10"/>
      <c r="J14" s="7"/>
      <c r="K14" s="7"/>
      <c r="L14" s="15"/>
      <c r="M14" s="15"/>
      <c r="N14" s="6"/>
    </row>
    <row r="15" spans="1:14" s="1" customFormat="1" ht="21" x14ac:dyDescent="0.6">
      <c r="A15" s="73" t="s">
        <v>11</v>
      </c>
      <c r="B15" s="74">
        <v>46276</v>
      </c>
      <c r="C15" s="75">
        <v>4000</v>
      </c>
      <c r="D15" s="73"/>
      <c r="E15" s="73"/>
      <c r="F15" s="78">
        <v>0.35</v>
      </c>
      <c r="G15" s="77">
        <f t="shared" si="0"/>
        <v>1400</v>
      </c>
      <c r="H15" s="77">
        <f t="shared" si="1"/>
        <v>1260</v>
      </c>
      <c r="I15" s="10"/>
      <c r="J15" s="7"/>
      <c r="K15" s="7"/>
      <c r="L15" s="15"/>
      <c r="M15" s="15"/>
      <c r="N15" s="6"/>
    </row>
    <row r="16" spans="1:14" s="1" customFormat="1" ht="21" x14ac:dyDescent="0.6">
      <c r="A16" s="73" t="s">
        <v>62</v>
      </c>
      <c r="B16" s="74">
        <v>46276</v>
      </c>
      <c r="C16" s="79">
        <v>10000</v>
      </c>
      <c r="D16" s="73"/>
      <c r="E16" s="73"/>
      <c r="F16" s="81">
        <v>0.45</v>
      </c>
      <c r="G16" s="77">
        <f t="shared" si="0"/>
        <v>4500</v>
      </c>
      <c r="H16" s="77">
        <f t="shared" si="1"/>
        <v>4050</v>
      </c>
      <c r="I16" s="10"/>
      <c r="J16" s="7"/>
      <c r="K16" s="7"/>
      <c r="L16" s="15"/>
      <c r="M16" s="15"/>
      <c r="N16" s="6"/>
    </row>
    <row r="17" spans="1:14" s="1" customFormat="1" ht="21" x14ac:dyDescent="0.6">
      <c r="A17" s="73" t="s">
        <v>33</v>
      </c>
      <c r="B17" s="74">
        <v>46276</v>
      </c>
      <c r="C17" s="79">
        <v>7000</v>
      </c>
      <c r="D17" s="73"/>
      <c r="E17" s="73"/>
      <c r="F17" s="78">
        <v>0.27</v>
      </c>
      <c r="G17" s="77">
        <f t="shared" si="0"/>
        <v>1890.0000000000002</v>
      </c>
      <c r="H17" s="77">
        <f t="shared" si="1"/>
        <v>1701.0000000000002</v>
      </c>
      <c r="I17" s="10"/>
      <c r="J17" s="7"/>
      <c r="K17" s="7"/>
      <c r="L17" s="15"/>
      <c r="M17" s="15"/>
      <c r="N17" s="6"/>
    </row>
    <row r="18" spans="1:14" s="1" customFormat="1" ht="21" x14ac:dyDescent="0.6">
      <c r="A18" s="73" t="s">
        <v>10</v>
      </c>
      <c r="B18" s="74">
        <v>46276</v>
      </c>
      <c r="C18" s="80">
        <v>10000</v>
      </c>
      <c r="D18" s="73"/>
      <c r="E18" s="73"/>
      <c r="F18" s="78">
        <v>0.5</v>
      </c>
      <c r="G18" s="77">
        <f t="shared" si="0"/>
        <v>5000</v>
      </c>
      <c r="H18" s="77">
        <f t="shared" si="1"/>
        <v>4500</v>
      </c>
      <c r="I18" s="10"/>
      <c r="J18" s="7"/>
      <c r="K18" s="7"/>
      <c r="L18" s="15"/>
      <c r="M18" s="15"/>
      <c r="N18" s="6"/>
    </row>
    <row r="19" spans="1:14" s="1" customFormat="1" ht="21" x14ac:dyDescent="0.6">
      <c r="A19" s="73" t="s">
        <v>8</v>
      </c>
      <c r="B19" s="74">
        <v>46276</v>
      </c>
      <c r="C19" s="79">
        <v>25000</v>
      </c>
      <c r="D19" s="73"/>
      <c r="E19" s="73"/>
      <c r="F19" s="78">
        <v>0.1133</v>
      </c>
      <c r="G19" s="77">
        <f t="shared" si="0"/>
        <v>2832.5</v>
      </c>
      <c r="H19" s="77">
        <f t="shared" si="1"/>
        <v>2549.25</v>
      </c>
      <c r="I19" s="10"/>
      <c r="J19" s="7"/>
      <c r="K19" s="7"/>
      <c r="L19" s="15"/>
      <c r="M19" s="15"/>
      <c r="N19" s="6"/>
    </row>
    <row r="20" spans="1:14" s="1" customFormat="1" ht="21" x14ac:dyDescent="0.6">
      <c r="A20" s="73" t="s">
        <v>45</v>
      </c>
      <c r="B20" s="74">
        <v>46276</v>
      </c>
      <c r="C20" s="75">
        <v>1000</v>
      </c>
      <c r="D20" s="73"/>
      <c r="E20" s="73"/>
      <c r="F20" s="78">
        <v>0.38</v>
      </c>
      <c r="G20" s="77">
        <f t="shared" si="0"/>
        <v>380</v>
      </c>
      <c r="H20" s="77">
        <f t="shared" si="1"/>
        <v>342</v>
      </c>
      <c r="I20" s="10"/>
      <c r="J20" s="7"/>
      <c r="K20" s="7"/>
      <c r="L20" s="15"/>
      <c r="M20" s="15"/>
      <c r="N20" s="6"/>
    </row>
    <row r="21" spans="1:14" s="1" customFormat="1" ht="21" x14ac:dyDescent="0.6">
      <c r="A21" s="73" t="s">
        <v>61</v>
      </c>
      <c r="B21" s="74">
        <v>46276</v>
      </c>
      <c r="C21" s="80">
        <v>4000</v>
      </c>
      <c r="D21" s="73"/>
      <c r="E21" s="73"/>
      <c r="F21" s="78">
        <v>0.9</v>
      </c>
      <c r="G21" s="77">
        <f t="shared" si="0"/>
        <v>3600</v>
      </c>
      <c r="H21" s="77">
        <v>3472</v>
      </c>
      <c r="I21" s="10"/>
      <c r="J21" s="7"/>
      <c r="K21" s="7"/>
      <c r="L21" s="15"/>
      <c r="M21" s="15"/>
      <c r="N21" s="6"/>
    </row>
    <row r="22" spans="1:14" s="1" customFormat="1" ht="21" x14ac:dyDescent="0.6">
      <c r="A22" s="73" t="s">
        <v>25</v>
      </c>
      <c r="B22" s="74">
        <v>46287</v>
      </c>
      <c r="C22" s="75">
        <v>6000</v>
      </c>
      <c r="D22" s="73"/>
      <c r="E22" s="73"/>
      <c r="F22" s="78">
        <v>0.6</v>
      </c>
      <c r="G22" s="77">
        <f t="shared" si="0"/>
        <v>3600</v>
      </c>
      <c r="H22" s="77">
        <f>G22*0.9</f>
        <v>3240</v>
      </c>
      <c r="I22" s="10"/>
      <c r="J22" s="7"/>
      <c r="K22" s="7"/>
      <c r="L22" s="15"/>
      <c r="M22" s="15"/>
      <c r="N22" s="6"/>
    </row>
    <row r="23" spans="1:14" s="1" customFormat="1" ht="21" x14ac:dyDescent="0.6">
      <c r="A23" s="73" t="s">
        <v>23</v>
      </c>
      <c r="B23" s="74">
        <v>46288</v>
      </c>
      <c r="C23" s="75">
        <v>50000</v>
      </c>
      <c r="D23" s="73"/>
      <c r="E23" s="73"/>
      <c r="F23" s="78">
        <v>0.1434</v>
      </c>
      <c r="G23" s="77">
        <f t="shared" si="0"/>
        <v>7170</v>
      </c>
      <c r="H23" s="77">
        <f>G23*0.9</f>
        <v>6453</v>
      </c>
      <c r="I23" s="10"/>
      <c r="J23" s="7"/>
      <c r="K23" s="7"/>
      <c r="L23" s="15"/>
      <c r="M23" s="15"/>
      <c r="N23" s="6"/>
    </row>
    <row r="24" spans="1:14" s="1" customFormat="1" ht="21.75" customHeight="1" x14ac:dyDescent="0.6">
      <c r="A24" s="27"/>
      <c r="B24" s="28"/>
      <c r="C24" s="29"/>
      <c r="D24" s="30"/>
      <c r="E24" s="31"/>
      <c r="F24" s="30"/>
      <c r="G24" s="31"/>
      <c r="H24" s="34">
        <f>SUM(H2:H23)</f>
        <v>104172.4</v>
      </c>
      <c r="I24" s="10"/>
      <c r="J24" s="7"/>
      <c r="K24" s="7"/>
      <c r="L24" s="15"/>
      <c r="M24" s="15"/>
      <c r="N24" s="6"/>
    </row>
    <row r="25" spans="1:14" s="1" customFormat="1" ht="21.75" customHeight="1" x14ac:dyDescent="0.6">
      <c r="A25" s="73" t="s">
        <v>39</v>
      </c>
      <c r="B25" s="74">
        <v>46286</v>
      </c>
      <c r="C25" s="73">
        <v>3000</v>
      </c>
      <c r="D25" s="73">
        <v>30.25</v>
      </c>
      <c r="E25" s="77">
        <v>90951</v>
      </c>
      <c r="F25" s="73">
        <v>49.25</v>
      </c>
      <c r="G25" s="77">
        <v>147422.75</v>
      </c>
      <c r="H25" s="77">
        <f>G25-E25</f>
        <v>56471.75</v>
      </c>
      <c r="I25" s="56"/>
      <c r="J25" s="7"/>
      <c r="K25" s="7"/>
      <c r="L25" s="15"/>
      <c r="M25" s="15"/>
      <c r="N25" s="6"/>
    </row>
    <row r="26" spans="1:14" ht="21.75" customHeight="1" x14ac:dyDescent="0.3">
      <c r="A26" s="26"/>
      <c r="B26" s="28"/>
      <c r="C26" s="29"/>
      <c r="D26" s="33"/>
      <c r="E26" s="32">
        <f>SUM(E25:E25)</f>
        <v>90951</v>
      </c>
      <c r="F26" s="30"/>
      <c r="G26" s="32">
        <f>SUM(G25:G25)</f>
        <v>147422.75</v>
      </c>
      <c r="H26" s="32">
        <f>SUM(H25:H25)</f>
        <v>56471.75</v>
      </c>
      <c r="I26" s="32"/>
      <c r="K26" s="7"/>
      <c r="L26" s="15"/>
      <c r="M26" s="15"/>
    </row>
    <row r="27" spans="1:14" s="1" customFormat="1" ht="21.75" customHeight="1" x14ac:dyDescent="0.6">
      <c r="A27" s="26"/>
      <c r="B27" s="28"/>
      <c r="C27" s="29"/>
      <c r="D27" s="33"/>
      <c r="E27" s="32"/>
      <c r="F27" s="30"/>
      <c r="G27" s="32" t="s">
        <v>12</v>
      </c>
      <c r="H27" s="34">
        <f>H24+H26</f>
        <v>160644.15</v>
      </c>
      <c r="I27" s="10" t="s">
        <v>12</v>
      </c>
      <c r="J27" s="7">
        <v>50514.94</v>
      </c>
      <c r="K27" s="7"/>
      <c r="L27" s="15"/>
      <c r="M27" s="15"/>
      <c r="N27" s="6"/>
    </row>
    <row r="28" spans="1:14" ht="21.75" customHeight="1" x14ac:dyDescent="0.3">
      <c r="A28" s="26"/>
      <c r="B28" s="28"/>
      <c r="C28" s="29"/>
      <c r="D28" s="33"/>
      <c r="E28" s="32"/>
      <c r="F28" s="30"/>
      <c r="G28" s="32" t="s">
        <v>16</v>
      </c>
      <c r="H28" s="7">
        <f>J29</f>
        <v>-5690.7140000000072</v>
      </c>
      <c r="I28" s="10" t="s">
        <v>16</v>
      </c>
      <c r="J28" s="7">
        <v>-56205.65400000001</v>
      </c>
      <c r="K28" s="7"/>
      <c r="L28" s="15"/>
      <c r="M28" s="15"/>
    </row>
    <row r="29" spans="1:14" ht="21.75" customHeight="1" x14ac:dyDescent="0.3">
      <c r="A29" s="26"/>
      <c r="B29" s="28"/>
      <c r="C29" s="29"/>
      <c r="D29" s="33"/>
      <c r="E29" s="32"/>
      <c r="F29" s="30"/>
      <c r="G29" s="32" t="s">
        <v>28</v>
      </c>
      <c r="H29" s="41">
        <f>H27+H28</f>
        <v>154953.43599999999</v>
      </c>
      <c r="I29" s="10" t="s">
        <v>28</v>
      </c>
      <c r="J29" s="7">
        <v>-5690.7140000000072</v>
      </c>
      <c r="K29" s="7"/>
      <c r="L29" s="15"/>
      <c r="M29" s="15"/>
    </row>
    <row r="30" spans="1:14" ht="21.75" customHeight="1" x14ac:dyDescent="0.3">
      <c r="A30" s="26"/>
      <c r="B30" s="28"/>
      <c r="C30" s="29"/>
      <c r="D30" s="33"/>
      <c r="E30" s="32"/>
      <c r="F30" s="30"/>
      <c r="G30" s="32" t="s">
        <v>13</v>
      </c>
      <c r="H30" s="35">
        <f>J32</f>
        <v>237390</v>
      </c>
      <c r="I30" s="10" t="s">
        <v>13</v>
      </c>
      <c r="J30" s="7">
        <v>218540</v>
      </c>
      <c r="K30" s="7"/>
      <c r="L30" s="15"/>
      <c r="M30" s="15"/>
    </row>
    <row r="31" spans="1:14" ht="21.75" customHeight="1" x14ac:dyDescent="0.3">
      <c r="A31" s="26"/>
      <c r="B31" s="28"/>
      <c r="C31" s="29"/>
      <c r="D31" s="33"/>
      <c r="E31" s="32"/>
      <c r="F31" s="30"/>
      <c r="G31" s="32" t="s">
        <v>52</v>
      </c>
      <c r="H31" s="35">
        <v>13100</v>
      </c>
      <c r="I31" s="10" t="s">
        <v>50</v>
      </c>
      <c r="J31" s="7">
        <v>18850</v>
      </c>
      <c r="K31" s="7"/>
      <c r="L31" s="15"/>
      <c r="M31" s="15"/>
    </row>
    <row r="32" spans="1:14" s="1" customFormat="1" ht="21.75" customHeight="1" x14ac:dyDescent="0.6">
      <c r="A32" s="26"/>
      <c r="B32" s="28"/>
      <c r="C32" s="29"/>
      <c r="D32" s="33"/>
      <c r="E32" s="32"/>
      <c r="F32" s="30"/>
      <c r="G32" s="32" t="s">
        <v>14</v>
      </c>
      <c r="H32" s="41">
        <f>H30+H31</f>
        <v>250490</v>
      </c>
      <c r="I32" s="10" t="s">
        <v>14</v>
      </c>
      <c r="J32" s="7">
        <v>237390</v>
      </c>
      <c r="K32" s="7"/>
      <c r="L32" s="15"/>
      <c r="M32" s="15"/>
      <c r="N32" s="6"/>
    </row>
    <row r="33" spans="1:14" s="1" customFormat="1" ht="21.75" customHeight="1" x14ac:dyDescent="0.6">
      <c r="A33" s="5"/>
      <c r="B33" s="12"/>
      <c r="C33" s="8"/>
      <c r="D33" s="9"/>
      <c r="E33" s="7"/>
      <c r="F33" s="10"/>
      <c r="G33" s="32" t="s">
        <v>15</v>
      </c>
      <c r="H33" s="45">
        <f>H29-H32</f>
        <v>-95536.564000000013</v>
      </c>
      <c r="I33" s="10" t="s">
        <v>15</v>
      </c>
      <c r="J33" s="7">
        <v>-243080.71400000001</v>
      </c>
      <c r="K33" s="7"/>
      <c r="L33" s="15"/>
      <c r="M33" s="15"/>
      <c r="N33" s="6"/>
    </row>
    <row r="34" spans="1:14" s="1" customFormat="1" ht="21.75" customHeight="1" x14ac:dyDescent="0.6">
      <c r="A34" s="5"/>
      <c r="B34" s="12"/>
      <c r="C34" s="8"/>
      <c r="D34" s="9"/>
      <c r="E34" s="7"/>
      <c r="F34" s="10"/>
      <c r="G34" s="38" t="s">
        <v>30</v>
      </c>
      <c r="H34" s="7">
        <v>57000</v>
      </c>
      <c r="I34" s="10" t="s">
        <v>30</v>
      </c>
      <c r="J34" s="7">
        <v>60000</v>
      </c>
      <c r="K34" s="7"/>
      <c r="L34" s="15"/>
      <c r="M34" s="15"/>
      <c r="N34" s="6"/>
    </row>
    <row r="35" spans="1:14" s="1" customFormat="1" ht="21.75" customHeight="1" x14ac:dyDescent="0.6">
      <c r="A35" s="6"/>
      <c r="B35" s="12"/>
      <c r="C35" s="8"/>
      <c r="D35" s="10"/>
      <c r="E35" s="14"/>
      <c r="F35" s="10"/>
      <c r="G35" s="38" t="s">
        <v>31</v>
      </c>
      <c r="H35" s="42">
        <f>H33+H34</f>
        <v>-38536.564000000013</v>
      </c>
      <c r="I35" s="10" t="s">
        <v>31</v>
      </c>
      <c r="J35" s="7">
        <v>-183080.71400000001</v>
      </c>
      <c r="K35" s="7"/>
      <c r="L35" s="15"/>
      <c r="M35" s="15"/>
      <c r="N35" s="6"/>
    </row>
    <row r="36" spans="1:14" ht="15.6" x14ac:dyDescent="0.3">
      <c r="G36" s="10" t="s">
        <v>63</v>
      </c>
      <c r="H36" s="7">
        <f>J37</f>
        <v>271378.40599999996</v>
      </c>
      <c r="I36" s="91" t="s">
        <v>63</v>
      </c>
      <c r="J36" s="32">
        <v>271378.40599999996</v>
      </c>
      <c r="K36" s="7"/>
      <c r="M36" s="7"/>
    </row>
    <row r="37" spans="1:14" ht="15.6" x14ac:dyDescent="0.3">
      <c r="G37" s="91" t="s">
        <v>64</v>
      </c>
      <c r="H37" s="32">
        <f>H36+H24</f>
        <v>375550.80599999998</v>
      </c>
      <c r="I37" s="91" t="s">
        <v>64</v>
      </c>
      <c r="J37" s="32">
        <f>J36+J24</f>
        <v>271378.40599999996</v>
      </c>
      <c r="K37" s="7"/>
      <c r="M37" s="7"/>
    </row>
    <row r="38" spans="1:14" ht="15.6" x14ac:dyDescent="0.3">
      <c r="G38" s="91" t="s">
        <v>65</v>
      </c>
      <c r="H38" s="32">
        <f>H37-H32</f>
        <v>125060.80599999998</v>
      </c>
      <c r="I38" s="91" t="s">
        <v>65</v>
      </c>
      <c r="J38" s="32">
        <f>J37-J32</f>
        <v>33988.405999999959</v>
      </c>
      <c r="K38" s="7"/>
      <c r="M38" s="7"/>
    </row>
    <row r="39" spans="1:14" ht="15.6" x14ac:dyDescent="0.3">
      <c r="A39" s="54"/>
      <c r="B39" s="28"/>
      <c r="C39" s="29"/>
      <c r="D39" s="30"/>
      <c r="E39" s="31"/>
      <c r="F39" s="51"/>
      <c r="G39" s="31"/>
      <c r="H39" s="53"/>
      <c r="K39" s="7"/>
      <c r="L39" s="15"/>
      <c r="M39" s="15"/>
    </row>
    <row r="40" spans="1:14" ht="15.6" x14ac:dyDescent="0.3">
      <c r="A40" s="54"/>
      <c r="B40" s="28"/>
      <c r="C40" s="29"/>
      <c r="D40" s="30"/>
      <c r="E40" s="31"/>
      <c r="F40" s="37"/>
      <c r="G40" s="31"/>
      <c r="H40" s="32"/>
      <c r="K40" s="7"/>
      <c r="L40" s="15"/>
      <c r="M40" s="15"/>
    </row>
    <row r="41" spans="1:14" x14ac:dyDescent="0.3">
      <c r="C41" s="12"/>
      <c r="D41" s="8"/>
      <c r="E41" s="9"/>
      <c r="F41" s="7"/>
      <c r="G41" s="10"/>
      <c r="J41" s="11"/>
      <c r="K41" s="7"/>
      <c r="L41" s="6"/>
      <c r="M41" s="7"/>
    </row>
  </sheetData>
  <sheetProtection selectLockedCells="1" selectUnlockedCells="1"/>
  <sortState xmlns:xlrd2="http://schemas.microsoft.com/office/spreadsheetml/2017/richdata2" ref="A2:N23">
    <sortCondition ref="B2:B23"/>
    <sortCondition ref="A2:A23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60E6-C7E8-4477-A0CF-2D011FBFDCB7}">
  <dimension ref="A1:N18"/>
  <sheetViews>
    <sheetView workbookViewId="0">
      <pane ySplit="1" topLeftCell="A2" activePane="bottomLeft" state="frozen"/>
      <selection pane="bottomLeft" activeCell="G16" sqref="G16:H17"/>
    </sheetView>
  </sheetViews>
  <sheetFormatPr defaultColWidth="8.625" defaultRowHeight="13.8" x14ac:dyDescent="0.3"/>
  <cols>
    <col min="1" max="1" width="11.625" style="5" bestFit="1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8.625" style="7" bestFit="1" customWidth="1"/>
    <col min="8" max="8" width="15.125" style="7" bestFit="1" customWidth="1"/>
    <col min="9" max="9" width="14" style="11" bestFit="1" customWidth="1"/>
    <col min="10" max="10" width="14.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68</v>
      </c>
      <c r="B2" s="28">
        <v>46254</v>
      </c>
      <c r="C2" s="29">
        <v>20000</v>
      </c>
      <c r="D2" s="30" t="s">
        <v>9</v>
      </c>
      <c r="E2" s="31"/>
      <c r="F2" s="37">
        <v>7.0499999999999993E-2</v>
      </c>
      <c r="G2" s="31">
        <f>C2*F2*0.9</f>
        <v>1268.9999999999998</v>
      </c>
      <c r="H2" s="32">
        <v>0</v>
      </c>
      <c r="I2" s="11"/>
      <c r="J2" s="7"/>
      <c r="K2" s="7"/>
      <c r="L2" s="15"/>
      <c r="M2" s="15"/>
      <c r="N2" s="6"/>
    </row>
    <row r="3" spans="1:14" s="1" customFormat="1" ht="21.75" customHeight="1" x14ac:dyDescent="0.6">
      <c r="A3" s="27"/>
      <c r="B3" s="28"/>
      <c r="C3" s="29"/>
      <c r="D3" s="30"/>
      <c r="E3" s="31"/>
      <c r="F3" s="30"/>
      <c r="G3" s="31"/>
      <c r="H3" s="41">
        <f>SUM(H2:H2)</f>
        <v>0</v>
      </c>
      <c r="I3" s="11"/>
      <c r="J3" s="7"/>
      <c r="K3" s="7"/>
      <c r="L3" s="15"/>
      <c r="M3" s="15"/>
      <c r="N3" s="6"/>
    </row>
    <row r="4" spans="1:14" s="1" customFormat="1" ht="21.75" customHeight="1" x14ac:dyDescent="0.6">
      <c r="A4" s="73" t="s">
        <v>39</v>
      </c>
      <c r="B4" s="74">
        <v>46254</v>
      </c>
      <c r="C4" s="75">
        <v>3000</v>
      </c>
      <c r="D4" s="76">
        <v>28</v>
      </c>
      <c r="E4" s="76">
        <v>84186.05</v>
      </c>
      <c r="F4" s="76">
        <v>45</v>
      </c>
      <c r="G4" s="76">
        <v>134700.99</v>
      </c>
      <c r="H4" s="76">
        <v>50514.94</v>
      </c>
      <c r="I4" s="72"/>
      <c r="J4" s="7"/>
      <c r="K4" s="7"/>
      <c r="L4" s="15"/>
      <c r="M4" s="15"/>
      <c r="N4" s="6"/>
    </row>
    <row r="5" spans="1:14" ht="21.75" customHeight="1" x14ac:dyDescent="0.3">
      <c r="A5" s="26"/>
      <c r="B5" s="28"/>
      <c r="C5" s="29"/>
      <c r="D5" s="33"/>
      <c r="E5" s="32">
        <f>SUM(E4:E4)</f>
        <v>84186.05</v>
      </c>
      <c r="F5" s="30"/>
      <c r="G5" s="32">
        <f>SUM(G4:G4)</f>
        <v>134700.99</v>
      </c>
      <c r="H5" s="32">
        <f>SUM(H4:H4)</f>
        <v>50514.94</v>
      </c>
      <c r="K5" s="7"/>
      <c r="L5" s="15"/>
      <c r="M5" s="15"/>
    </row>
    <row r="6" spans="1:14" s="1" customFormat="1" ht="21.75" customHeight="1" x14ac:dyDescent="0.6">
      <c r="A6" s="26"/>
      <c r="B6" s="28"/>
      <c r="C6" s="29"/>
      <c r="D6" s="33"/>
      <c r="E6" s="32"/>
      <c r="F6" s="30"/>
      <c r="G6" s="32" t="s">
        <v>12</v>
      </c>
      <c r="H6" s="41">
        <f>H3+H5</f>
        <v>50514.94</v>
      </c>
      <c r="I6" s="91" t="s">
        <v>12</v>
      </c>
      <c r="J6" s="32">
        <v>1277.9999999999998</v>
      </c>
      <c r="K6" s="7"/>
      <c r="L6" s="15"/>
      <c r="M6" s="15"/>
      <c r="N6" s="6"/>
    </row>
    <row r="7" spans="1:14" ht="21.75" customHeight="1" x14ac:dyDescent="0.3">
      <c r="A7" s="26"/>
      <c r="B7" s="28"/>
      <c r="C7" s="29"/>
      <c r="D7" s="33"/>
      <c r="E7" s="32"/>
      <c r="F7" s="30"/>
      <c r="G7" s="32" t="s">
        <v>16</v>
      </c>
      <c r="H7" s="32">
        <f>J8</f>
        <v>-56205.65400000001</v>
      </c>
      <c r="I7" s="91" t="s">
        <v>16</v>
      </c>
      <c r="J7" s="32">
        <v>-57483.65400000001</v>
      </c>
      <c r="K7" s="7"/>
      <c r="L7" s="15"/>
      <c r="M7" s="15"/>
    </row>
    <row r="8" spans="1:14" ht="21.75" customHeight="1" x14ac:dyDescent="0.3">
      <c r="A8" s="26"/>
      <c r="B8" s="28"/>
      <c r="C8" s="29"/>
      <c r="D8" s="33"/>
      <c r="E8" s="32"/>
      <c r="F8" s="30"/>
      <c r="G8" s="32" t="s">
        <v>28</v>
      </c>
      <c r="H8" s="41">
        <f>H6+H7</f>
        <v>-5690.7140000000072</v>
      </c>
      <c r="I8" s="91" t="s">
        <v>28</v>
      </c>
      <c r="J8" s="32">
        <v>-56205.65400000001</v>
      </c>
      <c r="K8" s="7"/>
      <c r="L8" s="15"/>
      <c r="M8" s="15"/>
    </row>
    <row r="9" spans="1:14" ht="21.75" customHeight="1" x14ac:dyDescent="0.3">
      <c r="A9" s="26"/>
      <c r="B9" s="28"/>
      <c r="C9" s="29"/>
      <c r="D9" s="33"/>
      <c r="E9" s="32"/>
      <c r="F9" s="30"/>
      <c r="G9" s="32" t="s">
        <v>13</v>
      </c>
      <c r="H9" s="32">
        <f>J11</f>
        <v>218540</v>
      </c>
      <c r="I9" s="91" t="s">
        <v>13</v>
      </c>
      <c r="J9" s="32">
        <v>184230</v>
      </c>
      <c r="K9" s="7"/>
      <c r="L9" s="15"/>
      <c r="M9" s="15"/>
    </row>
    <row r="10" spans="1:14" ht="21.75" customHeight="1" x14ac:dyDescent="0.3">
      <c r="A10" s="26"/>
      <c r="B10" s="28"/>
      <c r="C10" s="29"/>
      <c r="D10" s="33"/>
      <c r="E10" s="32"/>
      <c r="F10" s="30"/>
      <c r="G10" s="32" t="s">
        <v>50</v>
      </c>
      <c r="H10" s="35">
        <v>18850</v>
      </c>
      <c r="I10" s="91" t="s">
        <v>48</v>
      </c>
      <c r="J10" s="32">
        <v>34310</v>
      </c>
      <c r="K10" s="7"/>
      <c r="L10" s="15"/>
      <c r="M10" s="15"/>
    </row>
    <row r="11" spans="1:14" s="1" customFormat="1" ht="21.75" customHeight="1" x14ac:dyDescent="0.6">
      <c r="A11" s="26"/>
      <c r="B11" s="28"/>
      <c r="C11" s="29"/>
      <c r="D11" s="33"/>
      <c r="E11" s="32"/>
      <c r="F11" s="30"/>
      <c r="G11" s="32" t="s">
        <v>14</v>
      </c>
      <c r="H11" s="41">
        <f>H9+H10</f>
        <v>237390</v>
      </c>
      <c r="I11" s="91" t="s">
        <v>14</v>
      </c>
      <c r="J11" s="32">
        <v>218540</v>
      </c>
      <c r="K11" s="7"/>
      <c r="L11" s="15"/>
      <c r="M11" s="15"/>
      <c r="N11" s="6"/>
    </row>
    <row r="12" spans="1:14" s="1" customFormat="1" ht="21.75" customHeight="1" x14ac:dyDescent="0.6">
      <c r="A12" s="5"/>
      <c r="B12" s="12"/>
      <c r="C12" s="8"/>
      <c r="D12" s="9"/>
      <c r="E12" s="7"/>
      <c r="F12" s="10"/>
      <c r="G12" s="32" t="s">
        <v>15</v>
      </c>
      <c r="H12" s="47">
        <f>H8-H11</f>
        <v>-243080.71400000001</v>
      </c>
      <c r="I12" s="91" t="s">
        <v>15</v>
      </c>
      <c r="J12" s="32">
        <v>-274745.65399999998</v>
      </c>
      <c r="K12" s="7"/>
      <c r="L12" s="15"/>
      <c r="M12" s="15"/>
      <c r="N12" s="6"/>
    </row>
    <row r="13" spans="1:14" s="1" customFormat="1" ht="21.75" customHeight="1" x14ac:dyDescent="0.6">
      <c r="A13" s="5"/>
      <c r="B13" s="12"/>
      <c r="C13" s="8"/>
      <c r="D13" s="9"/>
      <c r="E13" s="7"/>
      <c r="F13" s="10"/>
      <c r="G13" s="38" t="s">
        <v>30</v>
      </c>
      <c r="H13" s="32">
        <v>60000</v>
      </c>
      <c r="I13" s="91" t="s">
        <v>30</v>
      </c>
      <c r="J13" s="32">
        <v>60000</v>
      </c>
      <c r="K13" s="7"/>
      <c r="L13" s="15"/>
      <c r="M13" s="15"/>
      <c r="N13" s="6"/>
    </row>
    <row r="14" spans="1:14" s="1" customFormat="1" ht="21.75" customHeight="1" x14ac:dyDescent="0.6">
      <c r="A14" s="6"/>
      <c r="B14" s="12"/>
      <c r="C14" s="8"/>
      <c r="D14" s="10"/>
      <c r="E14" s="14"/>
      <c r="F14" s="10"/>
      <c r="G14" s="38" t="s">
        <v>31</v>
      </c>
      <c r="H14" s="42">
        <f>H12+H13</f>
        <v>-183080.71400000001</v>
      </c>
      <c r="I14" s="91" t="s">
        <v>31</v>
      </c>
      <c r="J14" s="32">
        <v>-214745.65399999998</v>
      </c>
      <c r="K14" s="7"/>
      <c r="L14" s="15"/>
      <c r="M14" s="15"/>
      <c r="N14" s="6"/>
    </row>
    <row r="15" spans="1:14" ht="15.6" x14ac:dyDescent="0.3">
      <c r="G15" s="91" t="s">
        <v>63</v>
      </c>
      <c r="H15" s="32">
        <v>271378.40599999996</v>
      </c>
      <c r="I15" s="91" t="s">
        <v>63</v>
      </c>
      <c r="J15" s="32">
        <v>270100.40599999996</v>
      </c>
      <c r="K15" s="7"/>
      <c r="M15" s="7"/>
    </row>
    <row r="16" spans="1:14" ht="15.6" x14ac:dyDescent="0.3">
      <c r="G16" s="91" t="s">
        <v>64</v>
      </c>
      <c r="H16" s="32">
        <f>H15+H3</f>
        <v>271378.40599999996</v>
      </c>
      <c r="I16" s="91" t="s">
        <v>64</v>
      </c>
      <c r="J16" s="32">
        <v>271378.40599999996</v>
      </c>
      <c r="M16" s="7"/>
    </row>
    <row r="17" spans="4:13" ht="15.6" x14ac:dyDescent="0.3">
      <c r="G17" s="91" t="s">
        <v>65</v>
      </c>
      <c r="H17" s="32">
        <f>H16-H11</f>
        <v>33988.405999999959</v>
      </c>
      <c r="I17" s="91" t="s">
        <v>65</v>
      </c>
      <c r="J17" s="32">
        <v>52838.405999999959</v>
      </c>
      <c r="M17" s="7"/>
    </row>
    <row r="18" spans="4:13" x14ac:dyDescent="0.3">
      <c r="D18" s="8"/>
      <c r="E18" s="9"/>
      <c r="F18" s="7"/>
      <c r="G18" s="10"/>
      <c r="I18" s="7"/>
      <c r="J18" s="11"/>
      <c r="K18" s="7"/>
      <c r="L18" s="6"/>
      <c r="M18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F8AE-F947-4FC1-BF85-790919A908D8}">
  <dimension ref="A1:N18"/>
  <sheetViews>
    <sheetView workbookViewId="0">
      <pane ySplit="1" topLeftCell="A2" activePane="bottomLeft" state="frozen"/>
      <selection pane="bottomLeft" activeCell="H17" sqref="H17"/>
    </sheetView>
  </sheetViews>
  <sheetFormatPr defaultColWidth="8.625" defaultRowHeight="13.8" x14ac:dyDescent="0.3"/>
  <cols>
    <col min="1" max="1" width="12.375" style="5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8.625" style="7" bestFit="1" customWidth="1"/>
    <col min="8" max="8" width="15.125" style="7" bestFit="1" customWidth="1"/>
    <col min="9" max="9" width="14.75" style="11" bestFit="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68</v>
      </c>
      <c r="B2" s="28">
        <v>46218</v>
      </c>
      <c r="C2" s="29">
        <v>20000</v>
      </c>
      <c r="D2" s="30" t="s">
        <v>9</v>
      </c>
      <c r="E2" s="31"/>
      <c r="F2" s="37">
        <v>7.0999999999999994E-2</v>
      </c>
      <c r="G2" s="31">
        <f>C2*F2*0.9</f>
        <v>1277.9999999999998</v>
      </c>
      <c r="H2" s="32">
        <f>G2</f>
        <v>1277.9999999999998</v>
      </c>
      <c r="I2" s="11"/>
      <c r="J2" s="7"/>
      <c r="K2" s="7"/>
      <c r="L2" s="15"/>
      <c r="M2" s="15"/>
      <c r="N2" s="6"/>
    </row>
    <row r="3" spans="1:14" s="1" customFormat="1" ht="21" x14ac:dyDescent="0.6">
      <c r="A3" s="27"/>
      <c r="B3" s="28"/>
      <c r="C3" s="29"/>
      <c r="D3" s="30"/>
      <c r="E3" s="31"/>
      <c r="F3" s="30"/>
      <c r="G3" s="31"/>
      <c r="H3" s="34">
        <f>SUM(H2:H2)</f>
        <v>1277.9999999999998</v>
      </c>
      <c r="I3" s="11"/>
      <c r="J3" s="7"/>
      <c r="K3" s="7"/>
      <c r="L3" s="15"/>
      <c r="M3" s="15"/>
      <c r="N3" s="6"/>
    </row>
    <row r="4" spans="1:14" s="1" customFormat="1" ht="21" x14ac:dyDescent="0.6">
      <c r="A4" s="27" t="s">
        <v>40</v>
      </c>
      <c r="B4" s="28">
        <v>45868</v>
      </c>
      <c r="C4" s="29">
        <v>1800</v>
      </c>
      <c r="D4" s="30">
        <v>20</v>
      </c>
      <c r="E4" s="31">
        <v>36079.74</v>
      </c>
      <c r="F4" s="30">
        <v>22.9</v>
      </c>
      <c r="G4" s="31">
        <v>41128.699999999997</v>
      </c>
      <c r="H4" s="32">
        <v>0</v>
      </c>
      <c r="I4" s="11"/>
      <c r="J4" s="7"/>
      <c r="K4" s="7"/>
      <c r="L4" s="15"/>
      <c r="M4" s="15"/>
      <c r="N4" s="6"/>
    </row>
    <row r="5" spans="1:14" ht="15.6" x14ac:dyDescent="0.3">
      <c r="A5" s="26"/>
      <c r="B5" s="28"/>
      <c r="C5" s="29"/>
      <c r="D5" s="33"/>
      <c r="E5" s="32">
        <f>SUM(E4:E4)</f>
        <v>36079.74</v>
      </c>
      <c r="F5" s="30"/>
      <c r="G5" s="32">
        <f>SUM(G4:G4)</f>
        <v>41128.699999999997</v>
      </c>
      <c r="H5" s="32">
        <f>SUM(H4:H4)</f>
        <v>0</v>
      </c>
      <c r="K5" s="7"/>
      <c r="L5" s="15"/>
      <c r="M5" s="15"/>
    </row>
    <row r="6" spans="1:14" s="1" customFormat="1" ht="21" x14ac:dyDescent="0.6">
      <c r="A6" s="26"/>
      <c r="B6" s="28"/>
      <c r="C6" s="29"/>
      <c r="D6" s="33"/>
      <c r="E6" s="32"/>
      <c r="F6" s="30"/>
      <c r="G6" s="32" t="s">
        <v>12</v>
      </c>
      <c r="H6" s="34">
        <f>H3+H5</f>
        <v>1277.9999999999998</v>
      </c>
      <c r="I6" s="11" t="s">
        <v>12</v>
      </c>
      <c r="J6" s="7">
        <v>48852.81</v>
      </c>
      <c r="K6" s="7"/>
      <c r="L6" s="15"/>
      <c r="M6" s="15"/>
      <c r="N6" s="6"/>
    </row>
    <row r="7" spans="1:14" ht="15.6" x14ac:dyDescent="0.3">
      <c r="A7" s="26"/>
      <c r="B7" s="28"/>
      <c r="C7" s="29"/>
      <c r="D7" s="33"/>
      <c r="E7" s="32"/>
      <c r="F7" s="30"/>
      <c r="G7" s="32" t="s">
        <v>16</v>
      </c>
      <c r="H7" s="32">
        <v>-57483.65400000001</v>
      </c>
      <c r="I7" s="11" t="s">
        <v>16</v>
      </c>
      <c r="J7" s="7">
        <v>-106336.46400000001</v>
      </c>
      <c r="K7" s="7"/>
      <c r="L7" s="15"/>
      <c r="M7" s="15"/>
    </row>
    <row r="8" spans="1:14" ht="15.6" x14ac:dyDescent="0.3">
      <c r="A8" s="26"/>
      <c r="B8" s="28"/>
      <c r="C8" s="29"/>
      <c r="D8" s="33"/>
      <c r="E8" s="32"/>
      <c r="F8" s="30"/>
      <c r="G8" s="32" t="s">
        <v>28</v>
      </c>
      <c r="H8" s="34">
        <f>H6+H7</f>
        <v>-56205.65400000001</v>
      </c>
      <c r="I8" s="11" t="s">
        <v>28</v>
      </c>
      <c r="J8" s="7">
        <v>-57483.65400000001</v>
      </c>
      <c r="K8" s="7"/>
      <c r="L8" s="15"/>
      <c r="M8" s="15"/>
    </row>
    <row r="9" spans="1:14" ht="15.6" x14ac:dyDescent="0.3">
      <c r="A9" s="26"/>
      <c r="B9" s="28"/>
      <c r="C9" s="29"/>
      <c r="D9" s="33"/>
      <c r="E9" s="32"/>
      <c r="F9" s="30"/>
      <c r="G9" s="32" t="s">
        <v>13</v>
      </c>
      <c r="H9" s="35">
        <v>184230</v>
      </c>
      <c r="I9" s="11" t="s">
        <v>13</v>
      </c>
      <c r="J9" s="7">
        <v>169620</v>
      </c>
      <c r="K9" s="7"/>
      <c r="L9" s="15"/>
      <c r="M9" s="15"/>
    </row>
    <row r="10" spans="1:14" ht="15.6" x14ac:dyDescent="0.3">
      <c r="A10" s="26"/>
      <c r="B10" s="28"/>
      <c r="C10" s="29"/>
      <c r="D10" s="33"/>
      <c r="E10" s="32"/>
      <c r="F10" s="30"/>
      <c r="G10" s="32" t="s">
        <v>48</v>
      </c>
      <c r="H10" s="35">
        <v>34310</v>
      </c>
      <c r="I10" s="11" t="s">
        <v>47</v>
      </c>
      <c r="J10" s="7">
        <v>14610</v>
      </c>
      <c r="K10" s="7"/>
      <c r="L10" s="15"/>
      <c r="M10" s="15"/>
    </row>
    <row r="11" spans="1:14" s="1" customFormat="1" ht="21" x14ac:dyDescent="0.6">
      <c r="A11" s="26"/>
      <c r="B11" s="28"/>
      <c r="C11" s="29"/>
      <c r="D11" s="33"/>
      <c r="E11" s="32"/>
      <c r="F11" s="30"/>
      <c r="G11" s="32" t="s">
        <v>14</v>
      </c>
      <c r="H11" s="41">
        <f>H9+H10</f>
        <v>218540</v>
      </c>
      <c r="I11" s="11" t="s">
        <v>14</v>
      </c>
      <c r="J11" s="7">
        <v>184230</v>
      </c>
      <c r="K11" s="7"/>
      <c r="L11" s="15"/>
      <c r="M11" s="15"/>
      <c r="N11" s="6"/>
    </row>
    <row r="12" spans="1:14" s="1" customFormat="1" ht="21" x14ac:dyDescent="0.6">
      <c r="A12" s="5"/>
      <c r="B12" s="12"/>
      <c r="C12" s="8"/>
      <c r="D12" s="9"/>
      <c r="E12" s="7"/>
      <c r="F12" s="10"/>
      <c r="G12" s="32" t="s">
        <v>15</v>
      </c>
      <c r="H12" s="46">
        <f>H8-H11</f>
        <v>-274745.65399999998</v>
      </c>
      <c r="I12" s="11" t="s">
        <v>15</v>
      </c>
      <c r="J12" s="7">
        <v>-241713.65400000001</v>
      </c>
      <c r="K12" s="7"/>
      <c r="L12" s="15"/>
      <c r="M12" s="15"/>
      <c r="N12" s="6"/>
    </row>
    <row r="13" spans="1:14" s="1" customFormat="1" ht="21" x14ac:dyDescent="0.6">
      <c r="A13" s="5"/>
      <c r="B13" s="12"/>
      <c r="C13" s="8"/>
      <c r="D13" s="9"/>
      <c r="E13" s="7"/>
      <c r="F13" s="10"/>
      <c r="G13" s="38" t="s">
        <v>30</v>
      </c>
      <c r="H13" s="38">
        <f>J13</f>
        <v>60000</v>
      </c>
      <c r="I13" s="11" t="s">
        <v>30</v>
      </c>
      <c r="J13" s="7">
        <v>60000</v>
      </c>
      <c r="K13" s="7"/>
      <c r="L13" s="15"/>
      <c r="M13" s="15"/>
      <c r="N13" s="6"/>
    </row>
    <row r="14" spans="1:14" s="1" customFormat="1" ht="21" x14ac:dyDescent="0.6">
      <c r="A14" s="6"/>
      <c r="B14" s="12"/>
      <c r="C14" s="8"/>
      <c r="D14" s="10"/>
      <c r="E14" s="14"/>
      <c r="F14" s="10"/>
      <c r="G14" s="38" t="s">
        <v>31</v>
      </c>
      <c r="H14" s="39">
        <f>H12+H13</f>
        <v>-214745.65399999998</v>
      </c>
      <c r="I14" s="11" t="s">
        <v>31</v>
      </c>
      <c r="J14" s="7">
        <v>-181713.65400000001</v>
      </c>
      <c r="K14" s="7"/>
      <c r="L14" s="15"/>
      <c r="M14" s="15"/>
      <c r="N14" s="6"/>
    </row>
    <row r="15" spans="1:14" ht="15.6" x14ac:dyDescent="0.3">
      <c r="G15" s="32" t="s">
        <v>63</v>
      </c>
      <c r="H15" s="7">
        <v>270100.40600000002</v>
      </c>
      <c r="I15" s="11" t="s">
        <v>63</v>
      </c>
      <c r="J15" s="7">
        <v>221247.59599999999</v>
      </c>
      <c r="K15" s="7"/>
      <c r="M15" s="7"/>
    </row>
    <row r="16" spans="1:14" ht="15.6" x14ac:dyDescent="0.3">
      <c r="G16" s="32" t="s">
        <v>64</v>
      </c>
      <c r="H16" s="32">
        <f>H15+H3</f>
        <v>271378.40600000002</v>
      </c>
      <c r="I16" s="11" t="s">
        <v>64</v>
      </c>
      <c r="J16" s="7">
        <v>270100.40599999996</v>
      </c>
      <c r="M16" s="7"/>
    </row>
    <row r="17" spans="3:13" ht="15.6" x14ac:dyDescent="0.3">
      <c r="G17" s="32" t="s">
        <v>65</v>
      </c>
      <c r="H17" s="32">
        <f>H16-H11</f>
        <v>52838.406000000017</v>
      </c>
      <c r="I17" s="11" t="s">
        <v>65</v>
      </c>
      <c r="J17" s="7">
        <v>85870.405999999959</v>
      </c>
      <c r="M17" s="7"/>
    </row>
    <row r="18" spans="3:13" x14ac:dyDescent="0.3">
      <c r="C18" s="12"/>
      <c r="D18" s="8"/>
      <c r="E18" s="9"/>
      <c r="F18" s="7"/>
      <c r="G18" s="10"/>
      <c r="I18" s="7"/>
      <c r="J18" s="11"/>
      <c r="K18" s="7"/>
      <c r="L18" s="6"/>
      <c r="M18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D7D9-1BF8-42AF-8BE9-2337E6298F4C}">
  <dimension ref="A1:N27"/>
  <sheetViews>
    <sheetView workbookViewId="0">
      <pane ySplit="1" topLeftCell="A5" activePane="bottomLeft" state="frozen"/>
      <selection pane="bottomLeft" activeCell="H24" sqref="H24"/>
    </sheetView>
  </sheetViews>
  <sheetFormatPr defaultColWidth="8.625" defaultRowHeight="13.8" x14ac:dyDescent="0.3"/>
  <cols>
    <col min="1" max="1" width="10.875" style="5" bestFit="1" customWidth="1"/>
    <col min="2" max="2" width="12.625" style="12" bestFit="1" customWidth="1"/>
    <col min="3" max="3" width="8.75" style="8" bestFit="1" customWidth="1"/>
    <col min="4" max="4" width="7.25" style="9" customWidth="1"/>
    <col min="5" max="5" width="14.375" style="7" bestFit="1" customWidth="1"/>
    <col min="6" max="6" width="11" style="10" bestFit="1" customWidth="1"/>
    <col min="7" max="7" width="29.375" style="7" customWidth="1"/>
    <col min="8" max="8" width="14.5" style="7" bestFit="1" customWidth="1"/>
    <col min="9" max="9" width="14.75" style="11" bestFit="1" customWidth="1"/>
    <col min="10" max="10" width="12.875" style="7" bestFit="1" customWidth="1"/>
    <col min="11" max="11" width="10.625" style="6" bestFit="1" customWidth="1"/>
    <col min="12" max="12" width="10.625" style="7" bestFit="1" customWidth="1"/>
    <col min="13" max="13" width="10.625" style="6" bestFit="1" customWidth="1"/>
    <col min="14" max="14" width="21.2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4"/>
      <c r="J1" s="3"/>
      <c r="K1" s="5"/>
      <c r="L1" s="7"/>
      <c r="M1" s="6"/>
      <c r="N1" s="6"/>
    </row>
    <row r="2" spans="1:14" s="1" customFormat="1" ht="21" x14ac:dyDescent="0.6">
      <c r="A2" s="27" t="s">
        <v>21</v>
      </c>
      <c r="B2" s="28">
        <v>46178</v>
      </c>
      <c r="C2" s="29">
        <v>20000</v>
      </c>
      <c r="D2" s="30" t="s">
        <v>9</v>
      </c>
      <c r="E2" s="31"/>
      <c r="F2" s="37">
        <v>0.1915</v>
      </c>
      <c r="G2" s="31">
        <f t="shared" ref="G2:G9" si="0">C2*F2</f>
        <v>3830</v>
      </c>
      <c r="H2" s="40">
        <f t="shared" ref="H2:H9" si="1">G2*0.9</f>
        <v>3447</v>
      </c>
      <c r="I2" s="11"/>
      <c r="J2" s="17"/>
      <c r="K2" s="7"/>
      <c r="L2" s="6"/>
      <c r="M2" s="6"/>
      <c r="N2" s="6"/>
    </row>
    <row r="3" spans="1:14" s="1" customFormat="1" ht="21" x14ac:dyDescent="0.6">
      <c r="A3" s="27" t="s">
        <v>22</v>
      </c>
      <c r="B3" s="28">
        <v>46183</v>
      </c>
      <c r="C3" s="29">
        <v>900</v>
      </c>
      <c r="D3" s="30" t="s">
        <v>9</v>
      </c>
      <c r="E3" s="31"/>
      <c r="F3" s="51">
        <v>0.20499999999999999</v>
      </c>
      <c r="G3" s="31">
        <f t="shared" si="0"/>
        <v>184.5</v>
      </c>
      <c r="H3" s="40">
        <f t="shared" si="1"/>
        <v>166.05</v>
      </c>
      <c r="I3" s="11"/>
      <c r="J3" s="17"/>
      <c r="K3" s="7"/>
      <c r="L3" s="6"/>
      <c r="M3" s="6"/>
      <c r="N3" s="6"/>
    </row>
    <row r="4" spans="1:14" s="1" customFormat="1" ht="21" x14ac:dyDescent="0.6">
      <c r="A4" s="27" t="s">
        <v>18</v>
      </c>
      <c r="B4" s="28">
        <v>46183</v>
      </c>
      <c r="C4" s="82">
        <v>45000</v>
      </c>
      <c r="D4" s="30" t="s">
        <v>9</v>
      </c>
      <c r="E4" s="31"/>
      <c r="F4" s="37">
        <v>0.22220000000000001</v>
      </c>
      <c r="G4" s="31">
        <f t="shared" si="0"/>
        <v>9999</v>
      </c>
      <c r="H4" s="40">
        <f t="shared" si="1"/>
        <v>8999.1</v>
      </c>
      <c r="I4" s="11"/>
      <c r="J4" s="17"/>
      <c r="K4" s="7"/>
      <c r="L4" s="6"/>
      <c r="M4" s="6"/>
      <c r="N4" s="6"/>
    </row>
    <row r="5" spans="1:14" s="1" customFormat="1" ht="21" x14ac:dyDescent="0.6">
      <c r="A5" s="27" t="s">
        <v>20</v>
      </c>
      <c r="B5" s="28">
        <v>46184</v>
      </c>
      <c r="C5" s="29">
        <v>55000</v>
      </c>
      <c r="D5" s="30" t="s">
        <v>9</v>
      </c>
      <c r="E5" s="31"/>
      <c r="F5" s="52">
        <v>0.28000000000000003</v>
      </c>
      <c r="G5" s="31">
        <f t="shared" si="0"/>
        <v>15400.000000000002</v>
      </c>
      <c r="H5" s="40">
        <f t="shared" si="1"/>
        <v>13860.000000000002</v>
      </c>
      <c r="I5" s="11"/>
      <c r="J5" s="17"/>
      <c r="K5" s="7"/>
      <c r="L5" s="6"/>
      <c r="M5" s="6"/>
      <c r="N5" s="6"/>
    </row>
    <row r="6" spans="1:14" s="1" customFormat="1" ht="21" x14ac:dyDescent="0.6">
      <c r="A6" s="27" t="s">
        <v>19</v>
      </c>
      <c r="B6" s="28">
        <v>46184</v>
      </c>
      <c r="C6" s="95">
        <v>69000</v>
      </c>
      <c r="D6" s="30" t="s">
        <v>9</v>
      </c>
      <c r="E6" s="31"/>
      <c r="F6" s="51">
        <v>0.1946</v>
      </c>
      <c r="G6" s="31">
        <f t="shared" si="0"/>
        <v>13427.4</v>
      </c>
      <c r="H6" s="40">
        <f t="shared" si="1"/>
        <v>12084.66</v>
      </c>
      <c r="I6" s="11"/>
      <c r="J6" s="17"/>
      <c r="K6" s="7"/>
      <c r="L6" s="6"/>
      <c r="M6" s="6"/>
      <c r="N6" s="6"/>
    </row>
    <row r="7" spans="1:14" s="1" customFormat="1" ht="21" x14ac:dyDescent="0.6">
      <c r="A7" s="27" t="s">
        <v>40</v>
      </c>
      <c r="B7" s="28">
        <v>46185</v>
      </c>
      <c r="C7" s="29">
        <v>7200</v>
      </c>
      <c r="D7" s="30" t="s">
        <v>9</v>
      </c>
      <c r="E7" s="31"/>
      <c r="F7" s="37">
        <v>0.17499999999999999</v>
      </c>
      <c r="G7" s="31">
        <f t="shared" si="0"/>
        <v>1260</v>
      </c>
      <c r="H7" s="40">
        <f t="shared" si="1"/>
        <v>1134</v>
      </c>
      <c r="I7" s="11"/>
      <c r="J7" s="17"/>
      <c r="K7" s="7"/>
      <c r="L7" s="6"/>
      <c r="M7" s="6"/>
      <c r="N7" s="6"/>
    </row>
    <row r="8" spans="1:14" s="1" customFormat="1" ht="21" x14ac:dyDescent="0.6">
      <c r="A8" s="27" t="s">
        <v>8</v>
      </c>
      <c r="B8" s="28">
        <v>46189</v>
      </c>
      <c r="C8" s="82">
        <v>25000</v>
      </c>
      <c r="D8" s="30" t="s">
        <v>9</v>
      </c>
      <c r="E8" s="31"/>
      <c r="F8" s="52">
        <v>0.12039999999999999</v>
      </c>
      <c r="G8" s="31">
        <f t="shared" si="0"/>
        <v>3010</v>
      </c>
      <c r="H8" s="40">
        <f t="shared" si="1"/>
        <v>2709</v>
      </c>
      <c r="I8" s="11"/>
      <c r="J8" s="17"/>
      <c r="K8" s="7"/>
      <c r="L8" s="6"/>
      <c r="M8" s="6"/>
      <c r="N8" s="6"/>
    </row>
    <row r="9" spans="1:14" s="1" customFormat="1" ht="21" x14ac:dyDescent="0.6">
      <c r="A9" s="27" t="s">
        <v>23</v>
      </c>
      <c r="B9" s="28">
        <v>46191</v>
      </c>
      <c r="C9" s="95">
        <v>50000</v>
      </c>
      <c r="D9" s="30" t="s">
        <v>9</v>
      </c>
      <c r="E9" s="31"/>
      <c r="F9" s="52">
        <v>0.1434</v>
      </c>
      <c r="G9" s="31">
        <f t="shared" si="0"/>
        <v>7170</v>
      </c>
      <c r="H9" s="40">
        <f t="shared" si="1"/>
        <v>6453</v>
      </c>
      <c r="I9" s="11"/>
      <c r="J9" s="17"/>
      <c r="K9" s="7"/>
      <c r="L9" s="6"/>
      <c r="M9" s="6"/>
      <c r="N9" s="6"/>
    </row>
    <row r="10" spans="1:14" s="1" customFormat="1" ht="21" x14ac:dyDescent="0.6">
      <c r="A10" s="27"/>
      <c r="B10" s="28"/>
      <c r="C10" s="29"/>
      <c r="D10" s="30"/>
      <c r="E10" s="31"/>
      <c r="F10" s="30"/>
      <c r="G10" s="31"/>
      <c r="H10" s="43">
        <f>SUM(H2:H9)</f>
        <v>48852.81</v>
      </c>
      <c r="I10" s="11"/>
      <c r="J10" s="19"/>
      <c r="K10" s="7"/>
      <c r="L10" s="6"/>
      <c r="M10" s="6"/>
      <c r="N10" s="6"/>
    </row>
    <row r="11" spans="1:14" s="1" customFormat="1" ht="21" x14ac:dyDescent="0.6">
      <c r="A11" s="27" t="s">
        <v>37</v>
      </c>
      <c r="B11" s="28">
        <v>45824</v>
      </c>
      <c r="C11" s="29">
        <v>0</v>
      </c>
      <c r="D11" s="30">
        <v>67</v>
      </c>
      <c r="E11" s="50">
        <v>0</v>
      </c>
      <c r="F11" s="30">
        <v>16.600000000000001</v>
      </c>
      <c r="G11" s="31">
        <v>0</v>
      </c>
      <c r="H11" s="32">
        <f t="shared" ref="H11" si="2">G11-E11</f>
        <v>0</v>
      </c>
      <c r="I11" s="11"/>
      <c r="J11" s="7"/>
      <c r="K11" s="7"/>
      <c r="L11" s="15"/>
      <c r="M11" s="15"/>
      <c r="N11" s="6"/>
    </row>
    <row r="12" spans="1:14" s="1" customFormat="1" ht="21" x14ac:dyDescent="0.6">
      <c r="A12" s="26"/>
      <c r="B12" s="28"/>
      <c r="C12" s="29"/>
      <c r="D12" s="33"/>
      <c r="E12" s="32" t="e">
        <f>SUM(#REF!)</f>
        <v>#REF!</v>
      </c>
      <c r="F12" s="30"/>
      <c r="G12" s="32" t="e">
        <f>SUM(#REF!)</f>
        <v>#REF!</v>
      </c>
      <c r="H12" s="41">
        <f>SUM(H11:H11)</f>
        <v>0</v>
      </c>
      <c r="I12" s="11"/>
      <c r="J12" s="7"/>
      <c r="K12" s="7"/>
      <c r="L12" s="15"/>
      <c r="M12" s="15"/>
      <c r="N12" s="6"/>
    </row>
    <row r="13" spans="1:14" s="1" customFormat="1" ht="21" x14ac:dyDescent="0.6">
      <c r="A13" s="26"/>
      <c r="B13" s="28"/>
      <c r="C13" s="29"/>
      <c r="D13" s="33"/>
      <c r="E13" s="32"/>
      <c r="F13" s="30"/>
      <c r="G13" s="32" t="s">
        <v>12</v>
      </c>
      <c r="H13" s="43">
        <f>H10+H12</f>
        <v>48852.81</v>
      </c>
      <c r="I13" s="13" t="s">
        <v>12</v>
      </c>
      <c r="J13" s="7">
        <v>136023.70199999999</v>
      </c>
      <c r="K13" s="7"/>
      <c r="L13" s="15"/>
      <c r="M13" s="15"/>
      <c r="N13" s="6"/>
    </row>
    <row r="14" spans="1:14" s="1" customFormat="1" ht="21" x14ac:dyDescent="0.6">
      <c r="A14" s="26"/>
      <c r="B14" s="28"/>
      <c r="C14" s="29"/>
      <c r="D14" s="33"/>
      <c r="E14" s="32"/>
      <c r="F14" s="30"/>
      <c r="G14" s="32" t="s">
        <v>16</v>
      </c>
      <c r="H14" s="32">
        <v>-106336.46400000001</v>
      </c>
      <c r="I14" s="13" t="s">
        <v>16</v>
      </c>
      <c r="J14" s="7">
        <v>-242360.16599999997</v>
      </c>
      <c r="K14" s="7"/>
      <c r="L14" s="15"/>
      <c r="M14" s="15"/>
      <c r="N14" s="6"/>
    </row>
    <row r="15" spans="1:14" s="1" customFormat="1" ht="21" x14ac:dyDescent="0.6">
      <c r="A15" s="26"/>
      <c r="B15" s="28"/>
      <c r="C15" s="29"/>
      <c r="D15" s="33"/>
      <c r="E15" s="32"/>
      <c r="F15" s="30"/>
      <c r="G15" s="32" t="s">
        <v>28</v>
      </c>
      <c r="H15" s="34">
        <f>H13+H14</f>
        <v>-57483.65400000001</v>
      </c>
      <c r="I15" s="13" t="s">
        <v>28</v>
      </c>
      <c r="J15" s="7">
        <v>-106336.46399999998</v>
      </c>
      <c r="K15" s="7"/>
      <c r="L15" s="15"/>
      <c r="M15" s="15"/>
      <c r="N15" s="6"/>
    </row>
    <row r="16" spans="1:14" s="1" customFormat="1" ht="21" x14ac:dyDescent="0.6">
      <c r="A16" s="26"/>
      <c r="B16" s="28"/>
      <c r="C16" s="29"/>
      <c r="D16" s="33"/>
      <c r="E16" s="32"/>
      <c r="F16" s="30"/>
      <c r="G16" s="32" t="s">
        <v>13</v>
      </c>
      <c r="H16" s="7">
        <v>169620</v>
      </c>
      <c r="I16" s="13" t="s">
        <v>13</v>
      </c>
      <c r="J16" s="7">
        <v>127030</v>
      </c>
      <c r="K16" s="7"/>
      <c r="L16" s="15"/>
      <c r="M16" s="15"/>
      <c r="N16" s="6"/>
    </row>
    <row r="17" spans="1:14" s="1" customFormat="1" ht="21" x14ac:dyDescent="0.6">
      <c r="A17" s="26"/>
      <c r="B17" s="28"/>
      <c r="C17" s="29"/>
      <c r="D17" s="33"/>
      <c r="E17" s="32"/>
      <c r="F17" s="30"/>
      <c r="G17" s="32" t="s">
        <v>47</v>
      </c>
      <c r="H17" s="35">
        <v>14610</v>
      </c>
      <c r="I17" s="13" t="s">
        <v>46</v>
      </c>
      <c r="J17" s="7">
        <v>42590</v>
      </c>
      <c r="K17" s="7"/>
      <c r="L17" s="15"/>
      <c r="M17" s="15"/>
      <c r="N17" s="6"/>
    </row>
    <row r="18" spans="1:14" s="1" customFormat="1" ht="21" x14ac:dyDescent="0.6">
      <c r="A18" s="26"/>
      <c r="B18" s="28"/>
      <c r="C18" s="29"/>
      <c r="D18" s="33"/>
      <c r="E18" s="32"/>
      <c r="F18" s="30"/>
      <c r="G18" s="32" t="s">
        <v>14</v>
      </c>
      <c r="H18" s="41">
        <f>H16+H17</f>
        <v>184230</v>
      </c>
      <c r="I18" s="13" t="s">
        <v>14</v>
      </c>
      <c r="J18" s="7">
        <v>169620</v>
      </c>
      <c r="K18" s="7"/>
      <c r="L18" s="15"/>
      <c r="M18" s="15"/>
      <c r="N18" s="6"/>
    </row>
    <row r="19" spans="1:14" s="1" customFormat="1" ht="21" x14ac:dyDescent="0.6">
      <c r="A19" s="5"/>
      <c r="B19" s="12"/>
      <c r="C19" s="8"/>
      <c r="D19" s="9"/>
      <c r="E19" s="7"/>
      <c r="F19" s="10"/>
      <c r="G19" s="32" t="s">
        <v>15</v>
      </c>
      <c r="H19" s="46">
        <f>H15-H18</f>
        <v>-241713.65400000001</v>
      </c>
      <c r="I19" s="13" t="s">
        <v>15</v>
      </c>
      <c r="J19" s="7">
        <v>-275956.46399999998</v>
      </c>
      <c r="K19" s="7"/>
      <c r="L19" s="15"/>
      <c r="M19" s="15"/>
      <c r="N19" s="6"/>
    </row>
    <row r="20" spans="1:14" s="1" customFormat="1" ht="21" x14ac:dyDescent="0.6">
      <c r="A20" s="5"/>
      <c r="B20" s="12"/>
      <c r="C20" s="8"/>
      <c r="D20" s="9"/>
      <c r="E20" s="7"/>
      <c r="F20" s="10"/>
      <c r="G20" s="38" t="s">
        <v>30</v>
      </c>
      <c r="H20" s="7">
        <v>60000</v>
      </c>
      <c r="I20" s="13" t="s">
        <v>30</v>
      </c>
      <c r="J20" s="7">
        <v>60000</v>
      </c>
      <c r="K20" s="7"/>
      <c r="L20" s="15"/>
      <c r="M20" s="15"/>
      <c r="N20" s="6"/>
    </row>
    <row r="21" spans="1:14" s="1" customFormat="1" ht="21" x14ac:dyDescent="0.6">
      <c r="A21" s="6"/>
      <c r="B21" s="12"/>
      <c r="C21" s="8"/>
      <c r="D21" s="10"/>
      <c r="E21" s="14"/>
      <c r="F21" s="10"/>
      <c r="G21" s="38" t="s">
        <v>31</v>
      </c>
      <c r="H21" s="39">
        <f>H19+H20</f>
        <v>-181713.65400000001</v>
      </c>
      <c r="I21" s="13" t="s">
        <v>31</v>
      </c>
      <c r="J21" s="7">
        <v>-215956.46399999998</v>
      </c>
      <c r="K21" s="7"/>
      <c r="L21" s="15"/>
      <c r="M21" s="15"/>
      <c r="N21" s="7"/>
    </row>
    <row r="22" spans="1:14" ht="15.6" x14ac:dyDescent="0.3">
      <c r="G22" s="32" t="s">
        <v>63</v>
      </c>
      <c r="H22" s="7">
        <v>221247.59599999999</v>
      </c>
      <c r="I22" s="7" t="s">
        <v>63</v>
      </c>
      <c r="J22" s="7">
        <v>84048.91399999999</v>
      </c>
      <c r="K22" s="7"/>
      <c r="N22" s="13"/>
    </row>
    <row r="23" spans="1:14" ht="15.6" customHeight="1" x14ac:dyDescent="0.3">
      <c r="G23" s="32" t="s">
        <v>64</v>
      </c>
      <c r="H23" s="32">
        <f>H22+H10</f>
        <v>270100.40599999996</v>
      </c>
      <c r="I23" s="11" t="s">
        <v>64</v>
      </c>
      <c r="J23" s="7">
        <v>221247.59599999999</v>
      </c>
      <c r="K23" s="7"/>
    </row>
    <row r="24" spans="1:14" ht="15.6" x14ac:dyDescent="0.3">
      <c r="G24" s="32" t="s">
        <v>65</v>
      </c>
      <c r="H24" s="32">
        <f>H23-H18</f>
        <v>85870.405999999959</v>
      </c>
      <c r="I24" s="11" t="s">
        <v>65</v>
      </c>
      <c r="J24" s="7">
        <v>51627.59599999999</v>
      </c>
      <c r="K24" s="7"/>
      <c r="M24" s="7"/>
    </row>
    <row r="25" spans="1:14" x14ac:dyDescent="0.3">
      <c r="M25" s="7"/>
    </row>
    <row r="26" spans="1:14" x14ac:dyDescent="0.3">
      <c r="M26" s="7"/>
    </row>
    <row r="27" spans="1:14" x14ac:dyDescent="0.3">
      <c r="K27" s="7"/>
    </row>
  </sheetData>
  <sheetProtection selectLockedCells="1" selectUnlockedCells="1"/>
  <sortState xmlns:xlrd2="http://schemas.microsoft.com/office/spreadsheetml/2017/richdata2" ref="A2:N9">
    <sortCondition ref="B2:B9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3354-A7E2-4931-8BC9-D8891EC066BA}">
  <dimension ref="A1:N35"/>
  <sheetViews>
    <sheetView workbookViewId="0">
      <pane ySplit="1" topLeftCell="A15" activePane="bottomLeft" state="frozen"/>
      <selection pane="bottomLeft" activeCell="G30" sqref="G30:H32"/>
    </sheetView>
  </sheetViews>
  <sheetFormatPr defaultColWidth="8.625" defaultRowHeight="15.6" x14ac:dyDescent="0.3"/>
  <cols>
    <col min="1" max="1" width="10.875" style="5" bestFit="1" customWidth="1"/>
    <col min="2" max="2" width="12.625" style="71" bestFit="1" customWidth="1"/>
    <col min="3" max="3" width="9.25" style="8" bestFit="1" customWidth="1"/>
    <col min="4" max="4" width="7.25" style="9" customWidth="1"/>
    <col min="5" max="5" width="14.375" style="7" bestFit="1" customWidth="1"/>
    <col min="6" max="6" width="10.5" style="88" bestFit="1" customWidth="1"/>
    <col min="7" max="7" width="15.875" style="7" bestFit="1" customWidth="1"/>
    <col min="8" max="8" width="14.5" style="7" bestFit="1" customWidth="1"/>
    <col min="9" max="9" width="12.125" style="13" bestFit="1" customWidth="1"/>
    <col min="10" max="10" width="12.875" style="7" bestFit="1" customWidth="1"/>
    <col min="11" max="11" width="10.625" style="6" bestFit="1" customWidth="1"/>
    <col min="12" max="12" width="10.625" style="7" bestFit="1" customWidth="1"/>
    <col min="13" max="13" width="10.625" style="6" bestFit="1" customWidth="1"/>
    <col min="14" max="14" width="21.2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68" t="s">
        <v>1</v>
      </c>
      <c r="C1" s="22" t="s">
        <v>2</v>
      </c>
      <c r="D1" s="23" t="s">
        <v>3</v>
      </c>
      <c r="E1" s="24" t="s">
        <v>4</v>
      </c>
      <c r="F1" s="84" t="s">
        <v>5</v>
      </c>
      <c r="G1" s="24" t="s">
        <v>6</v>
      </c>
      <c r="H1" s="26" t="s">
        <v>7</v>
      </c>
      <c r="I1" s="67"/>
      <c r="J1" s="3"/>
      <c r="K1" s="5"/>
      <c r="L1" s="7"/>
      <c r="M1" s="6"/>
      <c r="N1" s="6"/>
    </row>
    <row r="2" spans="1:14" s="1" customFormat="1" ht="21" x14ac:dyDescent="0.6">
      <c r="A2" s="27" t="s">
        <v>33</v>
      </c>
      <c r="B2" s="69">
        <v>46148</v>
      </c>
      <c r="C2" s="29">
        <v>7000</v>
      </c>
      <c r="D2" s="30" t="s">
        <v>9</v>
      </c>
      <c r="E2" s="31" t="s">
        <v>9</v>
      </c>
      <c r="F2" s="85">
        <v>0.43</v>
      </c>
      <c r="G2" s="31">
        <f t="shared" ref="G2:G13" si="0">C2*F2</f>
        <v>3010</v>
      </c>
      <c r="H2" s="40">
        <f>G2*0.9</f>
        <v>2709</v>
      </c>
      <c r="I2" s="13"/>
      <c r="J2" s="17"/>
      <c r="K2" s="7"/>
      <c r="L2" s="6"/>
      <c r="M2" s="6"/>
      <c r="N2" s="6"/>
    </row>
    <row r="3" spans="1:14" s="1" customFormat="1" ht="21" x14ac:dyDescent="0.6">
      <c r="A3" s="27" t="s">
        <v>32</v>
      </c>
      <c r="B3" s="69">
        <v>46149</v>
      </c>
      <c r="C3" s="95">
        <v>75000</v>
      </c>
      <c r="D3" s="30" t="s">
        <v>9</v>
      </c>
      <c r="E3" s="31" t="s">
        <v>9</v>
      </c>
      <c r="F3" s="87">
        <v>0.7</v>
      </c>
      <c r="G3" s="31">
        <f t="shared" si="0"/>
        <v>52500</v>
      </c>
      <c r="H3" s="40">
        <v>51975</v>
      </c>
      <c r="I3" s="13"/>
      <c r="J3" s="17"/>
      <c r="K3" s="7"/>
      <c r="L3" s="6"/>
      <c r="M3" s="6"/>
      <c r="N3" s="6"/>
    </row>
    <row r="4" spans="1:14" s="1" customFormat="1" ht="21" x14ac:dyDescent="0.6">
      <c r="A4" s="27" t="s">
        <v>35</v>
      </c>
      <c r="B4" s="69">
        <v>46149</v>
      </c>
      <c r="C4" s="29">
        <v>27000</v>
      </c>
      <c r="D4" s="30" t="s">
        <v>9</v>
      </c>
      <c r="E4" s="31" t="s">
        <v>9</v>
      </c>
      <c r="F4" s="86">
        <v>0.26</v>
      </c>
      <c r="G4" s="31">
        <f t="shared" si="0"/>
        <v>7020</v>
      </c>
      <c r="H4" s="40">
        <f>G4</f>
        <v>7020</v>
      </c>
      <c r="I4" s="13"/>
      <c r="J4" s="17"/>
      <c r="K4" s="7"/>
      <c r="L4" s="6"/>
      <c r="M4" s="6"/>
      <c r="N4" s="6"/>
    </row>
    <row r="5" spans="1:14" s="1" customFormat="1" ht="21" x14ac:dyDescent="0.6">
      <c r="A5" s="27" t="s">
        <v>10</v>
      </c>
      <c r="B5" s="69">
        <v>46150</v>
      </c>
      <c r="C5" s="29">
        <v>10000</v>
      </c>
      <c r="D5" s="30" t="s">
        <v>9</v>
      </c>
      <c r="E5" s="31" t="s">
        <v>9</v>
      </c>
      <c r="F5" s="87">
        <v>0.5</v>
      </c>
      <c r="G5" s="31">
        <f t="shared" si="0"/>
        <v>5000</v>
      </c>
      <c r="H5" s="40">
        <f>G5*0.9</f>
        <v>4500</v>
      </c>
      <c r="I5" s="13"/>
      <c r="J5" s="17"/>
      <c r="K5" s="7"/>
      <c r="L5" s="6"/>
      <c r="M5" s="6"/>
      <c r="N5" s="6"/>
    </row>
    <row r="6" spans="1:14" s="1" customFormat="1" ht="21" x14ac:dyDescent="0.6">
      <c r="A6" s="27" t="s">
        <v>34</v>
      </c>
      <c r="B6" s="69">
        <v>46154</v>
      </c>
      <c r="C6" s="82">
        <v>17500</v>
      </c>
      <c r="D6" s="30" t="s">
        <v>9</v>
      </c>
      <c r="E6" s="31" t="s">
        <v>9</v>
      </c>
      <c r="F6" s="87">
        <v>0.38</v>
      </c>
      <c r="G6" s="31">
        <f t="shared" si="0"/>
        <v>6650</v>
      </c>
      <c r="H6" s="40">
        <f>G6*0.9</f>
        <v>5985</v>
      </c>
      <c r="I6" s="13"/>
      <c r="J6" s="17"/>
      <c r="K6" s="7"/>
      <c r="L6" s="6"/>
      <c r="M6" s="6"/>
      <c r="N6" s="6"/>
    </row>
    <row r="7" spans="1:14" s="1" customFormat="1" ht="21" x14ac:dyDescent="0.6">
      <c r="A7" s="27" t="s">
        <v>38</v>
      </c>
      <c r="B7" s="69">
        <v>46157</v>
      </c>
      <c r="C7" s="29">
        <v>3600</v>
      </c>
      <c r="D7" s="30" t="s">
        <v>9</v>
      </c>
      <c r="E7" s="31" t="s">
        <v>9</v>
      </c>
      <c r="F7" s="93">
        <v>0.35</v>
      </c>
      <c r="G7" s="31">
        <f t="shared" si="0"/>
        <v>1260</v>
      </c>
      <c r="H7" s="40">
        <f>G7*0.9</f>
        <v>1134</v>
      </c>
      <c r="I7" s="13"/>
      <c r="J7" s="17"/>
      <c r="K7" s="7"/>
      <c r="L7" s="6"/>
      <c r="M7" s="6"/>
      <c r="N7" s="6"/>
    </row>
    <row r="8" spans="1:14" s="1" customFormat="1" ht="21" x14ac:dyDescent="0.6">
      <c r="A8" s="27" t="s">
        <v>39</v>
      </c>
      <c r="B8" s="69">
        <v>46157</v>
      </c>
      <c r="C8" s="29">
        <v>27000</v>
      </c>
      <c r="D8" s="30" t="s">
        <v>9</v>
      </c>
      <c r="E8" s="31" t="s">
        <v>9</v>
      </c>
      <c r="F8" s="94">
        <v>1.5</v>
      </c>
      <c r="G8" s="31">
        <f t="shared" si="0"/>
        <v>40500</v>
      </c>
      <c r="H8" s="40">
        <v>38340</v>
      </c>
      <c r="I8" s="13"/>
      <c r="J8" s="17"/>
      <c r="K8" s="7"/>
      <c r="L8" s="6"/>
      <c r="M8" s="6"/>
      <c r="N8" s="6"/>
    </row>
    <row r="9" spans="1:14" s="1" customFormat="1" ht="21" x14ac:dyDescent="0.6">
      <c r="A9" s="27" t="s">
        <v>61</v>
      </c>
      <c r="B9" s="69">
        <v>46157</v>
      </c>
      <c r="C9" s="29">
        <v>4000</v>
      </c>
      <c r="D9" s="30" t="s">
        <v>9</v>
      </c>
      <c r="E9" s="31" t="s">
        <v>9</v>
      </c>
      <c r="F9" s="93">
        <v>1.17</v>
      </c>
      <c r="G9" s="31">
        <f t="shared" si="0"/>
        <v>4680</v>
      </c>
      <c r="H9" s="40">
        <v>4272</v>
      </c>
      <c r="I9" s="13"/>
      <c r="J9" s="17"/>
      <c r="K9" s="7"/>
      <c r="L9" s="6"/>
      <c r="M9" s="6"/>
      <c r="N9" s="6"/>
    </row>
    <row r="10" spans="1:14" s="1" customFormat="1" ht="21" x14ac:dyDescent="0.6">
      <c r="A10" s="27" t="s">
        <v>42</v>
      </c>
      <c r="B10" s="69">
        <v>46164</v>
      </c>
      <c r="C10" s="29">
        <v>1200</v>
      </c>
      <c r="D10" s="30" t="s">
        <v>9</v>
      </c>
      <c r="E10" s="31" t="s">
        <v>9</v>
      </c>
      <c r="F10" s="85">
        <v>0.48</v>
      </c>
      <c r="G10" s="31">
        <f t="shared" si="0"/>
        <v>576</v>
      </c>
      <c r="H10" s="40">
        <f>526.8</f>
        <v>526.79999999999995</v>
      </c>
      <c r="I10" s="13"/>
      <c r="J10" s="2"/>
      <c r="K10" s="7"/>
      <c r="L10" s="6"/>
      <c r="M10" s="6"/>
      <c r="N10" s="6"/>
    </row>
    <row r="11" spans="1:14" s="1" customFormat="1" ht="21" x14ac:dyDescent="0.6">
      <c r="A11" s="27" t="s">
        <v>11</v>
      </c>
      <c r="B11" s="69">
        <v>46164</v>
      </c>
      <c r="C11" s="29">
        <v>4000</v>
      </c>
      <c r="D11" s="30" t="s">
        <v>9</v>
      </c>
      <c r="E11" s="31" t="s">
        <v>9</v>
      </c>
      <c r="F11" s="87">
        <v>0.3</v>
      </c>
      <c r="G11" s="31">
        <f t="shared" si="0"/>
        <v>1200</v>
      </c>
      <c r="H11" s="40">
        <f t="shared" ref="H11:H17" si="1">G11*0.9</f>
        <v>1080</v>
      </c>
      <c r="I11" s="13"/>
      <c r="J11" s="2"/>
      <c r="K11" s="7"/>
      <c r="L11" s="6"/>
      <c r="M11" s="6"/>
      <c r="N11" s="6"/>
    </row>
    <row r="12" spans="1:14" s="1" customFormat="1" ht="21" x14ac:dyDescent="0.6">
      <c r="A12" s="27" t="s">
        <v>62</v>
      </c>
      <c r="B12" s="69">
        <v>46164</v>
      </c>
      <c r="C12" s="29">
        <v>10000</v>
      </c>
      <c r="D12" s="30" t="s">
        <v>9</v>
      </c>
      <c r="E12" s="31" t="s">
        <v>9</v>
      </c>
      <c r="F12" s="85">
        <v>0.25</v>
      </c>
      <c r="G12" s="31">
        <f t="shared" si="0"/>
        <v>2500</v>
      </c>
      <c r="H12" s="40">
        <f t="shared" si="1"/>
        <v>2250</v>
      </c>
      <c r="I12" s="13"/>
      <c r="J12" s="17"/>
      <c r="K12" s="7"/>
      <c r="L12" s="6"/>
      <c r="M12" s="6"/>
      <c r="N12" s="6"/>
    </row>
    <row r="13" spans="1:14" s="1" customFormat="1" ht="21" x14ac:dyDescent="0.6">
      <c r="A13" s="27" t="s">
        <v>40</v>
      </c>
      <c r="B13" s="69">
        <v>46164</v>
      </c>
      <c r="C13" s="29">
        <v>7200</v>
      </c>
      <c r="D13" s="30" t="s">
        <v>9</v>
      </c>
      <c r="E13" s="31" t="s">
        <v>9</v>
      </c>
      <c r="F13" s="85">
        <v>0.17499999999999999</v>
      </c>
      <c r="G13" s="31">
        <f t="shared" si="0"/>
        <v>1260</v>
      </c>
      <c r="H13" s="40">
        <f t="shared" si="1"/>
        <v>1134</v>
      </c>
      <c r="I13" s="13"/>
      <c r="J13" s="2"/>
      <c r="K13" s="7"/>
      <c r="L13" s="6"/>
      <c r="M13" s="6"/>
      <c r="N13" s="6"/>
    </row>
    <row r="14" spans="1:14" s="1" customFormat="1" ht="21" x14ac:dyDescent="0.6">
      <c r="A14" s="27" t="s">
        <v>44</v>
      </c>
      <c r="B14" s="69">
        <v>46167</v>
      </c>
      <c r="C14" s="29">
        <v>105000</v>
      </c>
      <c r="D14" s="30" t="s">
        <v>9</v>
      </c>
      <c r="E14" s="31" t="s">
        <v>9</v>
      </c>
      <c r="F14" s="87">
        <v>0.138295</v>
      </c>
      <c r="G14" s="31">
        <v>14520.98</v>
      </c>
      <c r="H14" s="40">
        <f t="shared" si="1"/>
        <v>13068.882</v>
      </c>
      <c r="I14" s="13"/>
      <c r="J14" s="2"/>
      <c r="K14" s="7"/>
      <c r="L14" s="6"/>
      <c r="M14" s="6"/>
      <c r="N14" s="6"/>
    </row>
    <row r="15" spans="1:14" s="1" customFormat="1" ht="21" x14ac:dyDescent="0.6">
      <c r="A15" s="27" t="s">
        <v>45</v>
      </c>
      <c r="B15" s="69">
        <v>46168</v>
      </c>
      <c r="C15" s="29">
        <v>1000</v>
      </c>
      <c r="D15" s="30" t="s">
        <v>9</v>
      </c>
      <c r="E15" s="31" t="s">
        <v>9</v>
      </c>
      <c r="F15" s="87">
        <v>0.39</v>
      </c>
      <c r="G15" s="31">
        <f>C15*F15</f>
        <v>390</v>
      </c>
      <c r="H15" s="40">
        <f t="shared" si="1"/>
        <v>351</v>
      </c>
      <c r="I15" s="13"/>
      <c r="J15" s="2"/>
      <c r="K15" s="7"/>
      <c r="L15" s="6"/>
      <c r="M15" s="6"/>
      <c r="N15" s="6"/>
    </row>
    <row r="16" spans="1:14" s="1" customFormat="1" ht="21" x14ac:dyDescent="0.6">
      <c r="A16" s="27" t="s">
        <v>43</v>
      </c>
      <c r="B16" s="69">
        <v>46170</v>
      </c>
      <c r="C16" s="29">
        <v>9000</v>
      </c>
      <c r="D16" s="30" t="s">
        <v>9</v>
      </c>
      <c r="E16" s="31" t="s">
        <v>9</v>
      </c>
      <c r="F16" s="87">
        <v>0.08</v>
      </c>
      <c r="G16" s="31">
        <f>C16*F16</f>
        <v>720</v>
      </c>
      <c r="H16" s="40">
        <f t="shared" si="1"/>
        <v>648</v>
      </c>
      <c r="I16" s="13"/>
      <c r="J16" s="17"/>
      <c r="K16" s="7"/>
      <c r="L16" s="6"/>
      <c r="M16" s="6"/>
      <c r="N16" s="6"/>
    </row>
    <row r="17" spans="1:14" s="1" customFormat="1" ht="21" x14ac:dyDescent="0.6">
      <c r="A17" s="27" t="s">
        <v>41</v>
      </c>
      <c r="B17" s="69">
        <v>46170</v>
      </c>
      <c r="C17" s="29">
        <v>50000</v>
      </c>
      <c r="D17" s="30" t="s">
        <v>9</v>
      </c>
      <c r="E17" s="31" t="s">
        <v>9</v>
      </c>
      <c r="F17" s="85">
        <v>4.9000000000000002E-2</v>
      </c>
      <c r="G17" s="31">
        <f>C17*F17</f>
        <v>2450</v>
      </c>
      <c r="H17" s="40">
        <f t="shared" si="1"/>
        <v>2205</v>
      </c>
      <c r="I17" s="13"/>
      <c r="J17" s="17"/>
      <c r="K17" s="7"/>
      <c r="L17" s="6"/>
      <c r="M17" s="6"/>
      <c r="N17" s="6"/>
    </row>
    <row r="18" spans="1:14" s="1" customFormat="1" ht="21" x14ac:dyDescent="0.6">
      <c r="A18" s="27"/>
      <c r="B18" s="70"/>
      <c r="C18" s="29"/>
      <c r="D18" s="30"/>
      <c r="E18" s="31"/>
      <c r="F18" s="85"/>
      <c r="G18" s="31"/>
      <c r="H18" s="34">
        <f>SUM(H2:H17)</f>
        <v>137198.682</v>
      </c>
      <c r="I18" s="13"/>
      <c r="J18" s="19"/>
      <c r="K18" s="7"/>
      <c r="L18" s="6"/>
      <c r="M18" s="6"/>
      <c r="N18" s="6"/>
    </row>
    <row r="19" spans="1:14" s="1" customFormat="1" ht="21" x14ac:dyDescent="0.6">
      <c r="A19" s="27" t="s">
        <v>32</v>
      </c>
      <c r="B19" s="70">
        <v>46153</v>
      </c>
      <c r="C19" s="29">
        <v>5000</v>
      </c>
      <c r="D19" s="30">
        <v>8</v>
      </c>
      <c r="E19" s="31">
        <v>40088.6</v>
      </c>
      <c r="F19" s="85">
        <v>7.8</v>
      </c>
      <c r="G19" s="31">
        <v>38913.620000000003</v>
      </c>
      <c r="H19" s="32">
        <f>G19-E19</f>
        <v>-1174.9799999999959</v>
      </c>
      <c r="I19" s="13"/>
      <c r="J19" s="7"/>
      <c r="K19" s="7"/>
      <c r="L19" s="15"/>
      <c r="M19" s="15"/>
      <c r="N19" s="6"/>
    </row>
    <row r="20" spans="1:14" s="1" customFormat="1" ht="21" x14ac:dyDescent="0.6">
      <c r="A20" s="26"/>
      <c r="B20" s="70"/>
      <c r="C20" s="29"/>
      <c r="D20" s="33"/>
      <c r="E20" s="32">
        <f>SUM(E19:E19)</f>
        <v>40088.6</v>
      </c>
      <c r="F20" s="85"/>
      <c r="G20" s="32">
        <f>SUM(G19:G19)</f>
        <v>38913.620000000003</v>
      </c>
      <c r="H20" s="44">
        <f>SUM(H19:H19)</f>
        <v>-1174.9799999999959</v>
      </c>
      <c r="I20" s="13"/>
      <c r="J20" s="7"/>
      <c r="K20" s="7"/>
      <c r="L20" s="15"/>
      <c r="M20" s="15"/>
      <c r="N20" s="6"/>
    </row>
    <row r="21" spans="1:14" s="1" customFormat="1" ht="21" x14ac:dyDescent="0.6">
      <c r="A21" s="26"/>
      <c r="B21" s="70"/>
      <c r="C21" s="29"/>
      <c r="D21" s="33"/>
      <c r="E21" s="32"/>
      <c r="F21" s="85"/>
      <c r="G21" s="32" t="s">
        <v>12</v>
      </c>
      <c r="H21" s="34">
        <f>H18+H20</f>
        <v>136023.70199999999</v>
      </c>
      <c r="I21" s="13" t="s">
        <v>12</v>
      </c>
      <c r="J21" s="7">
        <v>12172.5</v>
      </c>
      <c r="K21" s="7"/>
      <c r="L21" s="15"/>
      <c r="M21" s="15"/>
      <c r="N21" s="6"/>
    </row>
    <row r="22" spans="1:14" s="1" customFormat="1" ht="21" x14ac:dyDescent="0.6">
      <c r="A22" s="26"/>
      <c r="B22" s="70"/>
      <c r="C22" s="29"/>
      <c r="D22" s="33"/>
      <c r="E22" s="32"/>
      <c r="F22" s="85"/>
      <c r="G22" s="32" t="s">
        <v>16</v>
      </c>
      <c r="H22" s="7">
        <v>-242360.16599999997</v>
      </c>
      <c r="I22" s="13" t="s">
        <v>16</v>
      </c>
      <c r="J22" s="7">
        <v>-254532.66599999997</v>
      </c>
      <c r="K22" s="7"/>
      <c r="L22" s="15"/>
      <c r="M22" s="15"/>
      <c r="N22" s="6"/>
    </row>
    <row r="23" spans="1:14" s="1" customFormat="1" ht="21" x14ac:dyDescent="0.6">
      <c r="A23" s="26"/>
      <c r="B23" s="70"/>
      <c r="C23" s="29"/>
      <c r="D23" s="33"/>
      <c r="E23" s="32"/>
      <c r="F23" s="85"/>
      <c r="G23" s="32" t="s">
        <v>28</v>
      </c>
      <c r="H23" s="34">
        <f>H21+H22</f>
        <v>-106336.46399999998</v>
      </c>
      <c r="I23" s="13" t="s">
        <v>28</v>
      </c>
      <c r="J23" s="7">
        <v>-242360.16599999997</v>
      </c>
      <c r="K23" s="7"/>
      <c r="L23" s="15"/>
      <c r="M23" s="15"/>
      <c r="N23" s="6"/>
    </row>
    <row r="24" spans="1:14" s="1" customFormat="1" ht="21" x14ac:dyDescent="0.6">
      <c r="A24" s="26"/>
      <c r="B24" s="70"/>
      <c r="C24" s="29"/>
      <c r="D24" s="33"/>
      <c r="E24" s="32"/>
      <c r="F24" s="85"/>
      <c r="G24" s="32" t="s">
        <v>13</v>
      </c>
      <c r="H24" s="7">
        <v>127030</v>
      </c>
      <c r="I24" s="13" t="s">
        <v>13</v>
      </c>
      <c r="J24" s="7">
        <v>98170</v>
      </c>
      <c r="K24" s="7"/>
      <c r="L24" s="15"/>
      <c r="M24" s="15"/>
      <c r="N24" s="6"/>
    </row>
    <row r="25" spans="1:14" s="1" customFormat="1" ht="21" x14ac:dyDescent="0.6">
      <c r="A25" s="26"/>
      <c r="B25" s="70"/>
      <c r="C25" s="29"/>
      <c r="D25" s="33"/>
      <c r="E25" s="32"/>
      <c r="F25" s="85"/>
      <c r="G25" s="32" t="s">
        <v>46</v>
      </c>
      <c r="H25" s="35">
        <v>42590</v>
      </c>
      <c r="I25" s="13" t="s">
        <v>29</v>
      </c>
      <c r="J25" s="7">
        <v>28860</v>
      </c>
      <c r="K25" s="7"/>
      <c r="L25" s="15"/>
      <c r="M25" s="15"/>
      <c r="N25" s="6"/>
    </row>
    <row r="26" spans="1:14" s="1" customFormat="1" ht="21" x14ac:dyDescent="0.6">
      <c r="A26" s="26"/>
      <c r="B26" s="70"/>
      <c r="C26" s="29"/>
      <c r="D26" s="33"/>
      <c r="E26" s="32"/>
      <c r="F26" s="85"/>
      <c r="G26" s="32" t="s">
        <v>14</v>
      </c>
      <c r="H26" s="41">
        <f>H24+H25</f>
        <v>169620</v>
      </c>
      <c r="I26" s="13" t="s">
        <v>14</v>
      </c>
      <c r="J26" s="7">
        <v>127030</v>
      </c>
      <c r="K26" s="7"/>
      <c r="L26" s="15"/>
      <c r="M26" s="15"/>
      <c r="N26" s="6"/>
    </row>
    <row r="27" spans="1:14" s="1" customFormat="1" ht="21" x14ac:dyDescent="0.6">
      <c r="A27" s="5"/>
      <c r="B27" s="71"/>
      <c r="C27" s="8"/>
      <c r="D27" s="9"/>
      <c r="E27" s="7"/>
      <c r="F27" s="88"/>
      <c r="G27" s="32" t="s">
        <v>15</v>
      </c>
      <c r="H27" s="46">
        <f>H23-H26</f>
        <v>-275956.46399999998</v>
      </c>
      <c r="I27" s="13" t="s">
        <v>15</v>
      </c>
      <c r="J27" s="7">
        <v>-369390.16599999997</v>
      </c>
      <c r="K27" s="7"/>
      <c r="L27" s="15"/>
      <c r="M27" s="15"/>
      <c r="N27" s="6"/>
    </row>
    <row r="28" spans="1:14" s="1" customFormat="1" ht="21" x14ac:dyDescent="0.6">
      <c r="A28" s="5"/>
      <c r="B28" s="71"/>
      <c r="C28" s="8"/>
      <c r="D28" s="9"/>
      <c r="E28" s="7"/>
      <c r="F28" s="88"/>
      <c r="G28" s="38" t="s">
        <v>30</v>
      </c>
      <c r="H28" s="38">
        <v>60000</v>
      </c>
      <c r="I28" s="13" t="s">
        <v>30</v>
      </c>
      <c r="J28" s="7">
        <v>60000</v>
      </c>
      <c r="K28" s="7"/>
      <c r="L28" s="15"/>
      <c r="M28" s="15"/>
      <c r="N28" s="6"/>
    </row>
    <row r="29" spans="1:14" s="1" customFormat="1" ht="21" x14ac:dyDescent="0.6">
      <c r="A29" s="6"/>
      <c r="B29" s="71"/>
      <c r="C29" s="8"/>
      <c r="D29" s="10"/>
      <c r="E29" s="14"/>
      <c r="F29" s="88"/>
      <c r="G29" s="38" t="s">
        <v>31</v>
      </c>
      <c r="H29" s="39">
        <f>H27+H28</f>
        <v>-215956.46399999998</v>
      </c>
      <c r="I29" s="13" t="s">
        <v>31</v>
      </c>
      <c r="J29" s="7">
        <v>-309390.16599999997</v>
      </c>
      <c r="K29" s="7"/>
      <c r="L29" s="15"/>
      <c r="M29" s="15"/>
      <c r="N29" s="7"/>
    </row>
    <row r="30" spans="1:14" x14ac:dyDescent="0.3">
      <c r="G30" s="32" t="s">
        <v>63</v>
      </c>
      <c r="H30" s="7">
        <v>84048.91399999999</v>
      </c>
      <c r="I30" s="13" t="s">
        <v>63</v>
      </c>
      <c r="J30" s="7">
        <v>71876.41399999999</v>
      </c>
      <c r="K30" s="7"/>
      <c r="N30" s="13"/>
    </row>
    <row r="31" spans="1:14" ht="15.6" customHeight="1" x14ac:dyDescent="0.3">
      <c r="G31" s="32" t="s">
        <v>64</v>
      </c>
      <c r="H31" s="32">
        <f>H30+H18</f>
        <v>221247.59599999999</v>
      </c>
      <c r="I31" s="13" t="s">
        <v>64</v>
      </c>
      <c r="J31" s="7">
        <v>84048.91399999999</v>
      </c>
      <c r="K31" s="7"/>
    </row>
    <row r="32" spans="1:14" x14ac:dyDescent="0.3">
      <c r="G32" s="32" t="s">
        <v>65</v>
      </c>
      <c r="H32" s="32">
        <f>H31-H26</f>
        <v>51627.59599999999</v>
      </c>
      <c r="I32" s="13" t="s">
        <v>65</v>
      </c>
      <c r="J32" s="7">
        <v>-42981.08600000001</v>
      </c>
      <c r="K32" s="7"/>
      <c r="M32" s="7"/>
    </row>
    <row r="33" spans="11:13" x14ac:dyDescent="0.3">
      <c r="M33" s="7"/>
    </row>
    <row r="34" spans="11:13" x14ac:dyDescent="0.3">
      <c r="M34" s="7"/>
    </row>
    <row r="35" spans="11:13" x14ac:dyDescent="0.3">
      <c r="K35" s="7"/>
    </row>
  </sheetData>
  <sheetProtection selectLockedCells="1" selectUnlockedCells="1"/>
  <sortState xmlns:xlrd2="http://schemas.microsoft.com/office/spreadsheetml/2017/richdata2" ref="A2:H17">
    <sortCondition ref="B2:B17"/>
    <sortCondition ref="A2:A17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C5F2-0211-490B-8DD7-A2B28B5D4706}">
  <dimension ref="A1:L21"/>
  <sheetViews>
    <sheetView workbookViewId="0">
      <pane ySplit="1" topLeftCell="A2" activePane="bottomLeft" state="frozen"/>
      <selection pane="bottomLeft" activeCell="G7" sqref="G7:H18"/>
    </sheetView>
  </sheetViews>
  <sheetFormatPr defaultColWidth="8.625" defaultRowHeight="13.8" x14ac:dyDescent="0.3"/>
  <cols>
    <col min="1" max="1" width="10.875" style="5" bestFit="1" customWidth="1"/>
    <col min="2" max="2" width="12.625" style="12" bestFit="1" customWidth="1"/>
    <col min="3" max="3" width="9.25" style="8" bestFit="1" customWidth="1"/>
    <col min="4" max="4" width="7.25" style="9" customWidth="1"/>
    <col min="5" max="5" width="12.75" style="7" bestFit="1" customWidth="1"/>
    <col min="6" max="6" width="9.25" style="10" bestFit="1" customWidth="1"/>
    <col min="7" max="7" width="18.625" style="7" bestFit="1" customWidth="1"/>
    <col min="8" max="8" width="14.5" style="7" bestFit="1" customWidth="1"/>
    <col min="9" max="9" width="17.75" style="7" bestFit="1" customWidth="1"/>
    <col min="10" max="10" width="14.5" style="6" bestFit="1" customWidth="1"/>
    <col min="11" max="11" width="10.625" style="6" bestFit="1" customWidth="1"/>
    <col min="12" max="12" width="21.25" style="6" bestFit="1" customWidth="1"/>
    <col min="13" max="16384" width="8.625" style="6"/>
  </cols>
  <sheetData>
    <row r="1" spans="1:12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</row>
    <row r="2" spans="1:12" s="1" customFormat="1" ht="21" x14ac:dyDescent="0.6">
      <c r="A2" s="27" t="s">
        <v>25</v>
      </c>
      <c r="B2" s="28">
        <v>46136</v>
      </c>
      <c r="C2" s="29">
        <v>6000</v>
      </c>
      <c r="D2" s="30" t="s">
        <v>9</v>
      </c>
      <c r="E2" s="31" t="s">
        <v>9</v>
      </c>
      <c r="F2" s="37">
        <v>0.5</v>
      </c>
      <c r="G2" s="31">
        <f>C2*F2</f>
        <v>3000</v>
      </c>
      <c r="H2" s="32">
        <f>G2*0.9</f>
        <v>2700</v>
      </c>
      <c r="I2" s="17"/>
      <c r="J2" s="7"/>
      <c r="K2" s="6"/>
      <c r="L2" s="6"/>
    </row>
    <row r="3" spans="1:12" s="1" customFormat="1" ht="21" x14ac:dyDescent="0.6">
      <c r="A3" s="27" t="s">
        <v>66</v>
      </c>
      <c r="B3" s="28">
        <v>46140</v>
      </c>
      <c r="C3" s="29">
        <v>7500</v>
      </c>
      <c r="D3" s="30" t="s">
        <v>9</v>
      </c>
      <c r="E3" s="31" t="s">
        <v>9</v>
      </c>
      <c r="F3" s="37">
        <v>1.4</v>
      </c>
      <c r="G3" s="31">
        <f>C3*F3</f>
        <v>10500</v>
      </c>
      <c r="H3" s="32">
        <v>9472.5</v>
      </c>
      <c r="I3" s="17"/>
      <c r="J3" s="7"/>
      <c r="K3" s="6"/>
      <c r="L3" s="6"/>
    </row>
    <row r="4" spans="1:12" s="1" customFormat="1" ht="21" x14ac:dyDescent="0.6">
      <c r="A4" s="27"/>
      <c r="B4" s="28"/>
      <c r="C4" s="29"/>
      <c r="D4" s="30"/>
      <c r="E4" s="31"/>
      <c r="F4" s="30"/>
      <c r="G4" s="31"/>
      <c r="H4" s="34">
        <f>SUM(H2:H3)</f>
        <v>12172.5</v>
      </c>
      <c r="I4" s="19"/>
      <c r="J4" s="7"/>
      <c r="K4" s="6"/>
      <c r="L4" s="6"/>
    </row>
    <row r="5" spans="1:12" s="1" customFormat="1" ht="21" x14ac:dyDescent="0.6">
      <c r="A5" s="27" t="s">
        <v>67</v>
      </c>
      <c r="B5" s="28">
        <v>45757</v>
      </c>
      <c r="C5" s="29">
        <v>0</v>
      </c>
      <c r="D5" s="30">
        <v>61.5</v>
      </c>
      <c r="E5" s="31">
        <v>61636.22</v>
      </c>
      <c r="F5" s="30">
        <v>16.600000000000001</v>
      </c>
      <c r="G5" s="31">
        <v>16563.23</v>
      </c>
      <c r="H5" s="49">
        <v>0</v>
      </c>
      <c r="I5" s="7"/>
      <c r="J5" s="7"/>
      <c r="K5" s="15"/>
      <c r="L5" s="6"/>
    </row>
    <row r="6" spans="1:12" s="1" customFormat="1" ht="21" x14ac:dyDescent="0.6">
      <c r="A6" s="26"/>
      <c r="B6" s="28"/>
      <c r="C6" s="29"/>
      <c r="D6" s="33"/>
      <c r="E6" s="32">
        <f>SUM(E5:E5)</f>
        <v>61636.22</v>
      </c>
      <c r="F6" s="30"/>
      <c r="G6" s="32">
        <f>SUM(G5:G5)</f>
        <v>16563.23</v>
      </c>
      <c r="H6" s="34">
        <f>SUM(H5:H5)</f>
        <v>0</v>
      </c>
      <c r="I6" s="7"/>
      <c r="J6" s="7"/>
      <c r="K6" s="15"/>
      <c r="L6" s="6"/>
    </row>
    <row r="7" spans="1:12" s="1" customFormat="1" ht="21" x14ac:dyDescent="0.6">
      <c r="A7" s="26"/>
      <c r="B7" s="28"/>
      <c r="C7" s="29"/>
      <c r="D7" s="33"/>
      <c r="E7" s="32"/>
      <c r="F7" s="30"/>
      <c r="G7" s="32" t="s">
        <v>12</v>
      </c>
      <c r="H7" s="34">
        <f>H4+H6</f>
        <v>12172.5</v>
      </c>
      <c r="I7" s="32" t="s">
        <v>12</v>
      </c>
      <c r="J7" s="34">
        <v>-243272.66599999997</v>
      </c>
      <c r="K7" s="15"/>
      <c r="L7" s="6"/>
    </row>
    <row r="8" spans="1:12" s="1" customFormat="1" ht="21" x14ac:dyDescent="0.6">
      <c r="A8" s="26"/>
      <c r="B8" s="28"/>
      <c r="C8" s="29"/>
      <c r="D8" s="33"/>
      <c r="E8" s="32"/>
      <c r="F8" s="30"/>
      <c r="G8" s="32" t="s">
        <v>16</v>
      </c>
      <c r="H8" s="7">
        <v>-254532.66599999997</v>
      </c>
      <c r="I8" s="32" t="s">
        <v>16</v>
      </c>
      <c r="J8" s="32">
        <v>-11260</v>
      </c>
      <c r="K8" s="15"/>
      <c r="L8" s="6"/>
    </row>
    <row r="9" spans="1:12" s="1" customFormat="1" ht="21" x14ac:dyDescent="0.6">
      <c r="A9" s="26"/>
      <c r="B9" s="28"/>
      <c r="C9" s="29"/>
      <c r="D9" s="33"/>
      <c r="E9" s="32"/>
      <c r="F9" s="30"/>
      <c r="G9" s="32" t="s">
        <v>28</v>
      </c>
      <c r="H9" s="34">
        <f>H7+H8</f>
        <v>-242360.16599999997</v>
      </c>
      <c r="I9" s="60" t="s">
        <v>28</v>
      </c>
      <c r="J9" s="41">
        <v>-254532.66599999997</v>
      </c>
      <c r="K9" s="15"/>
      <c r="L9" s="6"/>
    </row>
    <row r="10" spans="1:12" s="1" customFormat="1" ht="21" x14ac:dyDescent="0.6">
      <c r="A10" s="26"/>
      <c r="B10" s="28"/>
      <c r="C10" s="29"/>
      <c r="D10" s="33"/>
      <c r="E10" s="32"/>
      <c r="F10" s="30"/>
      <c r="G10" s="32" t="s">
        <v>13</v>
      </c>
      <c r="H10" s="7">
        <v>98170</v>
      </c>
      <c r="I10" s="32" t="s">
        <v>13</v>
      </c>
      <c r="J10" s="35">
        <v>71260</v>
      </c>
      <c r="K10" s="15"/>
      <c r="L10" s="6"/>
    </row>
    <row r="11" spans="1:12" s="1" customFormat="1" ht="21" x14ac:dyDescent="0.6">
      <c r="A11" s="26"/>
      <c r="B11" s="28"/>
      <c r="C11" s="29"/>
      <c r="D11" s="33"/>
      <c r="E11" s="32"/>
      <c r="F11" s="30"/>
      <c r="G11" s="32" t="s">
        <v>29</v>
      </c>
      <c r="H11" s="35">
        <v>28860</v>
      </c>
      <c r="I11" s="32" t="s">
        <v>24</v>
      </c>
      <c r="J11" s="35">
        <v>26910</v>
      </c>
      <c r="K11" s="15"/>
      <c r="L11" s="6"/>
    </row>
    <row r="12" spans="1:12" s="1" customFormat="1" ht="21" x14ac:dyDescent="0.6">
      <c r="A12" s="26"/>
      <c r="B12" s="28"/>
      <c r="C12" s="29"/>
      <c r="D12" s="33"/>
      <c r="E12" s="32"/>
      <c r="F12" s="30"/>
      <c r="G12" s="32" t="s">
        <v>14</v>
      </c>
      <c r="H12" s="34">
        <f>H10+H11</f>
        <v>127030</v>
      </c>
      <c r="I12" s="32" t="s">
        <v>14</v>
      </c>
      <c r="J12" s="41">
        <v>98170</v>
      </c>
      <c r="K12" s="15"/>
      <c r="L12" s="6"/>
    </row>
    <row r="13" spans="1:12" s="1" customFormat="1" ht="21" x14ac:dyDescent="0.6">
      <c r="A13" s="5"/>
      <c r="B13" s="12"/>
      <c r="C13" s="8"/>
      <c r="D13" s="9"/>
      <c r="E13" s="7"/>
      <c r="F13" s="10"/>
      <c r="G13" s="32" t="s">
        <v>15</v>
      </c>
      <c r="H13" s="45">
        <f>H9-H12</f>
        <v>-369390.16599999997</v>
      </c>
      <c r="I13" s="32" t="s">
        <v>15</v>
      </c>
      <c r="J13" s="45">
        <v>-352702.66599999997</v>
      </c>
      <c r="K13" s="15"/>
      <c r="L13" s="6"/>
    </row>
    <row r="14" spans="1:12" s="1" customFormat="1" ht="21" x14ac:dyDescent="0.6">
      <c r="A14" s="5"/>
      <c r="B14" s="12"/>
      <c r="C14" s="8"/>
      <c r="D14" s="9"/>
      <c r="E14" s="7"/>
      <c r="F14" s="10"/>
      <c r="G14" s="38" t="s">
        <v>30</v>
      </c>
      <c r="H14" s="38">
        <v>60000</v>
      </c>
      <c r="I14" s="60" t="s">
        <v>30</v>
      </c>
      <c r="J14" s="92">
        <v>60000</v>
      </c>
      <c r="K14" s="15"/>
      <c r="L14" s="6"/>
    </row>
    <row r="15" spans="1:12" s="1" customFormat="1" ht="21" x14ac:dyDescent="0.6">
      <c r="A15" s="6"/>
      <c r="B15" s="12"/>
      <c r="C15" s="8"/>
      <c r="D15" s="10"/>
      <c r="E15" s="14"/>
      <c r="F15" s="10"/>
      <c r="G15" s="38" t="s">
        <v>31</v>
      </c>
      <c r="H15" s="39">
        <f>H13+H14</f>
        <v>-309390.16599999997</v>
      </c>
      <c r="I15" s="60" t="s">
        <v>31</v>
      </c>
      <c r="J15" s="41">
        <v>-292702.66599999997</v>
      </c>
      <c r="K15" s="15"/>
      <c r="L15" s="7"/>
    </row>
    <row r="16" spans="1:12" ht="15.6" x14ac:dyDescent="0.3">
      <c r="G16" s="32" t="s">
        <v>63</v>
      </c>
      <c r="H16" s="32">
        <v>71876.41399999999</v>
      </c>
      <c r="I16" s="7" t="s">
        <v>63</v>
      </c>
      <c r="J16" s="7">
        <v>0</v>
      </c>
      <c r="L16" s="13"/>
    </row>
    <row r="17" spans="7:11" ht="15.6" customHeight="1" x14ac:dyDescent="0.3">
      <c r="G17" s="32" t="s">
        <v>64</v>
      </c>
      <c r="H17" s="32">
        <f>H16+H4</f>
        <v>84048.91399999999</v>
      </c>
      <c r="I17" s="7" t="s">
        <v>64</v>
      </c>
      <c r="J17" s="7">
        <v>71876.41399999999</v>
      </c>
    </row>
    <row r="18" spans="7:11" ht="15.6" x14ac:dyDescent="0.3">
      <c r="G18" s="32" t="s">
        <v>65</v>
      </c>
      <c r="H18" s="32">
        <f>H17-H12</f>
        <v>-42981.08600000001</v>
      </c>
      <c r="I18" s="7" t="s">
        <v>65</v>
      </c>
      <c r="J18" s="7">
        <v>-26293.58600000001</v>
      </c>
      <c r="K18" s="7"/>
    </row>
    <row r="19" spans="7:11" x14ac:dyDescent="0.3">
      <c r="K19" s="7"/>
    </row>
    <row r="20" spans="7:11" x14ac:dyDescent="0.3">
      <c r="K20" s="7"/>
    </row>
    <row r="21" spans="7:11" x14ac:dyDescent="0.3">
      <c r="J21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9199-1687-4EE7-A0F3-54DE6332B9D4}">
  <dimension ref="A1:N26"/>
  <sheetViews>
    <sheetView topLeftCell="A5" workbookViewId="0">
      <selection activeCell="G15" sqref="G15:H26"/>
    </sheetView>
  </sheetViews>
  <sheetFormatPr defaultColWidth="8.625" defaultRowHeight="13.8" x14ac:dyDescent="0.3"/>
  <cols>
    <col min="1" max="1" width="9.875" style="5" bestFit="1" customWidth="1"/>
    <col min="2" max="2" width="14.625" style="12" customWidth="1"/>
    <col min="3" max="3" width="9.25" style="8" bestFit="1" customWidth="1"/>
    <col min="4" max="4" width="8" style="9" bestFit="1" customWidth="1"/>
    <col min="5" max="5" width="14.75" style="7" customWidth="1"/>
    <col min="6" max="6" width="13" style="88" bestFit="1" customWidth="1"/>
    <col min="7" max="7" width="17.75" style="7" bestFit="1" customWidth="1"/>
    <col min="8" max="8" width="14.5" style="7" bestFit="1" customWidth="1"/>
    <col min="9" max="9" width="17.75" style="11" bestFit="1" customWidth="1"/>
    <col min="10" max="10" width="14.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10.625" style="6" bestFit="1" customWidth="1"/>
    <col min="15" max="15" width="10" style="6" bestFit="1" customWidth="1"/>
    <col min="16" max="16384" width="8.625" style="6"/>
  </cols>
  <sheetData>
    <row r="1" spans="1:14" s="1" customFormat="1" ht="15" customHeight="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84" t="s">
        <v>5</v>
      </c>
      <c r="G1" s="24" t="s">
        <v>6</v>
      </c>
      <c r="H1" s="26" t="s">
        <v>7</v>
      </c>
      <c r="I1" s="90"/>
      <c r="J1" s="90"/>
      <c r="K1" s="5"/>
    </row>
    <row r="2" spans="1:14" s="1" customFormat="1" ht="19.95" customHeight="1" x14ac:dyDescent="0.6">
      <c r="A2" s="27" t="s">
        <v>51</v>
      </c>
      <c r="B2" s="28">
        <v>46085</v>
      </c>
      <c r="C2" s="29">
        <v>120000</v>
      </c>
      <c r="D2" s="30" t="s">
        <v>9</v>
      </c>
      <c r="E2" s="31" t="s">
        <v>9</v>
      </c>
      <c r="F2" s="87">
        <v>0.22412299999999999</v>
      </c>
      <c r="G2" s="31">
        <f t="shared" ref="G2:G8" si="0">C2*F2</f>
        <v>26894.76</v>
      </c>
      <c r="H2" s="32">
        <f>G2*0.9</f>
        <v>24205.284</v>
      </c>
      <c r="I2" s="35"/>
      <c r="J2" s="35"/>
      <c r="K2" s="6"/>
    </row>
    <row r="3" spans="1:14" s="1" customFormat="1" ht="19.95" customHeight="1" x14ac:dyDescent="0.6">
      <c r="A3" s="27" t="s">
        <v>18</v>
      </c>
      <c r="B3" s="28">
        <v>46090</v>
      </c>
      <c r="C3" s="29">
        <v>45000</v>
      </c>
      <c r="D3" s="30" t="s">
        <v>9</v>
      </c>
      <c r="E3" s="31" t="s">
        <v>9</v>
      </c>
      <c r="F3" s="85">
        <v>0.22220000000000001</v>
      </c>
      <c r="G3" s="31">
        <f t="shared" ref="G3" si="1">C3*F3</f>
        <v>9999</v>
      </c>
      <c r="H3" s="32">
        <f>G3*0.9</f>
        <v>8999.1</v>
      </c>
      <c r="I3" s="35"/>
      <c r="J3" s="35"/>
      <c r="K3" s="6"/>
    </row>
    <row r="4" spans="1:14" s="1" customFormat="1" ht="19.95" customHeight="1" x14ac:dyDescent="0.6">
      <c r="A4" s="27" t="s">
        <v>19</v>
      </c>
      <c r="B4" s="28">
        <v>46093</v>
      </c>
      <c r="C4" s="29">
        <v>69000</v>
      </c>
      <c r="D4" s="30" t="s">
        <v>9</v>
      </c>
      <c r="E4" s="31" t="s">
        <v>9</v>
      </c>
      <c r="F4" s="86">
        <v>0.17829999999999999</v>
      </c>
      <c r="G4" s="31">
        <f t="shared" si="0"/>
        <v>12302.699999999999</v>
      </c>
      <c r="H4" s="32">
        <f>G4*0.9</f>
        <v>11072.429999999998</v>
      </c>
      <c r="I4" s="35"/>
      <c r="J4" s="35"/>
      <c r="K4" s="6"/>
    </row>
    <row r="5" spans="1:14" s="1" customFormat="1" ht="19.95" customHeight="1" x14ac:dyDescent="0.6">
      <c r="A5" s="27" t="s">
        <v>8</v>
      </c>
      <c r="B5" s="28">
        <v>46099</v>
      </c>
      <c r="C5" s="29">
        <v>20000</v>
      </c>
      <c r="D5" s="30" t="s">
        <v>9</v>
      </c>
      <c r="E5" s="31" t="s">
        <v>9</v>
      </c>
      <c r="F5" s="87">
        <v>0.12189999999999999</v>
      </c>
      <c r="G5" s="31">
        <f t="shared" si="0"/>
        <v>2438</v>
      </c>
      <c r="H5" s="32">
        <f>G5*0.9</f>
        <v>2194.2000000000003</v>
      </c>
      <c r="I5" s="35"/>
      <c r="J5" s="35"/>
      <c r="K5" s="6"/>
    </row>
    <row r="6" spans="1:14" s="1" customFormat="1" ht="19.95" customHeight="1" x14ac:dyDescent="0.6">
      <c r="A6" s="27" t="s">
        <v>21</v>
      </c>
      <c r="B6" s="28">
        <v>46101</v>
      </c>
      <c r="C6" s="29">
        <v>20000</v>
      </c>
      <c r="D6" s="30" t="s">
        <v>9</v>
      </c>
      <c r="E6" s="31" t="s">
        <v>9</v>
      </c>
      <c r="F6" s="85">
        <v>0.1212</v>
      </c>
      <c r="G6" s="31">
        <f t="shared" si="0"/>
        <v>2424</v>
      </c>
      <c r="H6" s="32">
        <v>2181.6</v>
      </c>
      <c r="I6" s="35"/>
      <c r="J6" s="35"/>
      <c r="K6" s="6"/>
    </row>
    <row r="7" spans="1:14" s="1" customFormat="1" ht="19.95" customHeight="1" x14ac:dyDescent="0.6">
      <c r="A7" s="27" t="s">
        <v>21</v>
      </c>
      <c r="B7" s="28">
        <v>46101</v>
      </c>
      <c r="C7" s="29">
        <v>20000</v>
      </c>
      <c r="D7" s="30" t="s">
        <v>9</v>
      </c>
      <c r="E7" s="31" t="s">
        <v>9</v>
      </c>
      <c r="F7" s="85">
        <v>7.4800000000000005E-2</v>
      </c>
      <c r="G7" s="31">
        <f t="shared" ref="G7" si="2">C7*F7</f>
        <v>1496</v>
      </c>
      <c r="H7" s="32">
        <v>1496</v>
      </c>
      <c r="I7" s="35"/>
      <c r="J7" s="35"/>
      <c r="K7" s="6"/>
    </row>
    <row r="8" spans="1:14" s="1" customFormat="1" ht="19.95" customHeight="1" x14ac:dyDescent="0.6">
      <c r="A8" s="27" t="s">
        <v>23</v>
      </c>
      <c r="B8" s="28">
        <v>46108</v>
      </c>
      <c r="C8" s="29">
        <v>50000</v>
      </c>
      <c r="D8" s="30" t="s">
        <v>9</v>
      </c>
      <c r="E8" s="31" t="s">
        <v>9</v>
      </c>
      <c r="F8" s="86">
        <v>0.17549999999999999</v>
      </c>
      <c r="G8" s="31">
        <f t="shared" si="0"/>
        <v>8775</v>
      </c>
      <c r="H8" s="32">
        <f>G8*0.9</f>
        <v>7897.5</v>
      </c>
      <c r="I8" s="35"/>
      <c r="J8" s="35"/>
      <c r="K8" s="6"/>
    </row>
    <row r="9" spans="1:14" s="1" customFormat="1" ht="19.95" customHeight="1" x14ac:dyDescent="0.6">
      <c r="A9" s="27" t="s">
        <v>20</v>
      </c>
      <c r="B9" s="28">
        <v>46108</v>
      </c>
      <c r="C9" s="29">
        <v>55000</v>
      </c>
      <c r="D9" s="30" t="s">
        <v>9</v>
      </c>
      <c r="E9" s="31" t="s">
        <v>9</v>
      </c>
      <c r="F9" s="87">
        <v>0.27939999999999998</v>
      </c>
      <c r="G9" s="31">
        <f>C9*F9</f>
        <v>15366.999999999998</v>
      </c>
      <c r="H9" s="32">
        <f>G9*0.9</f>
        <v>13830.3</v>
      </c>
      <c r="I9" s="35"/>
      <c r="J9" s="35"/>
      <c r="K9" s="6"/>
    </row>
    <row r="10" spans="1:14" s="1" customFormat="1" ht="19.95" customHeight="1" x14ac:dyDescent="0.6">
      <c r="A10" s="27"/>
      <c r="B10" s="28"/>
      <c r="C10" s="29"/>
      <c r="D10" s="30"/>
      <c r="E10" s="31"/>
      <c r="F10" s="85"/>
      <c r="G10" s="31"/>
      <c r="H10" s="32">
        <f>SUM(H2:H9)</f>
        <v>71876.41399999999</v>
      </c>
      <c r="I10" s="35"/>
      <c r="J10" s="35"/>
      <c r="K10" s="6"/>
    </row>
    <row r="11" spans="1:14" s="1" customFormat="1" ht="21.75" customHeight="1" x14ac:dyDescent="0.6">
      <c r="A11" s="27" t="s">
        <v>22</v>
      </c>
      <c r="B11" s="28">
        <v>46085</v>
      </c>
      <c r="C11" s="29">
        <v>17500</v>
      </c>
      <c r="D11" s="30">
        <v>10.6</v>
      </c>
      <c r="E11" s="31">
        <v>185910.87</v>
      </c>
      <c r="F11" s="85">
        <v>11.1</v>
      </c>
      <c r="G11" s="31">
        <v>193819.75</v>
      </c>
      <c r="H11" s="40">
        <f>G11-E11</f>
        <v>7908.8800000000047</v>
      </c>
      <c r="I11" s="91"/>
      <c r="J11" s="32"/>
      <c r="K11" s="7"/>
      <c r="L11" s="15"/>
      <c r="M11" s="15"/>
      <c r="N11" s="6"/>
    </row>
    <row r="12" spans="1:14" s="1" customFormat="1" ht="21.75" customHeight="1" x14ac:dyDescent="0.6">
      <c r="A12" s="27" t="s">
        <v>36</v>
      </c>
      <c r="B12" s="28">
        <v>46085</v>
      </c>
      <c r="C12" s="29">
        <v>6800</v>
      </c>
      <c r="D12" s="30">
        <v>33</v>
      </c>
      <c r="E12" s="31">
        <v>224897.03</v>
      </c>
      <c r="F12" s="85">
        <v>6.25</v>
      </c>
      <c r="G12" s="31">
        <v>42405.86</v>
      </c>
      <c r="H12" s="40">
        <f>G12-E12</f>
        <v>-182491.16999999998</v>
      </c>
      <c r="I12" s="91"/>
      <c r="J12" s="32"/>
      <c r="K12" s="7"/>
      <c r="L12" s="15"/>
      <c r="M12" s="15"/>
      <c r="N12" s="6"/>
    </row>
    <row r="13" spans="1:14" s="1" customFormat="1" ht="21.75" customHeight="1" x14ac:dyDescent="0.6">
      <c r="A13" s="27" t="s">
        <v>49</v>
      </c>
      <c r="B13" s="28">
        <v>46090</v>
      </c>
      <c r="C13" s="29">
        <v>600</v>
      </c>
      <c r="D13" s="30">
        <v>405</v>
      </c>
      <c r="E13" s="31">
        <v>243538.22</v>
      </c>
      <c r="F13" s="85">
        <v>172</v>
      </c>
      <c r="G13" s="31">
        <v>102971.43</v>
      </c>
      <c r="H13" s="40">
        <f>G13-E13</f>
        <v>-140566.79</v>
      </c>
      <c r="I13" s="91"/>
      <c r="J13" s="32"/>
      <c r="K13" s="7"/>
      <c r="L13" s="15"/>
      <c r="M13" s="15"/>
      <c r="N13" s="6"/>
    </row>
    <row r="14" spans="1:14" ht="19.95" customHeight="1" x14ac:dyDescent="0.3">
      <c r="A14" s="26"/>
      <c r="B14" s="28"/>
      <c r="C14" s="29"/>
      <c r="D14" s="33"/>
      <c r="E14" s="32">
        <f>SUM(E11:E13)</f>
        <v>654346.12</v>
      </c>
      <c r="F14" s="85"/>
      <c r="G14" s="32">
        <f>SUM(G11:G13)</f>
        <v>339197.04</v>
      </c>
      <c r="H14" s="32">
        <f>SUM(H11:H13)</f>
        <v>-315149.07999999996</v>
      </c>
      <c r="I14" s="35"/>
      <c r="J14" s="35"/>
      <c r="K14" s="15"/>
      <c r="L14" s="6"/>
    </row>
    <row r="15" spans="1:14" ht="19.95" customHeight="1" x14ac:dyDescent="0.3">
      <c r="A15" s="26"/>
      <c r="B15" s="28"/>
      <c r="C15" s="29"/>
      <c r="D15" s="33"/>
      <c r="E15" s="32"/>
      <c r="F15" s="85"/>
      <c r="G15" s="32" t="s">
        <v>12</v>
      </c>
      <c r="H15" s="34">
        <f>H10+H14</f>
        <v>-243272.66599999997</v>
      </c>
      <c r="I15" s="91" t="s">
        <v>12</v>
      </c>
      <c r="J15" s="60">
        <v>0</v>
      </c>
    </row>
    <row r="16" spans="1:14" ht="19.95" customHeight="1" x14ac:dyDescent="0.3">
      <c r="A16" s="26"/>
      <c r="B16" s="28"/>
      <c r="C16" s="29"/>
      <c r="D16" s="33"/>
      <c r="E16" s="32"/>
      <c r="F16" s="85"/>
      <c r="G16" s="32" t="s">
        <v>16</v>
      </c>
      <c r="H16" s="32">
        <v>-11260</v>
      </c>
      <c r="I16" s="35" t="s">
        <v>16</v>
      </c>
      <c r="J16" s="60">
        <v>0</v>
      </c>
      <c r="L16" s="6"/>
    </row>
    <row r="17" spans="1:12" ht="19.95" customHeight="1" x14ac:dyDescent="0.3">
      <c r="A17" s="26"/>
      <c r="B17" s="28"/>
      <c r="C17" s="29"/>
      <c r="D17" s="33"/>
      <c r="E17" s="32"/>
      <c r="F17" s="85"/>
      <c r="G17" s="60" t="s">
        <v>28</v>
      </c>
      <c r="H17" s="41">
        <f>SUM(H15,H16)</f>
        <v>-254532.66599999997</v>
      </c>
      <c r="I17" s="35" t="s">
        <v>28</v>
      </c>
      <c r="J17" s="60">
        <v>0</v>
      </c>
      <c r="L17" s="66"/>
    </row>
    <row r="18" spans="1:12" ht="19.95" customHeight="1" x14ac:dyDescent="0.3">
      <c r="A18" s="26"/>
      <c r="B18" s="28"/>
      <c r="C18" s="29"/>
      <c r="D18" s="33"/>
      <c r="E18" s="32"/>
      <c r="F18" s="85"/>
      <c r="G18" s="32" t="s">
        <v>13</v>
      </c>
      <c r="H18" s="35">
        <v>71260</v>
      </c>
      <c r="I18" s="35" t="s">
        <v>13</v>
      </c>
      <c r="J18" s="60">
        <v>38040</v>
      </c>
      <c r="L18" s="66"/>
    </row>
    <row r="19" spans="1:12" ht="19.95" customHeight="1" x14ac:dyDescent="0.3">
      <c r="A19" s="26"/>
      <c r="B19" s="28"/>
      <c r="C19" s="29"/>
      <c r="D19" s="33"/>
      <c r="E19" s="32"/>
      <c r="F19" s="85"/>
      <c r="G19" s="32" t="s">
        <v>24</v>
      </c>
      <c r="H19" s="35">
        <v>26910</v>
      </c>
      <c r="I19" s="35" t="s">
        <v>17</v>
      </c>
      <c r="J19" s="60">
        <v>33220</v>
      </c>
      <c r="L19" s="66"/>
    </row>
    <row r="20" spans="1:12" ht="19.95" customHeight="1" x14ac:dyDescent="0.3">
      <c r="A20" s="26"/>
      <c r="B20" s="28"/>
      <c r="C20" s="29"/>
      <c r="D20" s="33"/>
      <c r="E20" s="32"/>
      <c r="F20" s="85"/>
      <c r="G20" s="32" t="s">
        <v>14</v>
      </c>
      <c r="H20" s="41">
        <f>H18+H19</f>
        <v>98170</v>
      </c>
      <c r="I20" s="35" t="s">
        <v>14</v>
      </c>
      <c r="J20" s="60">
        <v>71260</v>
      </c>
      <c r="L20" s="6"/>
    </row>
    <row r="21" spans="1:12" ht="19.95" customHeight="1" x14ac:dyDescent="0.3">
      <c r="A21" s="26"/>
      <c r="B21" s="28"/>
      <c r="C21" s="29"/>
      <c r="D21" s="33"/>
      <c r="E21" s="32"/>
      <c r="F21" s="85"/>
      <c r="G21" s="32" t="s">
        <v>15</v>
      </c>
      <c r="H21" s="89">
        <f>H17-H20</f>
        <v>-352702.66599999997</v>
      </c>
      <c r="I21" s="35" t="s">
        <v>15</v>
      </c>
      <c r="J21" s="60">
        <v>-71260</v>
      </c>
      <c r="L21" s="6"/>
    </row>
    <row r="22" spans="1:12" ht="15.6" x14ac:dyDescent="0.3">
      <c r="A22" s="26"/>
      <c r="B22" s="28"/>
      <c r="C22" s="29"/>
      <c r="D22" s="33"/>
      <c r="E22" s="32"/>
      <c r="F22" s="85"/>
      <c r="G22" s="60" t="s">
        <v>30</v>
      </c>
      <c r="H22" s="92">
        <v>60000</v>
      </c>
      <c r="I22" s="35" t="s">
        <v>30</v>
      </c>
      <c r="J22" s="60">
        <v>60000</v>
      </c>
      <c r="L22" s="6"/>
    </row>
    <row r="23" spans="1:12" ht="15.6" x14ac:dyDescent="0.3">
      <c r="A23" s="26"/>
      <c r="B23" s="58"/>
      <c r="C23" s="29"/>
      <c r="D23" s="33"/>
      <c r="E23" s="32"/>
      <c r="F23" s="85"/>
      <c r="G23" s="60" t="s">
        <v>31</v>
      </c>
      <c r="H23" s="41">
        <f>H21+H22</f>
        <v>-292702.66599999997</v>
      </c>
      <c r="I23" s="91" t="s">
        <v>31</v>
      </c>
      <c r="J23" s="60">
        <v>-11260</v>
      </c>
    </row>
    <row r="24" spans="1:12" ht="15.6" x14ac:dyDescent="0.3">
      <c r="A24" s="26"/>
      <c r="B24" s="58"/>
      <c r="C24" s="29"/>
      <c r="D24" s="33"/>
      <c r="E24" s="32"/>
      <c r="F24" s="85"/>
      <c r="G24" s="32" t="s">
        <v>63</v>
      </c>
      <c r="H24" s="32">
        <v>0</v>
      </c>
      <c r="I24" s="91"/>
      <c r="J24" s="32"/>
    </row>
    <row r="25" spans="1:12" ht="15.6" x14ac:dyDescent="0.3">
      <c r="A25" s="26"/>
      <c r="B25" s="58"/>
      <c r="C25" s="29"/>
      <c r="D25" s="33"/>
      <c r="E25" s="32"/>
      <c r="F25" s="85"/>
      <c r="G25" s="32" t="s">
        <v>64</v>
      </c>
      <c r="H25" s="32">
        <f>H24+H10</f>
        <v>71876.41399999999</v>
      </c>
      <c r="I25" s="91"/>
      <c r="J25" s="32"/>
    </row>
    <row r="26" spans="1:12" ht="15.6" x14ac:dyDescent="0.3">
      <c r="A26" s="26"/>
      <c r="B26" s="58"/>
      <c r="C26" s="29"/>
      <c r="D26" s="33"/>
      <c r="E26" s="32"/>
      <c r="F26" s="85"/>
      <c r="G26" s="32" t="s">
        <v>65</v>
      </c>
      <c r="H26" s="32">
        <f>H25-H20</f>
        <v>-26293.58600000001</v>
      </c>
      <c r="I26" s="91"/>
      <c r="J26" s="32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5483-6499-49C9-BB8D-67572F4517B8}">
  <dimension ref="A1:N18"/>
  <sheetViews>
    <sheetView workbookViewId="0">
      <selection activeCell="H17" sqref="H17"/>
    </sheetView>
  </sheetViews>
  <sheetFormatPr defaultColWidth="8.625" defaultRowHeight="13.8" x14ac:dyDescent="0.3"/>
  <cols>
    <col min="1" max="1" width="8.125" style="5" bestFit="1" customWidth="1"/>
    <col min="2" max="2" width="21.75" style="12" customWidth="1"/>
    <col min="3" max="3" width="8.375" style="8" customWidth="1"/>
    <col min="4" max="4" width="10.25" style="9" bestFit="1" customWidth="1"/>
    <col min="5" max="5" width="16.25" style="7" bestFit="1" customWidth="1"/>
    <col min="6" max="6" width="9.125" style="10" bestFit="1" customWidth="1"/>
    <col min="7" max="7" width="22.875" style="7" bestFit="1" customWidth="1"/>
    <col min="8" max="8" width="19.25" style="7" bestFit="1" customWidth="1"/>
    <col min="9" max="9" width="8.25" style="11" customWidth="1"/>
    <col min="10" max="10" width="12.375" style="7" customWidth="1"/>
    <col min="11" max="11" width="13" style="6" customWidth="1"/>
    <col min="12" max="12" width="12.375" style="7" customWidth="1"/>
    <col min="13" max="13" width="12.875" style="6" customWidth="1"/>
    <col min="14" max="14" width="10.625" style="6" bestFit="1" customWidth="1"/>
    <col min="15" max="15" width="10" style="6" bestFit="1" customWidth="1"/>
    <col min="16" max="16384" width="8.625" style="6"/>
  </cols>
  <sheetData>
    <row r="1" spans="1:14" s="1" customFormat="1" ht="15" customHeight="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16"/>
      <c r="J1" s="16"/>
      <c r="K1" s="5"/>
    </row>
    <row r="2" spans="1:14" s="1" customFormat="1" ht="21" x14ac:dyDescent="0.6">
      <c r="A2" s="27" t="s">
        <v>8</v>
      </c>
      <c r="B2" s="28">
        <v>45288</v>
      </c>
      <c r="C2" s="29">
        <v>22500</v>
      </c>
      <c r="D2" s="30" t="s">
        <v>9</v>
      </c>
      <c r="E2" s="31"/>
      <c r="F2" s="37">
        <v>0</v>
      </c>
      <c r="G2" s="31">
        <f t="shared" ref="G2" si="0">C2*F2</f>
        <v>0</v>
      </c>
      <c r="H2" s="32">
        <f>G2</f>
        <v>0</v>
      </c>
      <c r="I2" s="11"/>
      <c r="J2" s="7"/>
      <c r="K2" s="7"/>
      <c r="L2" s="15"/>
      <c r="M2" s="15"/>
      <c r="N2" s="6"/>
    </row>
    <row r="3" spans="1:14" s="1" customFormat="1" ht="21" customHeight="1" x14ac:dyDescent="0.6">
      <c r="A3" s="27"/>
      <c r="B3" s="28"/>
      <c r="C3" s="29"/>
      <c r="D3" s="30"/>
      <c r="E3" s="31"/>
      <c r="F3" s="37"/>
      <c r="G3" s="31"/>
      <c r="H3" s="32">
        <f>SUM(H2,H2)</f>
        <v>0</v>
      </c>
      <c r="I3" s="11"/>
      <c r="J3" s="7"/>
      <c r="K3" s="7"/>
      <c r="L3" s="15"/>
      <c r="M3" s="15"/>
      <c r="N3" s="6"/>
    </row>
    <row r="4" spans="1:14" s="1" customFormat="1" ht="33.6" customHeight="1" x14ac:dyDescent="0.6">
      <c r="A4" s="27" t="s">
        <v>11</v>
      </c>
      <c r="B4" s="28">
        <v>45295</v>
      </c>
      <c r="C4" s="29">
        <v>2000</v>
      </c>
      <c r="D4" s="30">
        <v>21.7</v>
      </c>
      <c r="E4" s="31">
        <v>43496.13</v>
      </c>
      <c r="F4" s="30">
        <v>22.9</v>
      </c>
      <c r="G4" s="31">
        <v>45698.55</v>
      </c>
      <c r="H4" s="32">
        <v>0</v>
      </c>
      <c r="I4" s="15"/>
      <c r="J4" s="15"/>
      <c r="K4" s="6"/>
    </row>
    <row r="5" spans="1:14" ht="15" customHeight="1" x14ac:dyDescent="0.3">
      <c r="A5" s="26"/>
      <c r="B5" s="28"/>
      <c r="C5" s="29"/>
      <c r="D5" s="33"/>
      <c r="E5" s="32">
        <f>SUM(E4:E4)</f>
        <v>43496.13</v>
      </c>
      <c r="F5" s="30"/>
      <c r="G5" s="32">
        <f>SUM(G4:G4)</f>
        <v>45698.55</v>
      </c>
      <c r="H5" s="32">
        <f>SUM(H4:H4)</f>
        <v>0</v>
      </c>
      <c r="I5" s="15"/>
      <c r="J5" s="15"/>
      <c r="K5" s="15"/>
      <c r="L5" s="6"/>
    </row>
    <row r="6" spans="1:14" s="1" customFormat="1" ht="22.8" customHeight="1" x14ac:dyDescent="0.6">
      <c r="A6" s="27"/>
      <c r="B6" s="28"/>
      <c r="C6" s="29"/>
      <c r="D6" s="30"/>
      <c r="E6" s="31"/>
      <c r="F6" s="30"/>
      <c r="G6" s="59"/>
      <c r="H6" s="60">
        <f>SUM(H2:H5)</f>
        <v>0</v>
      </c>
      <c r="I6" s="15"/>
      <c r="J6" s="15"/>
      <c r="K6" s="6"/>
    </row>
    <row r="7" spans="1:14" ht="15" customHeight="1" x14ac:dyDescent="0.3">
      <c r="A7" s="26"/>
      <c r="B7" s="28"/>
      <c r="C7" s="29"/>
      <c r="D7" s="33"/>
      <c r="E7" s="32"/>
      <c r="F7" s="30"/>
      <c r="G7" s="60" t="s">
        <v>12</v>
      </c>
      <c r="H7" s="60">
        <f>H6</f>
        <v>0</v>
      </c>
      <c r="I7" s="15" t="s">
        <v>12</v>
      </c>
      <c r="J7" s="15">
        <v>0</v>
      </c>
      <c r="L7" s="6"/>
    </row>
    <row r="8" spans="1:14" ht="15" customHeight="1" x14ac:dyDescent="0.3">
      <c r="A8" s="26"/>
      <c r="B8" s="28"/>
      <c r="C8" s="29"/>
      <c r="D8" s="33"/>
      <c r="E8" s="32"/>
      <c r="F8" s="30"/>
      <c r="G8" s="60" t="s">
        <v>16</v>
      </c>
      <c r="H8" s="60">
        <v>0</v>
      </c>
      <c r="I8" s="15" t="s">
        <v>16</v>
      </c>
      <c r="J8" s="15">
        <v>0</v>
      </c>
      <c r="L8" s="6"/>
    </row>
    <row r="9" spans="1:14" ht="15" customHeight="1" x14ac:dyDescent="0.3">
      <c r="A9" s="26"/>
      <c r="B9" s="28"/>
      <c r="C9" s="29"/>
      <c r="D9" s="33"/>
      <c r="E9" s="32"/>
      <c r="F9" s="30"/>
      <c r="G9" s="60" t="s">
        <v>28</v>
      </c>
      <c r="H9" s="61">
        <f>SUM(H7,H8)</f>
        <v>0</v>
      </c>
      <c r="I9" s="15" t="s">
        <v>28</v>
      </c>
      <c r="J9" s="15">
        <v>0</v>
      </c>
      <c r="L9" s="6"/>
    </row>
    <row r="10" spans="1:14" ht="15" customHeight="1" x14ac:dyDescent="0.3">
      <c r="A10" s="26"/>
      <c r="B10" s="28"/>
      <c r="C10" s="29"/>
      <c r="D10" s="33"/>
      <c r="E10" s="32"/>
      <c r="F10" s="30"/>
      <c r="G10" s="60" t="s">
        <v>13</v>
      </c>
      <c r="H10" s="62">
        <v>38040</v>
      </c>
      <c r="I10" s="15" t="s">
        <v>13</v>
      </c>
      <c r="J10" s="15">
        <v>0</v>
      </c>
      <c r="L10" s="6"/>
    </row>
    <row r="11" spans="1:14" ht="15" customHeight="1" x14ac:dyDescent="0.3">
      <c r="A11" s="26"/>
      <c r="B11" s="28"/>
      <c r="C11" s="29"/>
      <c r="D11" s="33"/>
      <c r="E11" s="32"/>
      <c r="F11" s="30"/>
      <c r="G11" s="60" t="s">
        <v>17</v>
      </c>
      <c r="H11" s="62">
        <v>33220</v>
      </c>
      <c r="I11" s="15" t="s">
        <v>56</v>
      </c>
      <c r="J11" s="15">
        <v>38040</v>
      </c>
      <c r="L11" s="6"/>
    </row>
    <row r="12" spans="1:14" ht="15" customHeight="1" x14ac:dyDescent="0.3">
      <c r="A12" s="26"/>
      <c r="B12" s="28"/>
      <c r="C12" s="29"/>
      <c r="D12" s="33"/>
      <c r="E12" s="32"/>
      <c r="F12" s="57" t="s">
        <v>58</v>
      </c>
      <c r="G12" s="60" t="s">
        <v>14</v>
      </c>
      <c r="H12" s="61">
        <f>H10+H11</f>
        <v>71260</v>
      </c>
      <c r="I12" s="15" t="s">
        <v>14</v>
      </c>
      <c r="J12" s="15">
        <v>38040</v>
      </c>
      <c r="L12" s="6"/>
    </row>
    <row r="13" spans="1:14" ht="15" customHeight="1" x14ac:dyDescent="0.3">
      <c r="A13" s="26"/>
      <c r="B13" s="28"/>
      <c r="C13" s="29"/>
      <c r="D13" s="33"/>
      <c r="E13" s="32"/>
      <c r="F13" s="30"/>
      <c r="G13" s="60" t="s">
        <v>15</v>
      </c>
      <c r="H13" s="63">
        <f>H9-H12</f>
        <v>-71260</v>
      </c>
      <c r="I13" s="15" t="s">
        <v>15</v>
      </c>
      <c r="J13" s="15">
        <v>-38040</v>
      </c>
      <c r="L13" s="6"/>
    </row>
    <row r="14" spans="1:14" ht="15.6" x14ac:dyDescent="0.3">
      <c r="A14" s="26"/>
      <c r="B14" s="28"/>
      <c r="C14" s="29"/>
      <c r="D14" s="33"/>
      <c r="E14" s="32"/>
      <c r="F14" s="57" t="s">
        <v>57</v>
      </c>
      <c r="G14" s="60" t="s">
        <v>30</v>
      </c>
      <c r="H14" s="60">
        <v>60000</v>
      </c>
      <c r="I14" s="15" t="s">
        <v>30</v>
      </c>
      <c r="J14" s="15">
        <v>60000</v>
      </c>
      <c r="L14" s="6"/>
    </row>
    <row r="15" spans="1:14" ht="15.6" x14ac:dyDescent="0.3">
      <c r="A15" s="26"/>
      <c r="B15" s="58"/>
      <c r="C15" s="29"/>
      <c r="D15" s="33"/>
      <c r="E15" s="32"/>
      <c r="F15" s="30"/>
      <c r="G15" s="60" t="s">
        <v>31</v>
      </c>
      <c r="H15" s="64">
        <f>H13+H14</f>
        <v>-11260</v>
      </c>
      <c r="I15" s="11" t="s">
        <v>31</v>
      </c>
      <c r="J15" s="7">
        <v>21960</v>
      </c>
    </row>
    <row r="16" spans="1:14" s="11" customFormat="1" ht="15.6" x14ac:dyDescent="0.3">
      <c r="A16" s="26"/>
      <c r="B16" s="58"/>
      <c r="C16" s="29"/>
      <c r="D16" s="33"/>
      <c r="E16" s="32"/>
      <c r="F16" s="30"/>
      <c r="G16" s="60"/>
      <c r="H16" s="60"/>
      <c r="J16" s="7"/>
      <c r="K16" s="6"/>
      <c r="L16" s="7"/>
      <c r="M16" s="6"/>
      <c r="N16" s="6"/>
    </row>
    <row r="17" spans="1:14" s="11" customFormat="1" ht="15.6" x14ac:dyDescent="0.3">
      <c r="A17" s="26"/>
      <c r="B17" s="58"/>
      <c r="C17" s="29"/>
      <c r="D17" s="33"/>
      <c r="E17" s="32"/>
      <c r="F17" s="57" t="s">
        <v>59</v>
      </c>
      <c r="G17" s="65" t="s">
        <v>60</v>
      </c>
      <c r="H17" s="60">
        <f>H14-H12</f>
        <v>-11260</v>
      </c>
      <c r="J17" s="7"/>
      <c r="K17" s="6"/>
      <c r="L17" s="7"/>
      <c r="M17" s="6"/>
      <c r="N17" s="6"/>
    </row>
    <row r="18" spans="1:14" s="11" customFormat="1" ht="8.4" customHeight="1" x14ac:dyDescent="0.3">
      <c r="A18" s="5"/>
      <c r="B18" s="12"/>
      <c r="C18" s="8"/>
      <c r="D18" s="9"/>
      <c r="E18" s="7"/>
      <c r="F18" s="10"/>
      <c r="G18" s="7"/>
      <c r="H18" s="7"/>
      <c r="J18" s="7"/>
      <c r="K18" s="6"/>
      <c r="L18" s="7"/>
      <c r="M18" s="6"/>
      <c r="N18" s="6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8F-D2F1-4405-A36C-2376E8E1DAA2}">
  <dimension ref="A1:N14"/>
  <sheetViews>
    <sheetView workbookViewId="0">
      <pane ySplit="1" topLeftCell="A2" activePane="bottomLeft" state="frozen"/>
      <selection pane="bottomLeft" activeCell="H6" sqref="H6"/>
    </sheetView>
  </sheetViews>
  <sheetFormatPr defaultColWidth="8.625" defaultRowHeight="13.8" x14ac:dyDescent="0.3"/>
  <cols>
    <col min="1" max="1" width="8.25" style="5" customWidth="1"/>
    <col min="2" max="2" width="12.625" style="18" bestFit="1" customWidth="1"/>
    <col min="3" max="3" width="9.25" style="8" bestFit="1" customWidth="1"/>
    <col min="4" max="4" width="8" style="9" bestFit="1" customWidth="1"/>
    <col min="5" max="5" width="15.875" style="7" customWidth="1"/>
    <col min="6" max="6" width="8" style="10" bestFit="1" customWidth="1"/>
    <col min="7" max="7" width="16" style="7" customWidth="1"/>
    <col min="8" max="8" width="13.75" style="6" bestFit="1" customWidth="1"/>
    <col min="9" max="9" width="11" style="15" bestFit="1" customWidth="1"/>
    <col min="10" max="10" width="12.375" style="15" bestFit="1" customWidth="1"/>
    <col min="11" max="11" width="9.875" style="6" customWidth="1"/>
    <col min="12" max="16384" width="8.625" style="6"/>
  </cols>
  <sheetData>
    <row r="1" spans="1:14" s="1" customFormat="1" ht="15" customHeight="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16"/>
      <c r="J1" s="16"/>
      <c r="K1" s="5"/>
    </row>
    <row r="2" spans="1:14" s="1" customFormat="1" ht="21" x14ac:dyDescent="0.6">
      <c r="A2" s="27" t="s">
        <v>8</v>
      </c>
      <c r="B2" s="28">
        <v>45288</v>
      </c>
      <c r="C2" s="29">
        <v>22500</v>
      </c>
      <c r="D2" s="30" t="s">
        <v>9</v>
      </c>
      <c r="E2" s="31"/>
      <c r="F2" s="37">
        <v>0</v>
      </c>
      <c r="G2" s="31">
        <f t="shared" ref="G2" si="0">C2*F2</f>
        <v>0</v>
      </c>
      <c r="H2" s="32">
        <f>G2</f>
        <v>0</v>
      </c>
      <c r="I2" s="11"/>
      <c r="J2" s="7"/>
      <c r="K2" s="7"/>
      <c r="L2" s="15"/>
      <c r="M2" s="15"/>
      <c r="N2" s="6"/>
    </row>
    <row r="3" spans="1:14" s="1" customFormat="1" ht="21" customHeight="1" x14ac:dyDescent="0.6">
      <c r="A3" s="27"/>
      <c r="B3" s="28"/>
      <c r="C3" s="29"/>
      <c r="D3" s="30"/>
      <c r="E3" s="31"/>
      <c r="F3" s="37"/>
      <c r="G3" s="31"/>
      <c r="H3" s="32">
        <f>SUM(H2,H2)</f>
        <v>0</v>
      </c>
      <c r="I3" s="11"/>
      <c r="J3" s="7"/>
      <c r="K3" s="7"/>
      <c r="L3" s="15"/>
      <c r="M3" s="15"/>
      <c r="N3" s="6"/>
    </row>
    <row r="4" spans="1:14" s="1" customFormat="1" ht="33.6" customHeight="1" x14ac:dyDescent="0.6">
      <c r="A4" s="27" t="s">
        <v>11</v>
      </c>
      <c r="B4" s="28">
        <v>45295</v>
      </c>
      <c r="C4" s="29">
        <v>2000</v>
      </c>
      <c r="D4" s="30">
        <v>21.7</v>
      </c>
      <c r="E4" s="31">
        <v>43496.13</v>
      </c>
      <c r="F4" s="30">
        <v>22.9</v>
      </c>
      <c r="G4" s="31">
        <v>45698.55</v>
      </c>
      <c r="H4" s="32">
        <v>0</v>
      </c>
      <c r="I4" s="15"/>
      <c r="J4" s="15"/>
      <c r="K4" s="6"/>
    </row>
    <row r="5" spans="1:14" ht="15" customHeight="1" x14ac:dyDescent="0.3">
      <c r="A5" s="26"/>
      <c r="B5" s="28"/>
      <c r="C5" s="29"/>
      <c r="D5" s="33"/>
      <c r="E5" s="32">
        <f>SUM(E4:E4)</f>
        <v>43496.13</v>
      </c>
      <c r="F5" s="30"/>
      <c r="G5" s="32">
        <f>SUM(G4:G4)</f>
        <v>45698.55</v>
      </c>
      <c r="H5" s="32">
        <f>SUM(H4:H4)</f>
        <v>0</v>
      </c>
      <c r="K5" s="15"/>
    </row>
    <row r="6" spans="1:14" s="1" customFormat="1" ht="21.75" customHeight="1" x14ac:dyDescent="0.6">
      <c r="A6" s="26"/>
      <c r="B6" s="28"/>
      <c r="C6" s="29"/>
      <c r="D6" s="33"/>
      <c r="E6" s="32"/>
      <c r="F6" s="30"/>
      <c r="G6" s="32" t="s">
        <v>12</v>
      </c>
      <c r="H6" s="34">
        <f>H3+H5</f>
        <v>0</v>
      </c>
      <c r="I6" s="11"/>
      <c r="J6" s="7"/>
      <c r="K6" s="7"/>
      <c r="L6" s="15"/>
      <c r="M6" s="15"/>
      <c r="N6" s="6"/>
    </row>
    <row r="7" spans="1:14" ht="21.75" customHeight="1" x14ac:dyDescent="0.3">
      <c r="A7" s="26"/>
      <c r="B7" s="28"/>
      <c r="C7" s="29"/>
      <c r="D7" s="33"/>
      <c r="E7" s="32"/>
      <c r="F7" s="30"/>
      <c r="G7" s="32" t="s">
        <v>16</v>
      </c>
      <c r="H7" s="32">
        <v>0</v>
      </c>
      <c r="I7" s="11"/>
      <c r="J7" s="7"/>
      <c r="K7" s="7"/>
      <c r="L7" s="15"/>
      <c r="M7" s="15"/>
    </row>
    <row r="8" spans="1:14" ht="21.75" customHeight="1" x14ac:dyDescent="0.3">
      <c r="A8" s="26"/>
      <c r="B8" s="28"/>
      <c r="C8" s="29"/>
      <c r="D8" s="33"/>
      <c r="E8" s="32"/>
      <c r="F8" s="30"/>
      <c r="G8" s="32" t="s">
        <v>28</v>
      </c>
      <c r="H8" s="41">
        <f>H6+H7</f>
        <v>0</v>
      </c>
      <c r="I8" s="11"/>
      <c r="J8" s="7"/>
      <c r="K8" s="7"/>
      <c r="L8" s="15"/>
      <c r="M8" s="15"/>
    </row>
    <row r="9" spans="1:14" ht="21.75" customHeight="1" x14ac:dyDescent="0.3">
      <c r="A9" s="26"/>
      <c r="B9" s="28"/>
      <c r="C9" s="29"/>
      <c r="D9" s="33"/>
      <c r="E9" s="32"/>
      <c r="F9" s="30"/>
      <c r="G9" s="32" t="s">
        <v>13</v>
      </c>
      <c r="H9" s="35">
        <v>0</v>
      </c>
      <c r="I9" s="11"/>
      <c r="J9" s="7"/>
      <c r="K9" s="7"/>
      <c r="L9" s="15"/>
      <c r="M9" s="15"/>
    </row>
    <row r="10" spans="1:14" ht="21.75" customHeight="1" x14ac:dyDescent="0.3">
      <c r="A10" s="26"/>
      <c r="B10" s="28"/>
      <c r="C10" s="29"/>
      <c r="D10" s="33"/>
      <c r="E10" s="32"/>
      <c r="F10" s="30"/>
      <c r="G10" s="32" t="s">
        <v>56</v>
      </c>
      <c r="H10" s="35">
        <v>38040</v>
      </c>
      <c r="I10" s="11"/>
      <c r="J10" s="7"/>
      <c r="K10" s="7"/>
      <c r="L10" s="15"/>
      <c r="M10" s="15"/>
    </row>
    <row r="11" spans="1:14" s="1" customFormat="1" ht="21.75" customHeight="1" x14ac:dyDescent="0.6">
      <c r="A11" s="26"/>
      <c r="B11" s="28"/>
      <c r="C11" s="29"/>
      <c r="D11" s="33"/>
      <c r="E11" s="32"/>
      <c r="F11" s="30"/>
      <c r="G11" s="32" t="s">
        <v>14</v>
      </c>
      <c r="H11" s="41">
        <f>H9+H10</f>
        <v>38040</v>
      </c>
      <c r="I11" s="11"/>
      <c r="J11" s="7"/>
      <c r="K11" s="7"/>
      <c r="L11" s="15"/>
      <c r="M11" s="15"/>
      <c r="N11" s="6"/>
    </row>
    <row r="12" spans="1:14" s="1" customFormat="1" ht="21.75" customHeight="1" x14ac:dyDescent="0.6">
      <c r="A12" s="5"/>
      <c r="B12" s="12"/>
      <c r="C12" s="8"/>
      <c r="D12" s="9"/>
      <c r="E12" s="7"/>
      <c r="F12" s="10"/>
      <c r="G12" s="32" t="s">
        <v>15</v>
      </c>
      <c r="H12" s="36">
        <f>H8-H11</f>
        <v>-38040</v>
      </c>
      <c r="I12" s="11"/>
      <c r="J12" s="7"/>
      <c r="K12" s="7"/>
      <c r="L12" s="15"/>
      <c r="M12" s="15"/>
      <c r="N12" s="6"/>
    </row>
    <row r="13" spans="1:14" s="1" customFormat="1" ht="21.75" customHeight="1" x14ac:dyDescent="0.6">
      <c r="A13" s="5"/>
      <c r="B13" s="12"/>
      <c r="C13" s="8"/>
      <c r="D13" s="9"/>
      <c r="E13" s="7"/>
      <c r="F13" s="10"/>
      <c r="G13" s="38" t="s">
        <v>30</v>
      </c>
      <c r="H13" s="38">
        <v>60000</v>
      </c>
      <c r="I13" s="11"/>
      <c r="J13" s="7"/>
      <c r="K13" s="7"/>
      <c r="L13" s="15"/>
      <c r="M13" s="15"/>
      <c r="N13" s="6"/>
    </row>
    <row r="14" spans="1:14" s="1" customFormat="1" ht="21.75" customHeight="1" x14ac:dyDescent="0.6">
      <c r="A14" s="6"/>
      <c r="B14" s="12"/>
      <c r="C14" s="8"/>
      <c r="D14" s="10"/>
      <c r="E14" s="14"/>
      <c r="F14" s="10"/>
      <c r="G14" s="38" t="s">
        <v>31</v>
      </c>
      <c r="H14" s="48">
        <f>H12+H13</f>
        <v>21960</v>
      </c>
      <c r="I14" s="11"/>
      <c r="J14" s="7"/>
      <c r="K14" s="7"/>
      <c r="L14" s="15"/>
      <c r="M14" s="15"/>
      <c r="N14" s="6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ED0F-338F-4C61-AC0B-5077E6985A08}">
  <dimension ref="A1:N25"/>
  <sheetViews>
    <sheetView workbookViewId="0">
      <pane ySplit="1" topLeftCell="A2" activePane="bottomLeft" state="frozen"/>
      <selection pane="bottomLeft" activeCell="H23" sqref="H23"/>
    </sheetView>
  </sheetViews>
  <sheetFormatPr defaultColWidth="8.625" defaultRowHeight="13.8" x14ac:dyDescent="0.3"/>
  <cols>
    <col min="1" max="1" width="12.375" style="5" customWidth="1"/>
    <col min="2" max="2" width="12.625" style="18" bestFit="1" customWidth="1"/>
    <col min="3" max="3" width="9.25" style="8" bestFit="1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5.125" style="7" bestFit="1" customWidth="1"/>
    <col min="9" max="9" width="13.375" style="11" bestFit="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18</v>
      </c>
      <c r="B2" s="28">
        <v>45995</v>
      </c>
      <c r="C2" s="29">
        <v>45000</v>
      </c>
      <c r="D2" s="30" t="s">
        <v>9</v>
      </c>
      <c r="E2" s="31"/>
      <c r="F2" s="37">
        <v>0.22220000000000001</v>
      </c>
      <c r="G2" s="31">
        <f t="shared" ref="G2:G13" si="0">C2*F2</f>
        <v>9999</v>
      </c>
      <c r="H2" s="40">
        <f t="shared" ref="H2:H11" si="1">G2*0.9</f>
        <v>8999.1</v>
      </c>
      <c r="I2" s="11"/>
      <c r="J2" s="7"/>
      <c r="K2" s="7"/>
      <c r="L2" s="15"/>
      <c r="M2" s="15"/>
      <c r="N2" s="6"/>
    </row>
    <row r="3" spans="1:14" s="1" customFormat="1" ht="21" x14ac:dyDescent="0.6">
      <c r="A3" s="27" t="s">
        <v>39</v>
      </c>
      <c r="B3" s="28">
        <v>45995</v>
      </c>
      <c r="C3" s="29">
        <v>27000</v>
      </c>
      <c r="D3" s="30" t="s">
        <v>9</v>
      </c>
      <c r="E3" s="31"/>
      <c r="F3" s="37">
        <v>0.5</v>
      </c>
      <c r="G3" s="31">
        <f t="shared" si="0"/>
        <v>13500</v>
      </c>
      <c r="H3" s="40">
        <v>12825</v>
      </c>
      <c r="I3" s="11"/>
      <c r="J3" s="7"/>
      <c r="K3" s="7"/>
      <c r="L3" s="15"/>
      <c r="M3" s="15"/>
      <c r="N3" s="6"/>
    </row>
    <row r="4" spans="1:14" s="1" customFormat="1" ht="21" x14ac:dyDescent="0.6">
      <c r="A4" s="27" t="s">
        <v>40</v>
      </c>
      <c r="B4" s="28">
        <v>46002</v>
      </c>
      <c r="C4" s="29">
        <v>7200</v>
      </c>
      <c r="D4" s="30" t="s">
        <v>9</v>
      </c>
      <c r="E4" s="31"/>
      <c r="F4" s="37">
        <v>0.17499999999999999</v>
      </c>
      <c r="G4" s="31">
        <f t="shared" si="0"/>
        <v>1260</v>
      </c>
      <c r="H4" s="40">
        <f t="shared" si="1"/>
        <v>1134</v>
      </c>
      <c r="I4" s="11"/>
      <c r="J4" s="7"/>
      <c r="K4" s="7"/>
      <c r="L4" s="15"/>
      <c r="M4" s="15"/>
      <c r="N4" s="6"/>
    </row>
    <row r="5" spans="1:14" s="1" customFormat="1" ht="21" x14ac:dyDescent="0.6">
      <c r="A5" s="27" t="s">
        <v>20</v>
      </c>
      <c r="B5" s="28">
        <v>46002</v>
      </c>
      <c r="C5" s="29">
        <v>55000</v>
      </c>
      <c r="D5" s="30" t="s">
        <v>9</v>
      </c>
      <c r="E5" s="31"/>
      <c r="F5" s="51">
        <v>6.9099999999999995E-2</v>
      </c>
      <c r="G5" s="31">
        <f t="shared" si="0"/>
        <v>3800.4999999999995</v>
      </c>
      <c r="H5" s="40">
        <f t="shared" si="1"/>
        <v>3420.45</v>
      </c>
      <c r="I5" s="11"/>
      <c r="J5" s="7"/>
      <c r="K5" s="7"/>
      <c r="L5" s="15"/>
      <c r="M5" s="15"/>
      <c r="N5" s="6"/>
    </row>
    <row r="6" spans="1:14" s="1" customFormat="1" ht="21" x14ac:dyDescent="0.6">
      <c r="A6" s="83" t="s">
        <v>36</v>
      </c>
      <c r="B6" s="28">
        <v>46002</v>
      </c>
      <c r="C6" s="29">
        <v>6800</v>
      </c>
      <c r="D6" s="30" t="s">
        <v>9</v>
      </c>
      <c r="E6" s="31"/>
      <c r="F6" s="37">
        <v>0.13</v>
      </c>
      <c r="G6" s="31">
        <f t="shared" ref="G6" si="2">C6*F6</f>
        <v>884</v>
      </c>
      <c r="H6" s="40">
        <f t="shared" ref="H6" si="3">G6*0.9</f>
        <v>795.6</v>
      </c>
      <c r="I6" s="11"/>
      <c r="J6" s="7"/>
      <c r="K6" s="7"/>
      <c r="L6" s="15"/>
      <c r="M6" s="15"/>
      <c r="N6" s="6"/>
    </row>
    <row r="7" spans="1:14" s="1" customFormat="1" ht="21" x14ac:dyDescent="0.6">
      <c r="A7" s="27" t="s">
        <v>22</v>
      </c>
      <c r="B7" s="28">
        <v>45995</v>
      </c>
      <c r="C7" s="82">
        <v>17500</v>
      </c>
      <c r="D7" s="30" t="s">
        <v>9</v>
      </c>
      <c r="E7" s="31"/>
      <c r="F7" s="51">
        <v>0.20499999999999999</v>
      </c>
      <c r="G7" s="31">
        <f t="shared" si="0"/>
        <v>3587.5</v>
      </c>
      <c r="H7" s="40">
        <f t="shared" si="1"/>
        <v>3228.75</v>
      </c>
      <c r="I7" s="11"/>
      <c r="J7" s="7"/>
      <c r="K7" s="7"/>
      <c r="L7" s="15"/>
      <c r="M7" s="15"/>
      <c r="N7" s="6"/>
    </row>
    <row r="8" spans="1:14" s="1" customFormat="1" ht="21" x14ac:dyDescent="0.6">
      <c r="A8" s="27" t="s">
        <v>41</v>
      </c>
      <c r="B8" s="28">
        <v>46006</v>
      </c>
      <c r="C8" s="29">
        <v>50000</v>
      </c>
      <c r="D8" s="30" t="s">
        <v>9</v>
      </c>
      <c r="E8" s="31"/>
      <c r="F8" s="37">
        <v>2.1000000000000001E-2</v>
      </c>
      <c r="G8" s="31">
        <f t="shared" si="0"/>
        <v>1050</v>
      </c>
      <c r="H8" s="40">
        <f t="shared" si="1"/>
        <v>945</v>
      </c>
      <c r="I8" s="11"/>
      <c r="J8" s="7"/>
      <c r="K8" s="7"/>
      <c r="L8" s="15"/>
      <c r="M8" s="15"/>
      <c r="N8" s="6"/>
    </row>
    <row r="9" spans="1:14" s="1" customFormat="1" ht="21" x14ac:dyDescent="0.6">
      <c r="A9" s="27" t="s">
        <v>21</v>
      </c>
      <c r="B9" s="28">
        <v>46002</v>
      </c>
      <c r="C9" s="29">
        <v>20000</v>
      </c>
      <c r="D9" s="30" t="s">
        <v>9</v>
      </c>
      <c r="E9" s="31"/>
      <c r="F9" s="37">
        <v>0.193</v>
      </c>
      <c r="G9" s="31">
        <f t="shared" si="0"/>
        <v>3860</v>
      </c>
      <c r="H9" s="40">
        <f t="shared" si="1"/>
        <v>3474</v>
      </c>
      <c r="I9" s="11"/>
      <c r="J9" s="7"/>
      <c r="K9" s="7"/>
      <c r="L9" s="15"/>
      <c r="M9" s="15"/>
      <c r="N9" s="6"/>
    </row>
    <row r="10" spans="1:14" s="1" customFormat="1" ht="21" x14ac:dyDescent="0.6">
      <c r="A10" s="27" t="s">
        <v>23</v>
      </c>
      <c r="B10" s="28">
        <v>46013</v>
      </c>
      <c r="C10" s="29">
        <v>50000</v>
      </c>
      <c r="D10" s="30" t="s">
        <v>9</v>
      </c>
      <c r="E10" s="31"/>
      <c r="F10" s="51">
        <v>0.13250000000000001</v>
      </c>
      <c r="G10" s="31">
        <f t="shared" si="0"/>
        <v>6625</v>
      </c>
      <c r="H10" s="40">
        <f t="shared" si="1"/>
        <v>5962.5</v>
      </c>
      <c r="I10" s="11"/>
      <c r="J10" s="7"/>
      <c r="K10" s="7"/>
      <c r="L10" s="15"/>
      <c r="M10" s="15"/>
      <c r="N10" s="6"/>
    </row>
    <row r="11" spans="1:14" s="1" customFormat="1" ht="21" x14ac:dyDescent="0.6">
      <c r="A11" s="27" t="s">
        <v>19</v>
      </c>
      <c r="B11" s="28">
        <v>46015</v>
      </c>
      <c r="C11" s="82">
        <v>69000</v>
      </c>
      <c r="D11" s="30" t="s">
        <v>9</v>
      </c>
      <c r="E11" s="31"/>
      <c r="F11" s="51">
        <v>0.1825</v>
      </c>
      <c r="G11" s="31">
        <f t="shared" si="0"/>
        <v>12592.5</v>
      </c>
      <c r="H11" s="40">
        <f t="shared" si="1"/>
        <v>11333.25</v>
      </c>
      <c r="I11" s="11"/>
      <c r="J11" s="7"/>
      <c r="K11" s="7"/>
      <c r="L11" s="15"/>
      <c r="M11" s="15"/>
      <c r="N11" s="6"/>
    </row>
    <row r="12" spans="1:14" s="1" customFormat="1" ht="21" x14ac:dyDescent="0.6">
      <c r="A12" s="27" t="s">
        <v>8</v>
      </c>
      <c r="B12" s="28">
        <v>46016</v>
      </c>
      <c r="C12" s="29">
        <v>20000</v>
      </c>
      <c r="D12" s="30" t="s">
        <v>9</v>
      </c>
      <c r="E12" s="31"/>
      <c r="F12" s="51">
        <v>0.114</v>
      </c>
      <c r="G12" s="31">
        <f t="shared" ref="G12" si="4">C12*F12</f>
        <v>2280</v>
      </c>
      <c r="H12" s="40">
        <f>G12</f>
        <v>2280</v>
      </c>
      <c r="I12" s="11"/>
      <c r="J12" s="7"/>
      <c r="K12" s="7"/>
      <c r="L12" s="15"/>
      <c r="M12" s="15"/>
      <c r="N12" s="6"/>
    </row>
    <row r="13" spans="1:14" s="1" customFormat="1" ht="21" x14ac:dyDescent="0.6">
      <c r="A13" s="83" t="s">
        <v>51</v>
      </c>
      <c r="B13" s="28">
        <v>46013</v>
      </c>
      <c r="C13" s="29">
        <v>120000</v>
      </c>
      <c r="D13" s="30" t="s">
        <v>9</v>
      </c>
      <c r="E13" s="31"/>
      <c r="F13" s="37">
        <v>0.13722400000000001</v>
      </c>
      <c r="G13" s="31">
        <f t="shared" si="0"/>
        <v>16466.88</v>
      </c>
      <c r="H13" s="40">
        <f>G13*0.9</f>
        <v>14820.192000000001</v>
      </c>
      <c r="I13" s="11"/>
      <c r="J13" s="7"/>
      <c r="K13" s="7"/>
      <c r="L13" s="15"/>
      <c r="M13" s="15"/>
      <c r="N13" s="6"/>
    </row>
    <row r="14" spans="1:14" s="1" customFormat="1" ht="21.75" customHeight="1" x14ac:dyDescent="0.6">
      <c r="A14" s="27"/>
      <c r="B14" s="28"/>
      <c r="C14" s="29"/>
      <c r="D14" s="30"/>
      <c r="E14" s="31"/>
      <c r="F14" s="30"/>
      <c r="G14" s="31"/>
      <c r="H14" s="34">
        <f>SUM(H2:H13)</f>
        <v>69217.84199999999</v>
      </c>
      <c r="I14" s="11"/>
      <c r="J14" s="7"/>
      <c r="K14" s="7"/>
      <c r="L14" s="15"/>
      <c r="M14" s="15"/>
      <c r="N14" s="6"/>
    </row>
    <row r="15" spans="1:14" s="1" customFormat="1" ht="21.75" customHeight="1" x14ac:dyDescent="0.6">
      <c r="A15" s="27" t="s">
        <v>11</v>
      </c>
      <c r="B15" s="28">
        <v>37617</v>
      </c>
      <c r="C15" s="29">
        <v>0</v>
      </c>
      <c r="D15" s="30">
        <v>21.3</v>
      </c>
      <c r="E15" s="31">
        <v>0</v>
      </c>
      <c r="F15" s="30">
        <v>21.3</v>
      </c>
      <c r="G15" s="31">
        <v>0</v>
      </c>
      <c r="H15" s="32">
        <f t="shared" ref="H15" si="5">G15-E15</f>
        <v>0</v>
      </c>
      <c r="I15" s="11"/>
      <c r="J15" s="7"/>
      <c r="K15" s="7"/>
      <c r="L15" s="15"/>
      <c r="M15" s="15"/>
      <c r="N15" s="6"/>
    </row>
    <row r="16" spans="1:14" ht="21.75" customHeight="1" x14ac:dyDescent="0.3">
      <c r="A16" s="26"/>
      <c r="B16" s="28"/>
      <c r="C16" s="29"/>
      <c r="D16" s="33"/>
      <c r="E16" s="32">
        <f>SUM(E15:E15)</f>
        <v>0</v>
      </c>
      <c r="F16" s="30"/>
      <c r="G16" s="32">
        <f>SUM(G15:G15)</f>
        <v>0</v>
      </c>
      <c r="H16" s="40">
        <f>SUM(H15:H15)</f>
        <v>0</v>
      </c>
      <c r="K16" s="7"/>
      <c r="L16" s="15"/>
      <c r="M16" s="15"/>
    </row>
    <row r="17" spans="1:14" s="1" customFormat="1" ht="21.75" customHeight="1" x14ac:dyDescent="0.6">
      <c r="A17" s="26"/>
      <c r="B17" s="28"/>
      <c r="C17" s="29"/>
      <c r="D17" s="33"/>
      <c r="E17" s="32"/>
      <c r="F17" s="30"/>
      <c r="G17" s="32" t="s">
        <v>12</v>
      </c>
      <c r="H17" s="43">
        <f>H14+H16</f>
        <v>69217.84199999999</v>
      </c>
      <c r="I17" s="11" t="s">
        <v>12</v>
      </c>
      <c r="J17" s="7">
        <v>30614.600000000002</v>
      </c>
      <c r="K17" s="7"/>
      <c r="L17" s="15"/>
      <c r="M17" s="15"/>
      <c r="N17" s="6"/>
    </row>
    <row r="18" spans="1:14" s="1" customFormat="1" ht="21.75" customHeight="1" x14ac:dyDescent="0.6">
      <c r="A18" s="5"/>
      <c r="B18" s="12"/>
      <c r="C18" s="8"/>
      <c r="D18" s="9"/>
      <c r="E18" s="7"/>
      <c r="F18" s="10"/>
      <c r="G18" s="32" t="s">
        <v>16</v>
      </c>
      <c r="H18" s="32">
        <v>-522636.73</v>
      </c>
      <c r="I18" s="32" t="s">
        <v>16</v>
      </c>
      <c r="J18" s="7">
        <v>-553251.32999999996</v>
      </c>
      <c r="K18" s="7"/>
      <c r="L18" s="15"/>
      <c r="M18" s="15"/>
      <c r="N18" s="6"/>
    </row>
    <row r="19" spans="1:14" s="1" customFormat="1" ht="21.75" customHeight="1" x14ac:dyDescent="0.6">
      <c r="A19" s="6"/>
      <c r="B19" s="12"/>
      <c r="C19" s="8"/>
      <c r="D19" s="10"/>
      <c r="E19" s="14"/>
      <c r="F19" s="10"/>
      <c r="G19" s="32" t="s">
        <v>28</v>
      </c>
      <c r="H19" s="41">
        <f>H17+H18</f>
        <v>-453418.88799999998</v>
      </c>
      <c r="I19" s="11" t="s">
        <v>28</v>
      </c>
      <c r="J19" s="7">
        <v>-522636.73</v>
      </c>
      <c r="K19" s="7"/>
      <c r="L19" s="15"/>
      <c r="M19" s="15"/>
      <c r="N19" s="6"/>
    </row>
    <row r="20" spans="1:14" ht="15.6" x14ac:dyDescent="0.3">
      <c r="G20" s="32" t="s">
        <v>13</v>
      </c>
      <c r="H20" s="35">
        <v>396550</v>
      </c>
      <c r="I20" s="32" t="s">
        <v>13</v>
      </c>
      <c r="J20" s="7">
        <v>386420</v>
      </c>
      <c r="K20" s="7"/>
      <c r="M20" s="7"/>
    </row>
    <row r="21" spans="1:14" ht="15.6" x14ac:dyDescent="0.3">
      <c r="G21" s="32" t="s">
        <v>55</v>
      </c>
      <c r="H21" s="35">
        <v>12050</v>
      </c>
      <c r="I21" s="11" t="s">
        <v>50</v>
      </c>
      <c r="J21" s="7">
        <v>10130</v>
      </c>
      <c r="M21" s="7"/>
    </row>
    <row r="22" spans="1:14" ht="15.6" x14ac:dyDescent="0.3">
      <c r="G22" s="32" t="s">
        <v>14</v>
      </c>
      <c r="H22" s="41">
        <f>H20+H21</f>
        <v>408600</v>
      </c>
      <c r="I22" s="11" t="s">
        <v>14</v>
      </c>
      <c r="J22" s="7">
        <v>396550</v>
      </c>
      <c r="M22" s="7"/>
    </row>
    <row r="23" spans="1:14" ht="15.6" x14ac:dyDescent="0.3">
      <c r="C23" s="12"/>
      <c r="D23" s="8"/>
      <c r="E23" s="9"/>
      <c r="F23" s="7"/>
      <c r="G23" s="32" t="s">
        <v>15</v>
      </c>
      <c r="H23" s="45">
        <f>H19-H22</f>
        <v>-862018.88800000004</v>
      </c>
      <c r="I23" s="11" t="s">
        <v>15</v>
      </c>
      <c r="J23" s="7">
        <v>-919186.73</v>
      </c>
      <c r="K23" s="7"/>
      <c r="L23" s="6"/>
      <c r="M23" s="7"/>
    </row>
    <row r="24" spans="1:14" ht="15.6" x14ac:dyDescent="0.3">
      <c r="G24" s="38" t="s">
        <v>30</v>
      </c>
      <c r="H24" s="7">
        <v>57000</v>
      </c>
      <c r="I24" s="11" t="s">
        <v>30</v>
      </c>
      <c r="J24" s="7">
        <v>57000</v>
      </c>
    </row>
    <row r="25" spans="1:14" ht="15.6" x14ac:dyDescent="0.3">
      <c r="G25" s="38" t="s">
        <v>31</v>
      </c>
      <c r="H25" s="42">
        <f>H23+H24</f>
        <v>-805018.88800000004</v>
      </c>
      <c r="I25" s="11" t="s">
        <v>31</v>
      </c>
      <c r="J25" s="7">
        <v>-862186.73</v>
      </c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F07A-D0A7-416B-8994-ABDD1C22435D}">
  <dimension ref="A1:N18"/>
  <sheetViews>
    <sheetView workbookViewId="0">
      <pane ySplit="1" topLeftCell="A2" activePane="bottomLeft" state="frozen"/>
      <selection pane="bottomLeft" activeCell="I6" sqref="I6:J14"/>
    </sheetView>
  </sheetViews>
  <sheetFormatPr defaultColWidth="8.625" defaultRowHeight="13.8" x14ac:dyDescent="0.3"/>
  <cols>
    <col min="1" max="1" width="12.375" style="5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5.125" style="7" bestFit="1" customWidth="1"/>
    <col min="9" max="9" width="13.375" style="11" bestFit="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27</v>
      </c>
      <c r="B2" s="28">
        <v>44846</v>
      </c>
      <c r="C2" s="29">
        <v>0</v>
      </c>
      <c r="D2" s="30" t="s">
        <v>9</v>
      </c>
      <c r="E2" s="31"/>
      <c r="F2" s="37">
        <v>1.3</v>
      </c>
      <c r="G2" s="31">
        <f>C2*F2</f>
        <v>0</v>
      </c>
      <c r="H2" s="32">
        <f>G2*0.9</f>
        <v>0</v>
      </c>
      <c r="I2" s="11"/>
      <c r="J2" s="7"/>
      <c r="K2" s="7"/>
      <c r="L2" s="15"/>
      <c r="M2" s="15"/>
      <c r="N2" s="6"/>
    </row>
    <row r="3" spans="1:14" s="1" customFormat="1" ht="21.75" customHeight="1" x14ac:dyDescent="0.6">
      <c r="A3" s="27"/>
      <c r="B3" s="28"/>
      <c r="C3" s="29"/>
      <c r="D3" s="30"/>
      <c r="E3" s="31"/>
      <c r="F3" s="30"/>
      <c r="G3" s="31"/>
      <c r="H3" s="34">
        <f>SUM(H2:H2)</f>
        <v>0</v>
      </c>
      <c r="I3" s="11"/>
      <c r="J3" s="7"/>
      <c r="K3" s="7"/>
      <c r="L3" s="15"/>
      <c r="M3" s="15"/>
      <c r="N3" s="6"/>
    </row>
    <row r="4" spans="1:14" s="1" customFormat="1" ht="21.75" customHeight="1" x14ac:dyDescent="0.6">
      <c r="A4" s="27" t="s">
        <v>26</v>
      </c>
      <c r="B4" s="28">
        <v>45590</v>
      </c>
      <c r="C4" s="29">
        <v>1500</v>
      </c>
      <c r="D4" s="30">
        <v>12</v>
      </c>
      <c r="E4" s="31">
        <v>19756.14</v>
      </c>
      <c r="F4" s="30">
        <v>0</v>
      </c>
      <c r="G4" s="31">
        <v>19756.14</v>
      </c>
      <c r="H4" s="40">
        <f>G4-E4</f>
        <v>0</v>
      </c>
      <c r="I4" s="11"/>
      <c r="J4" s="7"/>
      <c r="K4" s="7"/>
      <c r="L4" s="15"/>
      <c r="M4" s="15"/>
      <c r="N4" s="6"/>
    </row>
    <row r="5" spans="1:14" ht="21.75" customHeight="1" x14ac:dyDescent="0.3">
      <c r="A5" s="26"/>
      <c r="B5" s="28"/>
      <c r="C5" s="29"/>
      <c r="D5" s="33"/>
      <c r="E5" s="32">
        <f>SUM(E4:E4)</f>
        <v>19756.14</v>
      </c>
      <c r="F5" s="30"/>
      <c r="G5" s="32">
        <f>SUM(G4:G4)</f>
        <v>19756.14</v>
      </c>
      <c r="H5" s="32">
        <f>SUM(H4:H4)</f>
        <v>0</v>
      </c>
      <c r="K5" s="7"/>
      <c r="L5" s="15"/>
      <c r="M5" s="15"/>
    </row>
    <row r="6" spans="1:14" s="1" customFormat="1" ht="21.75" customHeight="1" x14ac:dyDescent="0.6">
      <c r="A6" s="26"/>
      <c r="B6" s="28"/>
      <c r="C6" s="29"/>
      <c r="D6" s="33"/>
      <c r="E6" s="32"/>
      <c r="F6" s="30"/>
      <c r="G6" s="32" t="s">
        <v>12</v>
      </c>
      <c r="H6" s="43">
        <f>H3+H5</f>
        <v>0</v>
      </c>
      <c r="I6" s="11" t="s">
        <v>12</v>
      </c>
      <c r="J6" s="7">
        <v>30614.600000000002</v>
      </c>
      <c r="K6" s="7"/>
      <c r="L6" s="15"/>
      <c r="M6" s="15"/>
      <c r="N6" s="6"/>
    </row>
    <row r="7" spans="1:14" ht="21.75" customHeight="1" x14ac:dyDescent="0.3">
      <c r="A7" s="26"/>
      <c r="B7" s="28"/>
      <c r="C7" s="29"/>
      <c r="D7" s="33"/>
      <c r="E7" s="32"/>
      <c r="F7" s="30"/>
      <c r="G7" s="32" t="s">
        <v>16</v>
      </c>
      <c r="H7" s="32">
        <v>-522636.73</v>
      </c>
      <c r="I7" s="32" t="s">
        <v>16</v>
      </c>
      <c r="J7" s="7">
        <v>-553251.32999999996</v>
      </c>
      <c r="K7" s="7"/>
      <c r="L7" s="15"/>
      <c r="M7" s="15"/>
    </row>
    <row r="8" spans="1:14" ht="21.75" customHeight="1" x14ac:dyDescent="0.3">
      <c r="A8" s="26"/>
      <c r="B8" s="28"/>
      <c r="C8" s="29"/>
      <c r="D8" s="33"/>
      <c r="E8" s="32"/>
      <c r="F8" s="30"/>
      <c r="G8" s="32" t="s">
        <v>28</v>
      </c>
      <c r="H8" s="41">
        <f>H6+H7</f>
        <v>-522636.73</v>
      </c>
      <c r="I8" s="11" t="s">
        <v>28</v>
      </c>
      <c r="J8" s="7">
        <v>-522636.73</v>
      </c>
      <c r="K8" s="7"/>
      <c r="L8" s="15"/>
      <c r="M8" s="15"/>
    </row>
    <row r="9" spans="1:14" ht="21.75" customHeight="1" x14ac:dyDescent="0.3">
      <c r="A9" s="26"/>
      <c r="B9" s="28"/>
      <c r="C9" s="29"/>
      <c r="D9" s="33"/>
      <c r="E9" s="32"/>
      <c r="F9" s="30"/>
      <c r="G9" s="32" t="s">
        <v>13</v>
      </c>
      <c r="H9" s="35">
        <v>396550</v>
      </c>
      <c r="I9" s="32" t="s">
        <v>13</v>
      </c>
      <c r="J9" s="7">
        <v>386420</v>
      </c>
      <c r="K9" s="7"/>
      <c r="L9" s="15"/>
      <c r="M9" s="15"/>
    </row>
    <row r="10" spans="1:14" ht="21.75" customHeight="1" x14ac:dyDescent="0.3">
      <c r="A10" s="26"/>
      <c r="B10" s="28"/>
      <c r="C10" s="29"/>
      <c r="D10" s="33"/>
      <c r="E10" s="32"/>
      <c r="F10" s="30"/>
      <c r="G10" s="32" t="s">
        <v>54</v>
      </c>
      <c r="H10" s="35">
        <v>24420</v>
      </c>
      <c r="I10" s="11" t="s">
        <v>50</v>
      </c>
      <c r="J10" s="7">
        <v>10130</v>
      </c>
      <c r="K10" s="7"/>
      <c r="L10" s="15"/>
      <c r="M10" s="15"/>
    </row>
    <row r="11" spans="1:14" s="1" customFormat="1" ht="21.75" customHeight="1" x14ac:dyDescent="0.6">
      <c r="A11" s="26"/>
      <c r="B11" s="28"/>
      <c r="C11" s="29"/>
      <c r="D11" s="33"/>
      <c r="E11" s="32"/>
      <c r="F11" s="30"/>
      <c r="G11" s="32" t="s">
        <v>14</v>
      </c>
      <c r="H11" s="41">
        <f>H9+H10</f>
        <v>420970</v>
      </c>
      <c r="I11" s="11" t="s">
        <v>14</v>
      </c>
      <c r="J11" s="7">
        <v>396550</v>
      </c>
      <c r="K11" s="7"/>
      <c r="L11" s="15"/>
      <c r="M11" s="15"/>
      <c r="N11" s="6"/>
    </row>
    <row r="12" spans="1:14" s="1" customFormat="1" ht="21.75" customHeight="1" x14ac:dyDescent="0.6">
      <c r="A12" s="5"/>
      <c r="B12" s="12"/>
      <c r="C12" s="8"/>
      <c r="D12" s="9"/>
      <c r="E12" s="7"/>
      <c r="F12" s="10"/>
      <c r="G12" s="32" t="s">
        <v>15</v>
      </c>
      <c r="H12" s="45">
        <f>H8-H11</f>
        <v>-943606.73</v>
      </c>
      <c r="I12" s="11" t="s">
        <v>15</v>
      </c>
      <c r="J12" s="7">
        <v>-919186.73</v>
      </c>
      <c r="K12" s="7"/>
      <c r="L12" s="15"/>
      <c r="M12" s="15"/>
      <c r="N12" s="6"/>
    </row>
    <row r="13" spans="1:14" s="1" customFormat="1" ht="21.75" customHeight="1" x14ac:dyDescent="0.6">
      <c r="A13" s="5"/>
      <c r="B13" s="12"/>
      <c r="C13" s="8"/>
      <c r="D13" s="9"/>
      <c r="E13" s="7"/>
      <c r="F13" s="10"/>
      <c r="G13" s="38" t="s">
        <v>30</v>
      </c>
      <c r="H13" s="7">
        <v>57000</v>
      </c>
      <c r="I13" s="11" t="s">
        <v>30</v>
      </c>
      <c r="J13" s="7">
        <v>57000</v>
      </c>
      <c r="K13" s="7"/>
      <c r="L13" s="15"/>
      <c r="M13" s="15"/>
      <c r="N13" s="6"/>
    </row>
    <row r="14" spans="1:14" s="1" customFormat="1" ht="21.75" customHeight="1" x14ac:dyDescent="0.6">
      <c r="A14" s="6"/>
      <c r="B14" s="12"/>
      <c r="C14" s="8"/>
      <c r="D14" s="10"/>
      <c r="E14" s="14"/>
      <c r="F14" s="10"/>
      <c r="G14" s="38" t="s">
        <v>31</v>
      </c>
      <c r="H14" s="42">
        <f>H12+H13</f>
        <v>-886606.73</v>
      </c>
      <c r="I14" s="11" t="s">
        <v>31</v>
      </c>
      <c r="J14" s="7">
        <v>-862186.73</v>
      </c>
      <c r="K14" s="7"/>
      <c r="L14" s="15"/>
      <c r="M14" s="15"/>
      <c r="N14" s="6"/>
    </row>
    <row r="15" spans="1:14" x14ac:dyDescent="0.3">
      <c r="K15" s="7"/>
      <c r="M15" s="7"/>
    </row>
    <row r="16" spans="1:14" x14ac:dyDescent="0.3">
      <c r="M16" s="7"/>
    </row>
    <row r="17" spans="3:13" x14ac:dyDescent="0.3">
      <c r="M17" s="7"/>
    </row>
    <row r="18" spans="3:13" x14ac:dyDescent="0.3">
      <c r="C18" s="12"/>
      <c r="D18" s="8"/>
      <c r="E18" s="9"/>
      <c r="F18" s="7"/>
      <c r="G18" s="10"/>
      <c r="I18" s="7"/>
      <c r="J18" s="11"/>
      <c r="K18" s="7"/>
      <c r="L18" s="6"/>
      <c r="M18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44F9-630F-4E32-B67B-5CF42760770C}">
  <dimension ref="A1:N20"/>
  <sheetViews>
    <sheetView workbookViewId="0">
      <pane ySplit="1" topLeftCell="A2" activePane="bottomLeft" state="frozen"/>
      <selection pane="bottomLeft" activeCell="A4" sqref="A4:XFD6"/>
    </sheetView>
  </sheetViews>
  <sheetFormatPr defaultColWidth="8.625" defaultRowHeight="13.8" x14ac:dyDescent="0.3"/>
  <cols>
    <col min="1" max="1" width="8.125" style="5" bestFit="1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5.125" style="7" bestFit="1" customWidth="1"/>
    <col min="9" max="9" width="14.25" style="1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36</v>
      </c>
      <c r="B2" s="28">
        <v>45576</v>
      </c>
      <c r="C2" s="29">
        <v>6800</v>
      </c>
      <c r="D2" s="30" t="s">
        <v>9</v>
      </c>
      <c r="E2" s="31"/>
      <c r="F2" s="52">
        <v>0</v>
      </c>
      <c r="G2" s="31">
        <f>C2*F2</f>
        <v>0</v>
      </c>
      <c r="H2" s="53">
        <f>G2*0.9</f>
        <v>0</v>
      </c>
      <c r="I2" s="11"/>
      <c r="J2" s="7"/>
      <c r="K2" s="7"/>
      <c r="L2" s="15"/>
      <c r="M2" s="15"/>
      <c r="N2" s="6"/>
    </row>
    <row r="3" spans="1:14" s="1" customFormat="1" ht="21.75" customHeight="1" x14ac:dyDescent="0.6">
      <c r="A3" s="27"/>
      <c r="B3" s="28"/>
      <c r="C3" s="29"/>
      <c r="D3" s="30"/>
      <c r="E3" s="31"/>
      <c r="F3" s="30"/>
      <c r="G3" s="31"/>
      <c r="H3" s="34">
        <f>SUM(H2:H2)</f>
        <v>0</v>
      </c>
      <c r="I3" s="11"/>
      <c r="J3" s="7"/>
      <c r="K3" s="7"/>
      <c r="L3" s="15"/>
      <c r="M3" s="15"/>
      <c r="N3" s="6"/>
    </row>
    <row r="4" spans="1:14" s="1" customFormat="1" ht="21.75" customHeight="1" x14ac:dyDescent="0.6">
      <c r="A4" s="27" t="s">
        <v>41</v>
      </c>
      <c r="B4" s="28">
        <v>45931</v>
      </c>
      <c r="C4" s="29">
        <v>10000</v>
      </c>
      <c r="D4" s="30">
        <v>2.62</v>
      </c>
      <c r="E4" s="31">
        <v>26258.03</v>
      </c>
      <c r="F4" s="30">
        <v>2.72</v>
      </c>
      <c r="G4" s="31">
        <v>27139.759999999998</v>
      </c>
      <c r="H4" s="40">
        <f>G4-E4</f>
        <v>881.72999999999956</v>
      </c>
      <c r="I4" s="11"/>
      <c r="J4" s="7"/>
      <c r="K4" s="7"/>
      <c r="L4" s="15"/>
      <c r="M4" s="15"/>
      <c r="N4" s="6"/>
    </row>
    <row r="5" spans="1:14" s="1" customFormat="1" ht="21.75" customHeight="1" x14ac:dyDescent="0.6">
      <c r="A5" s="27" t="s">
        <v>39</v>
      </c>
      <c r="B5" s="28">
        <v>45937</v>
      </c>
      <c r="C5" s="29">
        <v>3000</v>
      </c>
      <c r="D5" s="30">
        <v>26</v>
      </c>
      <c r="E5" s="31">
        <v>78172.759999999995</v>
      </c>
      <c r="F5" s="30">
        <v>26.5</v>
      </c>
      <c r="G5" s="31">
        <v>79323.91</v>
      </c>
      <c r="H5" s="40">
        <f>G5-E5</f>
        <v>1151.1500000000087</v>
      </c>
      <c r="I5" s="11"/>
      <c r="J5" s="7"/>
      <c r="K5" s="7"/>
      <c r="L5" s="15"/>
      <c r="M5" s="15"/>
      <c r="N5" s="6"/>
    </row>
    <row r="6" spans="1:14" s="1" customFormat="1" ht="21.75" customHeight="1" x14ac:dyDescent="0.6">
      <c r="A6" s="27" t="s">
        <v>27</v>
      </c>
      <c r="B6" s="28">
        <v>45954</v>
      </c>
      <c r="C6" s="29">
        <v>2500</v>
      </c>
      <c r="D6" s="30">
        <v>31</v>
      </c>
      <c r="E6" s="31">
        <v>77671.66</v>
      </c>
      <c r="F6" s="30">
        <v>31.25</v>
      </c>
      <c r="G6" s="31">
        <v>77951.960000000006</v>
      </c>
      <c r="H6" s="40">
        <f>G6-E6</f>
        <v>280.30000000000291</v>
      </c>
      <c r="I6" s="11"/>
      <c r="J6" s="7"/>
      <c r="K6" s="7"/>
      <c r="L6" s="15"/>
      <c r="M6" s="15"/>
      <c r="N6" s="6"/>
    </row>
    <row r="7" spans="1:14" ht="21.75" customHeight="1" x14ac:dyDescent="0.3">
      <c r="A7" s="26"/>
      <c r="B7" s="28"/>
      <c r="C7" s="29"/>
      <c r="D7" s="33"/>
      <c r="E7" s="32">
        <f>SUM(E4:E6)</f>
        <v>182102.45</v>
      </c>
      <c r="F7" s="30"/>
      <c r="G7" s="32">
        <f t="shared" ref="G7:H7" si="0">SUM(G4:G6)</f>
        <v>184415.63</v>
      </c>
      <c r="H7" s="32">
        <f t="shared" si="0"/>
        <v>2313.1800000000112</v>
      </c>
      <c r="K7" s="7"/>
      <c r="L7" s="15"/>
      <c r="M7" s="15"/>
    </row>
    <row r="8" spans="1:14" s="1" customFormat="1" ht="21.75" customHeight="1" x14ac:dyDescent="0.6">
      <c r="A8" s="26"/>
      <c r="B8" s="28"/>
      <c r="C8" s="29"/>
      <c r="D8" s="33"/>
      <c r="E8" s="32"/>
      <c r="F8" s="30"/>
      <c r="G8" s="32" t="s">
        <v>12</v>
      </c>
      <c r="H8" s="34">
        <f>H3+H7</f>
        <v>2313.1800000000112</v>
      </c>
      <c r="I8" s="11" t="s">
        <v>12</v>
      </c>
      <c r="J8" s="7">
        <v>30614.600000000002</v>
      </c>
      <c r="K8" s="7"/>
      <c r="L8" s="15"/>
      <c r="M8" s="15"/>
      <c r="N8" s="6"/>
    </row>
    <row r="9" spans="1:14" ht="21.75" customHeight="1" x14ac:dyDescent="0.3">
      <c r="A9" s="26"/>
      <c r="B9" s="28"/>
      <c r="C9" s="29"/>
      <c r="D9" s="33"/>
      <c r="E9" s="32"/>
      <c r="F9" s="30"/>
      <c r="G9" s="32" t="s">
        <v>16</v>
      </c>
      <c r="H9" s="32">
        <v>-522636.73</v>
      </c>
      <c r="I9" s="11" t="s">
        <v>16</v>
      </c>
      <c r="J9" s="7">
        <v>-553251.32999999996</v>
      </c>
      <c r="K9" s="7"/>
      <c r="L9" s="15"/>
      <c r="M9" s="15"/>
    </row>
    <row r="10" spans="1:14" ht="21.75" customHeight="1" x14ac:dyDescent="0.3">
      <c r="A10" s="26"/>
      <c r="B10" s="28"/>
      <c r="C10" s="29"/>
      <c r="D10" s="33"/>
      <c r="E10" s="32"/>
      <c r="F10" s="30"/>
      <c r="G10" s="32" t="s">
        <v>28</v>
      </c>
      <c r="H10" s="41">
        <f>H8+H9</f>
        <v>-520323.55</v>
      </c>
      <c r="I10" s="11" t="s">
        <v>28</v>
      </c>
      <c r="J10" s="7">
        <v>-522636.73</v>
      </c>
      <c r="K10" s="7"/>
      <c r="L10" s="15"/>
      <c r="M10" s="15"/>
    </row>
    <row r="11" spans="1:14" ht="21.75" customHeight="1" x14ac:dyDescent="0.3">
      <c r="A11" s="26"/>
      <c r="B11" s="28"/>
      <c r="C11" s="29"/>
      <c r="D11" s="33"/>
      <c r="E11" s="32"/>
      <c r="F11" s="30"/>
      <c r="G11" s="32" t="s">
        <v>13</v>
      </c>
      <c r="H11" s="35">
        <v>396550</v>
      </c>
      <c r="I11" s="11" t="s">
        <v>13</v>
      </c>
      <c r="J11" s="7">
        <v>386420</v>
      </c>
      <c r="K11" s="7"/>
      <c r="L11" s="15"/>
      <c r="M11" s="15"/>
    </row>
    <row r="12" spans="1:14" ht="21.75" customHeight="1" x14ac:dyDescent="0.3">
      <c r="A12" s="26"/>
      <c r="B12" s="28"/>
      <c r="C12" s="29"/>
      <c r="D12" s="33"/>
      <c r="E12" s="32"/>
      <c r="F12" s="30"/>
      <c r="G12" s="32" t="s">
        <v>53</v>
      </c>
      <c r="H12" s="35">
        <v>19270</v>
      </c>
      <c r="I12" s="11" t="s">
        <v>50</v>
      </c>
      <c r="J12" s="7">
        <v>10130</v>
      </c>
      <c r="K12" s="7"/>
      <c r="L12" s="15"/>
      <c r="M12" s="15"/>
    </row>
    <row r="13" spans="1:14" s="1" customFormat="1" ht="21.75" customHeight="1" x14ac:dyDescent="0.6">
      <c r="A13" s="26"/>
      <c r="B13" s="28"/>
      <c r="C13" s="29"/>
      <c r="D13" s="33"/>
      <c r="E13" s="32"/>
      <c r="F13" s="30"/>
      <c r="G13" s="32" t="s">
        <v>14</v>
      </c>
      <c r="H13" s="41">
        <f>H11+H12</f>
        <v>415820</v>
      </c>
      <c r="I13" s="11" t="s">
        <v>14</v>
      </c>
      <c r="J13" s="7">
        <v>396550</v>
      </c>
      <c r="K13" s="7"/>
      <c r="L13" s="15"/>
      <c r="M13" s="15"/>
      <c r="N13" s="6"/>
    </row>
    <row r="14" spans="1:14" s="1" customFormat="1" ht="21.75" customHeight="1" x14ac:dyDescent="0.6">
      <c r="A14" s="5"/>
      <c r="B14" s="12"/>
      <c r="C14" s="8"/>
      <c r="D14" s="9"/>
      <c r="E14" s="7"/>
      <c r="F14" s="10"/>
      <c r="G14" s="32" t="s">
        <v>15</v>
      </c>
      <c r="H14" s="45">
        <f>H10-H13</f>
        <v>-936143.55</v>
      </c>
      <c r="I14" s="11" t="s">
        <v>15</v>
      </c>
      <c r="J14" s="7">
        <v>-919186.73</v>
      </c>
      <c r="K14" s="7"/>
      <c r="L14" s="15"/>
      <c r="M14" s="15"/>
      <c r="N14" s="6"/>
    </row>
    <row r="15" spans="1:14" s="1" customFormat="1" ht="21.75" customHeight="1" x14ac:dyDescent="0.6">
      <c r="A15" s="5"/>
      <c r="B15" s="12"/>
      <c r="C15" s="8"/>
      <c r="D15" s="9"/>
      <c r="E15" s="7"/>
      <c r="F15" s="10"/>
      <c r="G15" s="38" t="s">
        <v>30</v>
      </c>
      <c r="H15" s="38">
        <v>57000</v>
      </c>
      <c r="I15" s="11" t="s">
        <v>30</v>
      </c>
      <c r="J15" s="7">
        <v>57000</v>
      </c>
      <c r="K15" s="7"/>
      <c r="L15" s="15"/>
      <c r="M15" s="15"/>
      <c r="N15" s="6"/>
    </row>
    <row r="16" spans="1:14" s="1" customFormat="1" ht="21.75" customHeight="1" x14ac:dyDescent="0.6">
      <c r="A16" s="6"/>
      <c r="B16" s="12"/>
      <c r="C16" s="8"/>
      <c r="D16" s="10"/>
      <c r="E16" s="14"/>
      <c r="F16" s="10"/>
      <c r="G16" s="38" t="s">
        <v>31</v>
      </c>
      <c r="H16" s="42">
        <f>H14+H15</f>
        <v>-879143.55</v>
      </c>
      <c r="I16" s="11" t="s">
        <v>31</v>
      </c>
      <c r="J16" s="7">
        <v>-862186.73</v>
      </c>
      <c r="K16" s="7"/>
      <c r="L16" s="15"/>
      <c r="M16" s="15"/>
      <c r="N16" s="6"/>
    </row>
    <row r="17" spans="3:13" x14ac:dyDescent="0.3">
      <c r="K17" s="7"/>
      <c r="M17" s="7"/>
    </row>
    <row r="18" spans="3:13" x14ac:dyDescent="0.3">
      <c r="M18" s="7"/>
    </row>
    <row r="19" spans="3:13" x14ac:dyDescent="0.3">
      <c r="M19" s="7"/>
    </row>
    <row r="20" spans="3:13" x14ac:dyDescent="0.3">
      <c r="C20" s="12"/>
      <c r="D20" s="8"/>
      <c r="E20" s="9"/>
      <c r="F20" s="7"/>
      <c r="G20" s="10"/>
      <c r="I20" s="7"/>
      <c r="J20" s="11"/>
      <c r="K20" s="7"/>
      <c r="L20" s="6"/>
      <c r="M20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SEP26</vt:lpstr>
      <vt:lpstr>AUG26</vt:lpstr>
      <vt:lpstr>JUL26</vt:lpstr>
      <vt:lpstr>JUN26</vt:lpstr>
      <vt:lpstr>MAY26</vt:lpstr>
      <vt:lpstr>APR26</vt:lpstr>
      <vt:lpstr>MAR26</vt:lpstr>
      <vt:lpstr>FEB26</vt:lpstr>
      <vt:lpstr>JAN26</vt:lpstr>
      <vt:lpstr>DEC25</vt:lpstr>
      <vt:lpstr>NOV25</vt:lpstr>
      <vt:lpstr>OCT25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2020-09-19T14:19:38Z</dcterms:created>
  <dcterms:modified xsi:type="dcterms:W3CDTF">2026-09-30T15:48:53Z</dcterms:modified>
  <cp:category/>
  <cp:contentStatus/>
</cp:coreProperties>
</file>