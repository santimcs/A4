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1509" documentId="11_E60897F41BE170836B02CE998F75CCDC64E183C8" xr6:coauthVersionLast="47" xr6:coauthVersionMax="47" xr10:uidLastSave="{C1094CAD-C36A-4263-93DD-AB75D5E3BD27}"/>
  <bookViews>
    <workbookView xWindow="13968" yWindow="744" windowWidth="7812" windowHeight="11496" xr2:uid="{00000000-000D-0000-FFFF-FFFF00000000}"/>
  </bookViews>
  <sheets>
    <sheet name="YTD Profi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0" i="1" l="1"/>
  <c r="C209" i="1"/>
  <c r="B210" i="1"/>
  <c r="B209" i="1"/>
  <c r="E203" i="1"/>
  <c r="D203" i="1"/>
  <c r="C203" i="1"/>
  <c r="B203" i="1"/>
  <c r="E197" i="1"/>
  <c r="D197" i="1"/>
  <c r="C197" i="1"/>
  <c r="B197" i="1"/>
  <c r="E191" i="1"/>
  <c r="D191" i="1"/>
  <c r="C191" i="1"/>
  <c r="B191" i="1"/>
  <c r="E185" i="1"/>
  <c r="D185" i="1"/>
  <c r="C185" i="1"/>
  <c r="B185" i="1"/>
  <c r="E179" i="1"/>
  <c r="D179" i="1"/>
  <c r="C179" i="1"/>
  <c r="B179" i="1"/>
  <c r="E173" i="1"/>
  <c r="D173" i="1"/>
  <c r="C173" i="1"/>
  <c r="B173" i="1"/>
  <c r="E167" i="1"/>
  <c r="D167" i="1"/>
  <c r="C167" i="1"/>
  <c r="B167" i="1"/>
  <c r="E161" i="1"/>
  <c r="D161" i="1"/>
  <c r="C161" i="1"/>
  <c r="B161" i="1"/>
  <c r="E155" i="1"/>
  <c r="D155" i="1"/>
  <c r="C155" i="1"/>
  <c r="B155" i="1"/>
  <c r="E149" i="1"/>
  <c r="D149" i="1"/>
  <c r="C149" i="1"/>
  <c r="B149" i="1"/>
  <c r="E143" i="1"/>
  <c r="D143" i="1"/>
  <c r="C143" i="1"/>
  <c r="B143" i="1"/>
  <c r="E137" i="1"/>
  <c r="D137" i="1"/>
  <c r="C137" i="1"/>
  <c r="B137" i="1"/>
  <c r="E131" i="1"/>
  <c r="D131" i="1"/>
  <c r="C131" i="1"/>
  <c r="B131" i="1"/>
  <c r="E125" i="1"/>
  <c r="D125" i="1"/>
  <c r="C125" i="1"/>
  <c r="B125" i="1"/>
  <c r="E119" i="1"/>
  <c r="D119" i="1"/>
  <c r="C119" i="1"/>
  <c r="B119" i="1"/>
  <c r="E113" i="1"/>
  <c r="D113" i="1"/>
  <c r="C113" i="1"/>
  <c r="B113" i="1"/>
  <c r="E107" i="1"/>
  <c r="D107" i="1"/>
  <c r="C107" i="1"/>
  <c r="B107" i="1"/>
  <c r="E101" i="1"/>
  <c r="D101" i="1"/>
  <c r="C101" i="1"/>
  <c r="B101" i="1"/>
  <c r="E95" i="1"/>
  <c r="D95" i="1"/>
  <c r="C95" i="1"/>
  <c r="B95" i="1"/>
  <c r="E89" i="1"/>
  <c r="D89" i="1"/>
  <c r="C89" i="1"/>
  <c r="B89" i="1"/>
  <c r="E83" i="1"/>
  <c r="D83" i="1"/>
  <c r="C83" i="1"/>
  <c r="B83" i="1"/>
  <c r="E77" i="1"/>
  <c r="D77" i="1"/>
  <c r="C77" i="1"/>
  <c r="B77" i="1"/>
  <c r="E71" i="1"/>
  <c r="D71" i="1"/>
  <c r="C71" i="1"/>
  <c r="B71" i="1"/>
  <c r="E65" i="1"/>
  <c r="D65" i="1"/>
  <c r="C65" i="1"/>
  <c r="B65" i="1"/>
  <c r="C59" i="1"/>
  <c r="B59" i="1"/>
  <c r="E56" i="1"/>
  <c r="E55" i="1"/>
  <c r="E53" i="1"/>
  <c r="D53" i="1"/>
  <c r="C53" i="1"/>
  <c r="B53" i="1"/>
  <c r="E47" i="1"/>
  <c r="D47" i="1"/>
  <c r="C47" i="1"/>
  <c r="B47" i="1"/>
  <c r="E41" i="1"/>
  <c r="D41" i="1"/>
  <c r="C41" i="1"/>
  <c r="B41" i="1"/>
  <c r="E35" i="1"/>
  <c r="D35" i="1"/>
  <c r="C35" i="1"/>
  <c r="B35" i="1"/>
  <c r="E29" i="1"/>
  <c r="D29" i="1"/>
  <c r="C29" i="1"/>
  <c r="B29" i="1"/>
  <c r="E23" i="1"/>
  <c r="D23" i="1"/>
  <c r="C23" i="1"/>
  <c r="B23" i="1"/>
  <c r="C17" i="1"/>
  <c r="B17" i="1"/>
  <c r="G11" i="1"/>
  <c r="F11" i="1"/>
  <c r="E11" i="1"/>
  <c r="D11" i="1"/>
  <c r="C11" i="1"/>
  <c r="B11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<sst xmlns="http://schemas.openxmlformats.org/spreadsheetml/2006/main" count="176" uniqueCount="6">
  <si>
    <t>Date</t>
  </si>
  <si>
    <t>Expense</t>
  </si>
  <si>
    <t>Dividend</t>
  </si>
  <si>
    <t>Profit</t>
  </si>
  <si>
    <t>Net</t>
  </si>
  <si>
    <t>Div-Exp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</si>
</sst>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฿&quot;#,##0.00"/>
    <numFmt numFmtId="166" formatCode="&quot;฿&quot;#,##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164" fontId="3" fillId="0" borderId="0" xfId="0" applyNumberFormat="1" applyFont="1"/>
    <xf numFmtId="165" fontId="0" fillId="0" borderId="0" xfId="0" applyNumberFormat="1"/>
    <xf numFmtId="166" fontId="1" fillId="2" borderId="0" xfId="0" applyNumberFormat="1" applyFont="1" applyFill="1" applyAlignment="1">
      <alignment wrapText="1"/>
    </xf>
    <xf numFmtId="166" fontId="1" fillId="0" borderId="0" xfId="0" applyNumberFormat="1" applyFont="1" applyAlignment="1">
      <alignment wrapText="1"/>
    </xf>
    <xf numFmtId="166" fontId="2" fillId="0" borderId="0" xfId="0" applyNumberFormat="1" applyFont="1"/>
    <xf numFmtId="1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tabSelected="1" topLeftCell="A189" workbookViewId="0">
      <selection activeCell="C210" sqref="C210"/>
    </sheetView>
  </sheetViews>
  <sheetFormatPr defaultRowHeight="14.4" x14ac:dyDescent="0.3"/>
  <cols>
    <col min="1" max="1" width="10.5546875" bestFit="1" customWidth="1"/>
    <col min="2" max="2" width="11.44140625" bestFit="1" customWidth="1"/>
    <col min="3" max="3" width="11.44140625" style="2" bestFit="1" customWidth="1"/>
    <col min="4" max="4" width="11.6640625" style="2" bestFit="1" customWidth="1"/>
    <col min="5" max="6" width="12.33203125" style="2" customWidth="1"/>
    <col min="7" max="7" width="11.6640625" style="2" bestFit="1" customWidth="1"/>
    <col min="8" max="9" width="12" style="5" customWidth="1"/>
  </cols>
  <sheetData>
    <row r="1" spans="1:7" s="1" customFormat="1" x14ac:dyDescent="0.3">
      <c r="A1" s="4" t="s">
        <v>0</v>
      </c>
      <c r="B1" s="4">
        <v>44286</v>
      </c>
      <c r="C1" s="4">
        <v>44313</v>
      </c>
      <c r="D1" s="4">
        <v>44347</v>
      </c>
      <c r="E1" s="4">
        <v>44377</v>
      </c>
      <c r="F1" s="4">
        <v>44404</v>
      </c>
      <c r="G1" s="4">
        <v>44439</v>
      </c>
    </row>
    <row r="2" spans="1:7" s="2" customFormat="1" x14ac:dyDescent="0.3">
      <c r="A2" s="3" t="s">
        <v>1</v>
      </c>
      <c r="B2" s="6">
        <v>178420</v>
      </c>
      <c r="C2" s="6">
        <v>226000</v>
      </c>
      <c r="D2" s="6">
        <v>276000</v>
      </c>
      <c r="E2" s="6">
        <v>290000</v>
      </c>
      <c r="F2" s="6">
        <v>304000</v>
      </c>
      <c r="G2" s="6">
        <v>418000</v>
      </c>
    </row>
    <row r="3" spans="1:7" s="2" customFormat="1" x14ac:dyDescent="0.3">
      <c r="A3" s="3" t="s">
        <v>2</v>
      </c>
      <c r="B3" s="7">
        <v>80950</v>
      </c>
      <c r="C3" s="7">
        <v>181000</v>
      </c>
      <c r="D3" s="7">
        <v>360000</v>
      </c>
      <c r="E3" s="7">
        <v>410000</v>
      </c>
      <c r="F3" s="7">
        <v>411000</v>
      </c>
      <c r="G3" s="7">
        <v>444000</v>
      </c>
    </row>
    <row r="4" spans="1:7" s="2" customFormat="1" x14ac:dyDescent="0.3">
      <c r="A4" s="3" t="s">
        <v>3</v>
      </c>
      <c r="B4" s="6">
        <v>252410</v>
      </c>
      <c r="C4" s="6">
        <v>274000</v>
      </c>
      <c r="D4" s="6">
        <v>408000</v>
      </c>
      <c r="E4" s="6">
        <v>430000</v>
      </c>
      <c r="F4" s="6">
        <v>316000</v>
      </c>
      <c r="G4" s="6">
        <v>418000</v>
      </c>
    </row>
    <row r="5" spans="1:7" s="2" customFormat="1" x14ac:dyDescent="0.3">
      <c r="A5" s="3" t="s">
        <v>4</v>
      </c>
      <c r="B5" s="8">
        <f t="shared" ref="B5:G5" si="0">B4+B3-B2</f>
        <v>154940</v>
      </c>
      <c r="C5" s="8">
        <f t="shared" si="0"/>
        <v>229000</v>
      </c>
      <c r="D5" s="8">
        <f t="shared" si="0"/>
        <v>492000</v>
      </c>
      <c r="E5" s="8">
        <f t="shared" si="0"/>
        <v>550000</v>
      </c>
      <c r="F5" s="8">
        <f t="shared" si="0"/>
        <v>423000</v>
      </c>
      <c r="G5" s="8">
        <f t="shared" si="0"/>
        <v>444000</v>
      </c>
    </row>
    <row r="6" spans="1:7" s="2" customFormat="1" x14ac:dyDescent="0.3">
      <c r="A6" s="3"/>
      <c r="B6" s="8"/>
      <c r="C6" s="8"/>
      <c r="D6" s="8"/>
      <c r="E6" s="8"/>
      <c r="F6" s="8"/>
      <c r="G6" s="8"/>
    </row>
    <row r="7" spans="1:7" x14ac:dyDescent="0.3">
      <c r="A7" s="4" t="s">
        <v>0</v>
      </c>
      <c r="B7" s="4">
        <v>44469</v>
      </c>
      <c r="C7" s="4">
        <v>44530</v>
      </c>
      <c r="D7" s="4">
        <v>44539</v>
      </c>
      <c r="E7" s="4">
        <v>44544</v>
      </c>
      <c r="F7" s="4">
        <v>44547</v>
      </c>
      <c r="G7" s="4">
        <v>44550</v>
      </c>
    </row>
    <row r="8" spans="1:7" x14ac:dyDescent="0.3">
      <c r="A8" s="3" t="s">
        <v>1</v>
      </c>
      <c r="B8" s="6">
        <v>467000</v>
      </c>
      <c r="C8" s="6">
        <v>533000</v>
      </c>
      <c r="D8" s="6">
        <v>535000</v>
      </c>
      <c r="E8" s="6">
        <v>537000</v>
      </c>
      <c r="F8" s="6">
        <v>538000</v>
      </c>
      <c r="G8" s="6">
        <v>538000</v>
      </c>
    </row>
    <row r="9" spans="1:7" x14ac:dyDescent="0.3">
      <c r="A9" s="3" t="s">
        <v>2</v>
      </c>
      <c r="B9" s="7">
        <v>617000</v>
      </c>
      <c r="C9" s="7">
        <v>591000</v>
      </c>
      <c r="D9" s="7">
        <v>686000</v>
      </c>
      <c r="E9" s="7">
        <v>687000</v>
      </c>
      <c r="F9" s="7">
        <v>687000</v>
      </c>
      <c r="G9" s="7">
        <v>690000</v>
      </c>
    </row>
    <row r="10" spans="1:7" x14ac:dyDescent="0.3">
      <c r="A10" s="3" t="s">
        <v>3</v>
      </c>
      <c r="B10" s="6">
        <v>432000</v>
      </c>
      <c r="C10" s="6">
        <v>550000</v>
      </c>
      <c r="D10" s="6">
        <v>552000</v>
      </c>
      <c r="E10" s="6">
        <v>544000</v>
      </c>
      <c r="F10" s="6">
        <v>560000</v>
      </c>
      <c r="G10" s="6">
        <v>560000</v>
      </c>
    </row>
    <row r="11" spans="1:7" x14ac:dyDescent="0.3">
      <c r="A11" s="3" t="s">
        <v>4</v>
      </c>
      <c r="B11" s="8">
        <f t="shared" ref="B11:G11" si="1">B10+B9-B8</f>
        <v>582000</v>
      </c>
      <c r="C11" s="8">
        <f t="shared" si="1"/>
        <v>608000</v>
      </c>
      <c r="D11" s="8">
        <f t="shared" si="1"/>
        <v>703000</v>
      </c>
      <c r="E11" s="8">
        <f t="shared" si="1"/>
        <v>694000</v>
      </c>
      <c r="F11" s="8">
        <f t="shared" si="1"/>
        <v>709000</v>
      </c>
      <c r="G11" s="8">
        <f t="shared" si="1"/>
        <v>712000</v>
      </c>
    </row>
    <row r="13" spans="1:7" x14ac:dyDescent="0.3">
      <c r="A13" s="4" t="s">
        <v>0</v>
      </c>
      <c r="B13" s="4">
        <v>44554</v>
      </c>
      <c r="C13" s="4">
        <v>44560</v>
      </c>
    </row>
    <row r="14" spans="1:7" x14ac:dyDescent="0.3">
      <c r="A14" s="3" t="s">
        <v>1</v>
      </c>
      <c r="B14" s="6">
        <v>541000</v>
      </c>
      <c r="C14" s="6">
        <v>660000</v>
      </c>
    </row>
    <row r="15" spans="1:7" x14ac:dyDescent="0.3">
      <c r="A15" s="3" t="s">
        <v>2</v>
      </c>
      <c r="B15" s="7">
        <v>700000</v>
      </c>
      <c r="C15" s="7">
        <v>700000</v>
      </c>
    </row>
    <row r="16" spans="1:7" x14ac:dyDescent="0.3">
      <c r="A16" s="3" t="s">
        <v>3</v>
      </c>
      <c r="B16" s="6">
        <v>558000</v>
      </c>
      <c r="C16" s="6">
        <v>536000</v>
      </c>
    </row>
    <row r="17" spans="1:7" x14ac:dyDescent="0.3">
      <c r="A17" s="3" t="s">
        <v>4</v>
      </c>
      <c r="B17" s="8">
        <f>B16+B15-B14</f>
        <v>717000</v>
      </c>
      <c r="C17" s="8">
        <f>C16+C15-C14</f>
        <v>576000</v>
      </c>
    </row>
    <row r="19" spans="1:7" x14ac:dyDescent="0.3">
      <c r="A19" s="4" t="s">
        <v>0</v>
      </c>
      <c r="B19" s="4">
        <v>44575</v>
      </c>
      <c r="C19" s="4">
        <v>44620</v>
      </c>
      <c r="D19" s="4">
        <v>44651</v>
      </c>
      <c r="E19" s="4">
        <v>44680</v>
      </c>
      <c r="F19" s="4"/>
      <c r="G19" s="4"/>
    </row>
    <row r="20" spans="1:7" x14ac:dyDescent="0.3">
      <c r="A20" s="3" t="s">
        <v>3</v>
      </c>
      <c r="B20" s="6">
        <v>66000</v>
      </c>
      <c r="C20" s="6">
        <v>35000</v>
      </c>
      <c r="D20" s="6">
        <v>71000</v>
      </c>
      <c r="E20" s="6">
        <v>72000</v>
      </c>
      <c r="F20" s="6"/>
      <c r="G20" s="6"/>
    </row>
    <row r="21" spans="1:7" x14ac:dyDescent="0.3">
      <c r="A21" s="3" t="s">
        <v>2</v>
      </c>
      <c r="B21" s="7">
        <v>0</v>
      </c>
      <c r="C21" s="7">
        <v>1500</v>
      </c>
      <c r="D21" s="7">
        <v>57000</v>
      </c>
      <c r="E21" s="7">
        <v>102000</v>
      </c>
      <c r="F21" s="7"/>
      <c r="G21" s="7"/>
    </row>
    <row r="22" spans="1:7" x14ac:dyDescent="0.3">
      <c r="A22" s="3" t="s">
        <v>1</v>
      </c>
      <c r="B22" s="6">
        <v>34000</v>
      </c>
      <c r="C22" s="6">
        <v>76000</v>
      </c>
      <c r="D22" s="6">
        <v>187000</v>
      </c>
      <c r="E22" s="6">
        <v>258000</v>
      </c>
      <c r="F22" s="6"/>
      <c r="G22" s="6"/>
    </row>
    <row r="23" spans="1:7" x14ac:dyDescent="0.3">
      <c r="A23" s="3" t="s">
        <v>4</v>
      </c>
      <c r="B23" s="8">
        <f>B20+B21-B22</f>
        <v>32000</v>
      </c>
      <c r="C23" s="8">
        <f>C20+C21-C22</f>
        <v>-39500</v>
      </c>
      <c r="D23" s="8">
        <f>D20+D21-D22</f>
        <v>-59000</v>
      </c>
      <c r="E23" s="8">
        <f>E20+E21-E22</f>
        <v>-84000</v>
      </c>
      <c r="F23" s="8"/>
      <c r="G23" s="8"/>
    </row>
    <row r="25" spans="1:7" x14ac:dyDescent="0.3">
      <c r="A25" s="4" t="s">
        <v>0</v>
      </c>
      <c r="B25" s="4">
        <v>44687</v>
      </c>
      <c r="C25" s="4">
        <v>44694</v>
      </c>
      <c r="D25" s="4">
        <v>44694</v>
      </c>
      <c r="E25" s="4">
        <v>44701</v>
      </c>
    </row>
    <row r="26" spans="1:7" x14ac:dyDescent="0.3">
      <c r="A26" s="3" t="s">
        <v>3</v>
      </c>
      <c r="B26" s="6">
        <v>72000</v>
      </c>
      <c r="C26" s="6">
        <v>34000</v>
      </c>
      <c r="D26" s="6">
        <v>15000</v>
      </c>
      <c r="E26" s="6">
        <v>15000</v>
      </c>
    </row>
    <row r="27" spans="1:7" x14ac:dyDescent="0.3">
      <c r="A27" s="3" t="s">
        <v>2</v>
      </c>
      <c r="B27" s="7">
        <v>173000</v>
      </c>
      <c r="C27" s="7">
        <v>205000</v>
      </c>
      <c r="D27" s="7">
        <v>205000</v>
      </c>
      <c r="E27" s="7">
        <v>284000</v>
      </c>
    </row>
    <row r="28" spans="1:7" x14ac:dyDescent="0.3">
      <c r="A28" s="3" t="s">
        <v>1</v>
      </c>
      <c r="B28" s="6">
        <v>258000</v>
      </c>
      <c r="C28" s="6">
        <v>267000</v>
      </c>
      <c r="D28" s="6">
        <v>277000</v>
      </c>
      <c r="E28" s="6">
        <v>277000</v>
      </c>
    </row>
    <row r="29" spans="1:7" x14ac:dyDescent="0.3">
      <c r="A29" s="3" t="s">
        <v>4</v>
      </c>
      <c r="B29" s="8">
        <f>B26+B27-B28</f>
        <v>-13000</v>
      </c>
      <c r="C29" s="8">
        <f>C26+C27-C28</f>
        <v>-28000</v>
      </c>
      <c r="D29" s="8">
        <f>D26+D27-D28</f>
        <v>-57000</v>
      </c>
      <c r="E29" s="8">
        <f>E26+E27-E28</f>
        <v>22000</v>
      </c>
    </row>
    <row r="31" spans="1:7" x14ac:dyDescent="0.3">
      <c r="A31" s="4" t="s">
        <v>0</v>
      </c>
      <c r="B31" s="4">
        <v>44708</v>
      </c>
      <c r="C31" s="4">
        <v>44714</v>
      </c>
      <c r="D31" s="4">
        <v>44722</v>
      </c>
      <c r="E31" s="4">
        <v>44729</v>
      </c>
    </row>
    <row r="32" spans="1:7" x14ac:dyDescent="0.3">
      <c r="A32" s="3" t="s">
        <v>3</v>
      </c>
      <c r="B32" s="6">
        <v>26000</v>
      </c>
      <c r="C32" s="6">
        <v>27000</v>
      </c>
      <c r="D32" s="6">
        <v>36000</v>
      </c>
      <c r="E32" s="6">
        <v>24000</v>
      </c>
    </row>
    <row r="33" spans="1:5" x14ac:dyDescent="0.3">
      <c r="A33" s="3" t="s">
        <v>2</v>
      </c>
      <c r="B33" s="7">
        <v>296000</v>
      </c>
      <c r="C33" s="7">
        <v>299000</v>
      </c>
      <c r="D33" s="7">
        <v>355000</v>
      </c>
      <c r="E33" s="7">
        <v>355000</v>
      </c>
    </row>
    <row r="34" spans="1:5" x14ac:dyDescent="0.3">
      <c r="A34" s="3" t="s">
        <v>1</v>
      </c>
      <c r="B34" s="6">
        <v>290000</v>
      </c>
      <c r="C34" s="6">
        <v>315000</v>
      </c>
      <c r="D34" s="6">
        <v>342000</v>
      </c>
      <c r="E34" s="6">
        <v>370000</v>
      </c>
    </row>
    <row r="35" spans="1:5" x14ac:dyDescent="0.3">
      <c r="A35" s="3" t="s">
        <v>4</v>
      </c>
      <c r="B35" s="8">
        <f>B32+B33-B34</f>
        <v>32000</v>
      </c>
      <c r="C35" s="8">
        <f>C32+C33-C34</f>
        <v>11000</v>
      </c>
      <c r="D35" s="8">
        <f>D32+D33-D34</f>
        <v>49000</v>
      </c>
      <c r="E35" s="8">
        <f>E32+E33-E34</f>
        <v>9000</v>
      </c>
    </row>
    <row r="37" spans="1:5" x14ac:dyDescent="0.3">
      <c r="A37" s="4" t="s">
        <v>0</v>
      </c>
      <c r="B37" s="4">
        <v>44736</v>
      </c>
      <c r="C37" s="4">
        <v>44742</v>
      </c>
      <c r="D37" s="4">
        <v>44750</v>
      </c>
      <c r="E37" s="4">
        <v>44767</v>
      </c>
    </row>
    <row r="38" spans="1:5" x14ac:dyDescent="0.3">
      <c r="A38" s="3" t="s">
        <v>3</v>
      </c>
      <c r="B38" s="6">
        <v>18000</v>
      </c>
      <c r="C38" s="6">
        <v>8000</v>
      </c>
      <c r="D38" s="6">
        <v>8000</v>
      </c>
      <c r="E38" s="6">
        <v>-900</v>
      </c>
    </row>
    <row r="39" spans="1:5" x14ac:dyDescent="0.3">
      <c r="A39" s="3" t="s">
        <v>2</v>
      </c>
      <c r="B39" s="7">
        <v>362000</v>
      </c>
      <c r="C39" s="7">
        <v>368000</v>
      </c>
      <c r="D39" s="7">
        <v>368000</v>
      </c>
      <c r="E39" s="7">
        <v>368000</v>
      </c>
    </row>
    <row r="40" spans="1:5" x14ac:dyDescent="0.3">
      <c r="A40" s="3" t="s">
        <v>1</v>
      </c>
      <c r="B40" s="6">
        <v>370000</v>
      </c>
      <c r="C40" s="6">
        <v>387000</v>
      </c>
      <c r="D40" s="6">
        <v>387000</v>
      </c>
      <c r="E40" s="6">
        <v>398000</v>
      </c>
    </row>
    <row r="41" spans="1:5" x14ac:dyDescent="0.3">
      <c r="A41" s="3" t="s">
        <v>4</v>
      </c>
      <c r="B41" s="8">
        <f>B38+B39-B40</f>
        <v>10000</v>
      </c>
      <c r="C41" s="8">
        <f>C38+C39-C40</f>
        <v>-11000</v>
      </c>
      <c r="D41" s="8">
        <f>D38+D39-D40</f>
        <v>-11000</v>
      </c>
      <c r="E41" s="8">
        <f>E38+E39-E40</f>
        <v>-30900</v>
      </c>
    </row>
    <row r="43" spans="1:5" x14ac:dyDescent="0.3">
      <c r="A43" s="4" t="s">
        <v>0</v>
      </c>
      <c r="B43" s="4">
        <v>44792</v>
      </c>
      <c r="C43" s="4">
        <v>44799</v>
      </c>
      <c r="D43" s="4">
        <v>44804</v>
      </c>
      <c r="E43" s="4">
        <v>44806</v>
      </c>
    </row>
    <row r="44" spans="1:5" x14ac:dyDescent="0.3">
      <c r="A44" s="3" t="s">
        <v>3</v>
      </c>
      <c r="B44" s="6">
        <v>0</v>
      </c>
      <c r="C44" s="6">
        <v>3700</v>
      </c>
      <c r="D44" s="6">
        <v>3700</v>
      </c>
      <c r="E44" s="6">
        <v>5000</v>
      </c>
    </row>
    <row r="45" spans="1:5" x14ac:dyDescent="0.3">
      <c r="A45" s="3" t="s">
        <v>2</v>
      </c>
      <c r="B45" s="7">
        <v>368000</v>
      </c>
      <c r="C45" s="7">
        <v>375000</v>
      </c>
      <c r="D45" s="7">
        <v>375000</v>
      </c>
      <c r="E45" s="7">
        <v>447000</v>
      </c>
    </row>
    <row r="46" spans="1:5" x14ac:dyDescent="0.3">
      <c r="A46" s="3" t="s">
        <v>1</v>
      </c>
      <c r="B46" s="6">
        <v>455000</v>
      </c>
      <c r="C46" s="6">
        <v>455000</v>
      </c>
      <c r="D46" s="6">
        <v>468000</v>
      </c>
      <c r="E46" s="6">
        <v>468000</v>
      </c>
    </row>
    <row r="47" spans="1:5" x14ac:dyDescent="0.3">
      <c r="A47" s="3" t="s">
        <v>4</v>
      </c>
      <c r="B47" s="8">
        <f>B44+B45-B46</f>
        <v>-87000</v>
      </c>
      <c r="C47" s="8">
        <f>C44+C45-C46</f>
        <v>-76300</v>
      </c>
      <c r="D47" s="8">
        <f>D44+D45-D46</f>
        <v>-89300</v>
      </c>
      <c r="E47" s="8">
        <f>E44+E45-E46</f>
        <v>-16000</v>
      </c>
    </row>
    <row r="49" spans="1:5" x14ac:dyDescent="0.3">
      <c r="A49" s="4" t="s">
        <v>0</v>
      </c>
      <c r="B49" s="4">
        <v>44813</v>
      </c>
      <c r="C49" s="4">
        <v>44820</v>
      </c>
      <c r="D49" s="4">
        <v>44827</v>
      </c>
      <c r="E49" s="4">
        <v>44834</v>
      </c>
    </row>
    <row r="50" spans="1:5" x14ac:dyDescent="0.3">
      <c r="A50" s="3" t="s">
        <v>3</v>
      </c>
      <c r="B50" s="6">
        <v>9000</v>
      </c>
      <c r="C50" s="6">
        <v>12000</v>
      </c>
      <c r="D50" s="6">
        <v>12000</v>
      </c>
      <c r="E50" s="6">
        <v>12000</v>
      </c>
    </row>
    <row r="51" spans="1:5" x14ac:dyDescent="0.3">
      <c r="A51" s="3" t="s">
        <v>2</v>
      </c>
      <c r="B51" s="7">
        <v>510000</v>
      </c>
      <c r="C51" s="7">
        <v>525000</v>
      </c>
      <c r="D51" s="7">
        <v>539000</v>
      </c>
      <c r="E51" s="7">
        <v>539000</v>
      </c>
    </row>
    <row r="52" spans="1:5" x14ac:dyDescent="0.3">
      <c r="A52" s="3" t="s">
        <v>1</v>
      </c>
      <c r="B52" s="6">
        <v>479000</v>
      </c>
      <c r="C52" s="6">
        <v>490000</v>
      </c>
      <c r="D52" s="6">
        <v>491000</v>
      </c>
      <c r="E52" s="6">
        <v>509000</v>
      </c>
    </row>
    <row r="53" spans="1:5" x14ac:dyDescent="0.3">
      <c r="A53" s="3" t="s">
        <v>4</v>
      </c>
      <c r="B53" s="8">
        <f>B50+B51-B52</f>
        <v>40000</v>
      </c>
      <c r="C53" s="8">
        <f>C50+C51-C52</f>
        <v>47000</v>
      </c>
      <c r="D53" s="8">
        <f>D50+D51-D52</f>
        <v>60000</v>
      </c>
      <c r="E53" s="8">
        <f>E50+E51-E52</f>
        <v>42000</v>
      </c>
    </row>
    <row r="55" spans="1:5" x14ac:dyDescent="0.3">
      <c r="A55" s="4" t="s">
        <v>0</v>
      </c>
      <c r="B55" s="4">
        <v>44841</v>
      </c>
      <c r="C55" s="4">
        <v>44841</v>
      </c>
      <c r="D55" s="2">
        <v>11467925</v>
      </c>
      <c r="E55" s="9">
        <f>E51/D55</f>
        <v>4.7000656177992095E-2</v>
      </c>
    </row>
    <row r="56" spans="1:5" x14ac:dyDescent="0.3">
      <c r="A56" s="3" t="s">
        <v>3</v>
      </c>
      <c r="B56" s="6">
        <v>1000</v>
      </c>
      <c r="C56" s="6">
        <v>1000</v>
      </c>
      <c r="D56" s="2">
        <v>8537110</v>
      </c>
      <c r="E56" s="9">
        <f>E51/D56</f>
        <v>6.3136119834463891E-2</v>
      </c>
    </row>
    <row r="57" spans="1:5" x14ac:dyDescent="0.3">
      <c r="A57" s="3" t="s">
        <v>2</v>
      </c>
      <c r="B57" s="7">
        <v>539000</v>
      </c>
      <c r="C57" s="7">
        <v>544000</v>
      </c>
    </row>
    <row r="58" spans="1:5" x14ac:dyDescent="0.3">
      <c r="A58" s="3" t="s">
        <v>1</v>
      </c>
      <c r="B58" s="6">
        <v>513000</v>
      </c>
      <c r="C58" s="6">
        <v>530000</v>
      </c>
    </row>
    <row r="59" spans="1:5" x14ac:dyDescent="0.3">
      <c r="A59" s="3" t="s">
        <v>4</v>
      </c>
      <c r="B59" s="8">
        <f>B56+B57-B58</f>
        <v>27000</v>
      </c>
      <c r="C59" s="8">
        <f>C56+C57-C58</f>
        <v>15000</v>
      </c>
    </row>
    <row r="61" spans="1:5" x14ac:dyDescent="0.3">
      <c r="A61" s="4" t="s">
        <v>0</v>
      </c>
      <c r="B61" s="4">
        <v>44855</v>
      </c>
      <c r="C61" s="4">
        <v>44865</v>
      </c>
      <c r="D61" s="4">
        <v>44869</v>
      </c>
      <c r="E61" s="4">
        <v>44876</v>
      </c>
    </row>
    <row r="62" spans="1:5" x14ac:dyDescent="0.3">
      <c r="A62" s="3" t="s">
        <v>3</v>
      </c>
      <c r="B62" s="6">
        <v>5000</v>
      </c>
      <c r="C62" s="6">
        <v>-25000</v>
      </c>
      <c r="D62" s="6">
        <v>-81000</v>
      </c>
      <c r="E62" s="6">
        <v>-103000</v>
      </c>
    </row>
    <row r="63" spans="1:5" x14ac:dyDescent="0.3">
      <c r="A63" s="3" t="s">
        <v>2</v>
      </c>
      <c r="B63" s="7">
        <v>544000</v>
      </c>
      <c r="C63" s="7">
        <v>544000</v>
      </c>
      <c r="D63" s="7">
        <v>544000</v>
      </c>
      <c r="E63" s="7">
        <v>544000</v>
      </c>
    </row>
    <row r="64" spans="1:5" x14ac:dyDescent="0.3">
      <c r="A64" s="3" t="s">
        <v>1</v>
      </c>
      <c r="B64" s="6">
        <v>530000</v>
      </c>
      <c r="C64" s="6">
        <v>575000</v>
      </c>
      <c r="D64" s="6">
        <v>578000</v>
      </c>
      <c r="E64" s="6">
        <v>602000</v>
      </c>
    </row>
    <row r="65" spans="1:5" x14ac:dyDescent="0.3">
      <c r="A65" s="3" t="s">
        <v>4</v>
      </c>
      <c r="B65" s="8">
        <f>B62+B63-B64</f>
        <v>19000</v>
      </c>
      <c r="C65" s="8">
        <f>C62+C63-C64</f>
        <v>-56000</v>
      </c>
      <c r="D65" s="8">
        <f>D62+D63-D64</f>
        <v>-115000</v>
      </c>
      <c r="E65" s="8">
        <f>E62+E63-E64</f>
        <v>-161000</v>
      </c>
    </row>
    <row r="67" spans="1:5" x14ac:dyDescent="0.3">
      <c r="A67" s="4" t="s">
        <v>0</v>
      </c>
      <c r="B67" s="4">
        <v>44883</v>
      </c>
      <c r="C67" s="4">
        <v>44890</v>
      </c>
      <c r="D67" s="4">
        <v>44897</v>
      </c>
      <c r="E67" s="4">
        <v>44904</v>
      </c>
    </row>
    <row r="68" spans="1:5" x14ac:dyDescent="0.3">
      <c r="A68" s="3" t="s">
        <v>3</v>
      </c>
      <c r="B68" s="6">
        <v>-119000</v>
      </c>
      <c r="C68" s="6">
        <v>-129000</v>
      </c>
      <c r="D68" s="6">
        <v>-129000</v>
      </c>
      <c r="E68" s="6">
        <v>-129000</v>
      </c>
    </row>
    <row r="69" spans="1:5" x14ac:dyDescent="0.3">
      <c r="A69" s="3" t="s">
        <v>2</v>
      </c>
      <c r="B69" s="7">
        <v>544000</v>
      </c>
      <c r="C69" s="7">
        <v>544000</v>
      </c>
      <c r="D69" s="7">
        <v>550000</v>
      </c>
      <c r="E69" s="7">
        <v>641000</v>
      </c>
    </row>
    <row r="70" spans="1:5" x14ac:dyDescent="0.3">
      <c r="A70" s="3" t="s">
        <v>1</v>
      </c>
      <c r="B70" s="6">
        <v>605000</v>
      </c>
      <c r="C70" s="6">
        <v>608000</v>
      </c>
      <c r="D70" s="6">
        <v>609000</v>
      </c>
      <c r="E70" s="6">
        <v>614000</v>
      </c>
    </row>
    <row r="71" spans="1:5" x14ac:dyDescent="0.3">
      <c r="A71" s="3" t="s">
        <v>4</v>
      </c>
      <c r="B71" s="8">
        <f>B68+B69-B70</f>
        <v>-180000</v>
      </c>
      <c r="C71" s="8">
        <f>C68+C69-C70</f>
        <v>-193000</v>
      </c>
      <c r="D71" s="8">
        <f>D68+D69-D70</f>
        <v>-188000</v>
      </c>
      <c r="E71" s="8">
        <f>E68+E69-E70</f>
        <v>-102000</v>
      </c>
    </row>
    <row r="73" spans="1:5" x14ac:dyDescent="0.3">
      <c r="A73" s="4" t="s">
        <v>0</v>
      </c>
      <c r="B73" s="4">
        <v>44918</v>
      </c>
      <c r="C73" s="4">
        <v>44925</v>
      </c>
      <c r="D73" s="4">
        <v>44939</v>
      </c>
      <c r="E73" s="4">
        <v>44946</v>
      </c>
    </row>
    <row r="74" spans="1:5" x14ac:dyDescent="0.3">
      <c r="A74" s="3" t="s">
        <v>3</v>
      </c>
      <c r="B74" s="6">
        <v>-136000</v>
      </c>
      <c r="C74" s="6">
        <v>-161000</v>
      </c>
      <c r="D74" s="6">
        <v>15000</v>
      </c>
      <c r="E74" s="6">
        <v>-25000</v>
      </c>
    </row>
    <row r="75" spans="1:5" x14ac:dyDescent="0.3">
      <c r="A75" s="3" t="s">
        <v>2</v>
      </c>
      <c r="B75" s="7">
        <v>659000</v>
      </c>
      <c r="C75" s="7">
        <v>660000</v>
      </c>
      <c r="D75" s="7">
        <v>0</v>
      </c>
      <c r="E75" s="7">
        <v>0</v>
      </c>
    </row>
    <row r="76" spans="1:5" x14ac:dyDescent="0.3">
      <c r="A76" s="3" t="s">
        <v>1</v>
      </c>
      <c r="B76" s="6">
        <v>622000</v>
      </c>
      <c r="C76" s="6">
        <v>622000</v>
      </c>
      <c r="D76" s="6">
        <v>39000</v>
      </c>
      <c r="E76" s="6">
        <v>43000</v>
      </c>
    </row>
    <row r="77" spans="1:5" x14ac:dyDescent="0.3">
      <c r="A77" s="3" t="s">
        <v>4</v>
      </c>
      <c r="B77" s="8">
        <f>B74+B75-B76</f>
        <v>-99000</v>
      </c>
      <c r="C77" s="8">
        <f>C74+C75-C76</f>
        <v>-123000</v>
      </c>
      <c r="D77" s="8">
        <f>D74+D75-D76</f>
        <v>-24000</v>
      </c>
      <c r="E77" s="8">
        <f>E74+E75-E76</f>
        <v>-68000</v>
      </c>
    </row>
    <row r="79" spans="1:5" x14ac:dyDescent="0.3">
      <c r="A79" s="4" t="s">
        <v>0</v>
      </c>
      <c r="B79" s="4">
        <v>44946</v>
      </c>
      <c r="C79" s="4">
        <v>44960</v>
      </c>
      <c r="D79" s="4">
        <v>44960</v>
      </c>
      <c r="E79" s="4">
        <v>44981</v>
      </c>
    </row>
    <row r="80" spans="1:5" x14ac:dyDescent="0.3">
      <c r="A80" s="3" t="s">
        <v>3</v>
      </c>
      <c r="B80" s="6">
        <v>-74000</v>
      </c>
      <c r="C80" s="6">
        <v>-88000</v>
      </c>
      <c r="D80" s="6">
        <v>-143000</v>
      </c>
      <c r="E80" s="6">
        <v>-159000</v>
      </c>
    </row>
    <row r="81" spans="1:5" x14ac:dyDescent="0.3">
      <c r="A81" s="3" t="s">
        <v>2</v>
      </c>
      <c r="B81" s="7">
        <v>0</v>
      </c>
      <c r="C81" s="7">
        <v>0</v>
      </c>
      <c r="D81" s="7">
        <v>0</v>
      </c>
      <c r="E81" s="7">
        <v>0</v>
      </c>
    </row>
    <row r="82" spans="1:5" x14ac:dyDescent="0.3">
      <c r="A82" s="3" t="s">
        <v>1</v>
      </c>
      <c r="B82" s="6">
        <v>54000</v>
      </c>
      <c r="C82" s="6">
        <v>105000</v>
      </c>
      <c r="D82" s="6">
        <v>105000</v>
      </c>
      <c r="E82" s="6">
        <v>135000</v>
      </c>
    </row>
    <row r="83" spans="1:5" x14ac:dyDescent="0.3">
      <c r="A83" s="3" t="s">
        <v>4</v>
      </c>
      <c r="B83" s="8">
        <f>B80+B81-B82</f>
        <v>-128000</v>
      </c>
      <c r="C83" s="8">
        <f>C80+C81-C82</f>
        <v>-193000</v>
      </c>
      <c r="D83" s="8">
        <f>D80+D81-D82</f>
        <v>-248000</v>
      </c>
      <c r="E83" s="8">
        <f>E80+E81-E82</f>
        <v>-294000</v>
      </c>
    </row>
    <row r="85" spans="1:5" x14ac:dyDescent="0.3">
      <c r="A85" s="4" t="s">
        <v>0</v>
      </c>
      <c r="B85" s="4">
        <v>44988</v>
      </c>
      <c r="C85" s="4">
        <v>44995</v>
      </c>
      <c r="D85" s="4">
        <v>45002</v>
      </c>
      <c r="E85" s="4">
        <v>45009</v>
      </c>
    </row>
    <row r="86" spans="1:5" x14ac:dyDescent="0.3">
      <c r="A86" s="3" t="s">
        <v>3</v>
      </c>
      <c r="B86" s="6">
        <v>-159000</v>
      </c>
      <c r="C86" s="6">
        <v>-174000</v>
      </c>
      <c r="D86" s="6">
        <v>-174000</v>
      </c>
      <c r="E86" s="6">
        <v>-174000</v>
      </c>
    </row>
    <row r="87" spans="1:5" x14ac:dyDescent="0.3">
      <c r="A87" s="3" t="s">
        <v>2</v>
      </c>
      <c r="B87" s="7">
        <v>0</v>
      </c>
      <c r="C87" s="7">
        <v>16000</v>
      </c>
      <c r="D87" s="7">
        <v>16000</v>
      </c>
      <c r="E87" s="7">
        <v>16000</v>
      </c>
    </row>
    <row r="88" spans="1:5" x14ac:dyDescent="0.3">
      <c r="A88" s="3" t="s">
        <v>1</v>
      </c>
      <c r="B88" s="6">
        <v>140000</v>
      </c>
      <c r="C88" s="6">
        <v>146000</v>
      </c>
      <c r="D88" s="6">
        <v>146000</v>
      </c>
      <c r="E88" s="6">
        <v>151000</v>
      </c>
    </row>
    <row r="89" spans="1:5" x14ac:dyDescent="0.3">
      <c r="A89" s="3" t="s">
        <v>4</v>
      </c>
      <c r="B89" s="8">
        <f>B86+B87-B88</f>
        <v>-299000</v>
      </c>
      <c r="C89" s="8">
        <f>C86+C87-C88</f>
        <v>-304000</v>
      </c>
      <c r="D89" s="8">
        <f>D86+D87-D88</f>
        <v>-304000</v>
      </c>
      <c r="E89" s="8">
        <f>E86+E87-E88</f>
        <v>-309000</v>
      </c>
    </row>
    <row r="91" spans="1:5" x14ac:dyDescent="0.3">
      <c r="A91" s="4" t="s">
        <v>0</v>
      </c>
      <c r="B91" s="4">
        <v>45016</v>
      </c>
      <c r="C91" s="4">
        <v>45023</v>
      </c>
      <c r="D91" s="4">
        <v>45028</v>
      </c>
      <c r="E91" s="4">
        <v>45037</v>
      </c>
    </row>
    <row r="92" spans="1:5" x14ac:dyDescent="0.3">
      <c r="A92" s="3" t="s">
        <v>3</v>
      </c>
      <c r="B92" s="6">
        <v>-167000</v>
      </c>
      <c r="C92" s="6">
        <v>-167000</v>
      </c>
      <c r="D92" s="6">
        <v>-167000</v>
      </c>
      <c r="E92" s="6">
        <v>-167000</v>
      </c>
    </row>
    <row r="93" spans="1:5" x14ac:dyDescent="0.3">
      <c r="A93" s="3" t="s">
        <v>2</v>
      </c>
      <c r="B93" s="7">
        <v>58000</v>
      </c>
      <c r="C93" s="7">
        <v>58000</v>
      </c>
      <c r="D93" s="7">
        <v>58000</v>
      </c>
      <c r="E93" s="7">
        <v>58000</v>
      </c>
    </row>
    <row r="94" spans="1:5" x14ac:dyDescent="0.3">
      <c r="A94" s="3" t="s">
        <v>1</v>
      </c>
      <c r="B94" s="6">
        <v>266000</v>
      </c>
      <c r="C94" s="6">
        <v>268000</v>
      </c>
      <c r="D94" s="6">
        <v>268000</v>
      </c>
      <c r="E94" s="6">
        <v>270000</v>
      </c>
    </row>
    <row r="95" spans="1:5" x14ac:dyDescent="0.3">
      <c r="A95" s="3" t="s">
        <v>4</v>
      </c>
      <c r="B95" s="8">
        <f>B92+B93-B94</f>
        <v>-375000</v>
      </c>
      <c r="C95" s="8">
        <f>C92+C93-C94</f>
        <v>-377000</v>
      </c>
      <c r="D95" s="8">
        <f>D92+D93-D94</f>
        <v>-377000</v>
      </c>
      <c r="E95" s="8">
        <f>E92+E93-E94</f>
        <v>-379000</v>
      </c>
    </row>
    <row r="97" spans="1:5" x14ac:dyDescent="0.3">
      <c r="A97" s="4" t="s">
        <v>0</v>
      </c>
      <c r="B97" s="4">
        <v>45044</v>
      </c>
      <c r="C97" s="4">
        <v>45048</v>
      </c>
      <c r="D97" s="4">
        <v>45065</v>
      </c>
      <c r="E97" s="4">
        <v>45072</v>
      </c>
    </row>
    <row r="98" spans="1:5" x14ac:dyDescent="0.3">
      <c r="A98" s="3" t="s">
        <v>3</v>
      </c>
      <c r="B98" s="6">
        <v>-167000</v>
      </c>
      <c r="C98" s="6">
        <v>-167000</v>
      </c>
      <c r="D98" s="6">
        <v>-167000</v>
      </c>
      <c r="E98" s="6">
        <v>-167000</v>
      </c>
    </row>
    <row r="99" spans="1:5" x14ac:dyDescent="0.3">
      <c r="A99" s="3" t="s">
        <v>2</v>
      </c>
      <c r="B99" s="7">
        <v>87000</v>
      </c>
      <c r="C99" s="7">
        <v>104000</v>
      </c>
      <c r="D99" s="7">
        <v>224000</v>
      </c>
      <c r="E99" s="7">
        <v>255000</v>
      </c>
    </row>
    <row r="100" spans="1:5" x14ac:dyDescent="0.3">
      <c r="A100" s="3" t="s">
        <v>1</v>
      </c>
      <c r="B100" s="6">
        <v>283000</v>
      </c>
      <c r="C100" s="6">
        <v>383000</v>
      </c>
      <c r="D100" s="6">
        <v>388000</v>
      </c>
      <c r="E100" s="6">
        <v>420000</v>
      </c>
    </row>
    <row r="101" spans="1:5" x14ac:dyDescent="0.3">
      <c r="A101" s="3" t="s">
        <v>4</v>
      </c>
      <c r="B101" s="8">
        <f>B98+B99-B100</f>
        <v>-363000</v>
      </c>
      <c r="C101" s="8">
        <f>C98+C99-C100</f>
        <v>-446000</v>
      </c>
      <c r="D101" s="8">
        <f>D98+D99-D100</f>
        <v>-331000</v>
      </c>
      <c r="E101" s="8">
        <f>E98+E99-E100</f>
        <v>-332000</v>
      </c>
    </row>
    <row r="103" spans="1:5" x14ac:dyDescent="0.3">
      <c r="A103" s="4" t="s">
        <v>0</v>
      </c>
      <c r="B103" s="4">
        <v>45079</v>
      </c>
      <c r="C103" s="4">
        <v>45086</v>
      </c>
      <c r="D103" s="4">
        <v>45093</v>
      </c>
      <c r="E103" s="4">
        <v>45100</v>
      </c>
    </row>
    <row r="104" spans="1:5" x14ac:dyDescent="0.3">
      <c r="A104" s="3" t="s">
        <v>3</v>
      </c>
      <c r="B104" s="6">
        <v>-163000</v>
      </c>
      <c r="C104" s="6">
        <v>-157000</v>
      </c>
      <c r="D104" s="6">
        <v>-156000</v>
      </c>
      <c r="E104" s="6">
        <v>-155000</v>
      </c>
    </row>
    <row r="105" spans="1:5" x14ac:dyDescent="0.3">
      <c r="A105" s="3" t="s">
        <v>2</v>
      </c>
      <c r="B105" s="7">
        <v>255000</v>
      </c>
      <c r="C105" s="7">
        <v>310000</v>
      </c>
      <c r="D105" s="7">
        <v>317000</v>
      </c>
      <c r="E105" s="7">
        <v>325000</v>
      </c>
    </row>
    <row r="106" spans="1:5" x14ac:dyDescent="0.3">
      <c r="A106" s="3" t="s">
        <v>1</v>
      </c>
      <c r="B106" s="6">
        <v>452000</v>
      </c>
      <c r="C106" s="6">
        <v>461000</v>
      </c>
      <c r="D106" s="6">
        <v>466000</v>
      </c>
      <c r="E106" s="6">
        <v>468000</v>
      </c>
    </row>
    <row r="107" spans="1:5" x14ac:dyDescent="0.3">
      <c r="A107" s="3" t="s">
        <v>4</v>
      </c>
      <c r="B107" s="8">
        <f>B104+B105-B106</f>
        <v>-360000</v>
      </c>
      <c r="C107" s="8">
        <f>C104+C105-C106</f>
        <v>-308000</v>
      </c>
      <c r="D107" s="8">
        <f>D104+D105-D106</f>
        <v>-305000</v>
      </c>
      <c r="E107" s="8">
        <f>E104+E105-E106</f>
        <v>-298000</v>
      </c>
    </row>
    <row r="109" spans="1:5" x14ac:dyDescent="0.3">
      <c r="A109" s="4" t="s">
        <v>0</v>
      </c>
      <c r="B109" s="4">
        <v>45107</v>
      </c>
      <c r="C109" s="4">
        <v>45114</v>
      </c>
      <c r="D109" s="4">
        <v>45121</v>
      </c>
      <c r="E109" s="4">
        <v>45128</v>
      </c>
    </row>
    <row r="110" spans="1:5" x14ac:dyDescent="0.3">
      <c r="A110" s="3" t="s">
        <v>3</v>
      </c>
      <c r="B110" s="6">
        <v>-239000</v>
      </c>
      <c r="C110" s="6">
        <v>-237000</v>
      </c>
      <c r="D110" s="6">
        <v>-242000</v>
      </c>
      <c r="E110" s="6">
        <v>-238000</v>
      </c>
    </row>
    <row r="111" spans="1:5" x14ac:dyDescent="0.3">
      <c r="A111" s="3" t="s">
        <v>2</v>
      </c>
      <c r="B111" s="7">
        <v>325000</v>
      </c>
      <c r="C111" s="7">
        <v>325000</v>
      </c>
      <c r="D111" s="7">
        <v>325000</v>
      </c>
      <c r="E111" s="7">
        <v>325000</v>
      </c>
    </row>
    <row r="112" spans="1:5" x14ac:dyDescent="0.3">
      <c r="A112" s="3" t="s">
        <v>1</v>
      </c>
      <c r="B112" s="6">
        <v>491000</v>
      </c>
      <c r="C112" s="6">
        <v>502000</v>
      </c>
      <c r="D112" s="6">
        <v>510000</v>
      </c>
      <c r="E112" s="6">
        <v>579000</v>
      </c>
    </row>
    <row r="113" spans="1:5" x14ac:dyDescent="0.3">
      <c r="A113" s="3" t="s">
        <v>4</v>
      </c>
      <c r="B113" s="8">
        <f>B110+B111-B112</f>
        <v>-405000</v>
      </c>
      <c r="C113" s="8">
        <f>C110+C111-C112</f>
        <v>-414000</v>
      </c>
      <c r="D113" s="8">
        <f>D110+D111-D112</f>
        <v>-427000</v>
      </c>
      <c r="E113" s="8">
        <f>E110+E111-E112</f>
        <v>-492000</v>
      </c>
    </row>
    <row r="115" spans="1:5" x14ac:dyDescent="0.3">
      <c r="A115" s="4" t="s">
        <v>0</v>
      </c>
      <c r="B115" s="4">
        <v>45134</v>
      </c>
      <c r="C115" s="4">
        <v>45149</v>
      </c>
      <c r="D115" s="4">
        <v>45156</v>
      </c>
      <c r="E115" s="4">
        <v>45163</v>
      </c>
    </row>
    <row r="116" spans="1:5" x14ac:dyDescent="0.3">
      <c r="A116" s="3" t="s">
        <v>3</v>
      </c>
      <c r="B116" s="6">
        <v>-238000</v>
      </c>
      <c r="C116" s="6">
        <v>-238000</v>
      </c>
      <c r="D116" s="6">
        <v>-223000</v>
      </c>
      <c r="E116" s="6">
        <v>-222000</v>
      </c>
    </row>
    <row r="117" spans="1:5" x14ac:dyDescent="0.3">
      <c r="A117" s="3" t="s">
        <v>2</v>
      </c>
      <c r="B117" s="7">
        <v>325000</v>
      </c>
      <c r="C117" s="7">
        <v>325000</v>
      </c>
      <c r="D117" s="7">
        <v>325000</v>
      </c>
      <c r="E117" s="7">
        <v>326000</v>
      </c>
    </row>
    <row r="118" spans="1:5" x14ac:dyDescent="0.3">
      <c r="A118" s="3" t="s">
        <v>1</v>
      </c>
      <c r="B118" s="6">
        <v>586000</v>
      </c>
      <c r="C118" s="6">
        <v>766000</v>
      </c>
      <c r="D118" s="6">
        <v>768000</v>
      </c>
      <c r="E118" s="6">
        <v>932000</v>
      </c>
    </row>
    <row r="119" spans="1:5" x14ac:dyDescent="0.3">
      <c r="A119" s="3" t="s">
        <v>4</v>
      </c>
      <c r="B119" s="8">
        <f>B116+B117-B118</f>
        <v>-499000</v>
      </c>
      <c r="C119" s="8">
        <f>C116+C117-C118</f>
        <v>-679000</v>
      </c>
      <c r="D119" s="8">
        <f>D116+D117-D118</f>
        <v>-666000</v>
      </c>
      <c r="E119" s="8">
        <f>E116+E117-E118</f>
        <v>-828000</v>
      </c>
    </row>
    <row r="121" spans="1:5" x14ac:dyDescent="0.3">
      <c r="A121" s="4" t="s">
        <v>0</v>
      </c>
      <c r="B121" s="4">
        <v>45170</v>
      </c>
      <c r="C121" s="4">
        <v>45177</v>
      </c>
      <c r="D121" s="4">
        <v>45184</v>
      </c>
      <c r="E121" s="4">
        <v>45191</v>
      </c>
    </row>
    <row r="122" spans="1:5" x14ac:dyDescent="0.3">
      <c r="A122" s="3" t="s">
        <v>3</v>
      </c>
      <c r="B122" s="6">
        <v>-220000</v>
      </c>
      <c r="C122" s="6">
        <v>-219000</v>
      </c>
      <c r="D122" s="6">
        <v>-219000</v>
      </c>
      <c r="E122" s="6">
        <v>-219000</v>
      </c>
    </row>
    <row r="123" spans="1:5" x14ac:dyDescent="0.3">
      <c r="A123" s="3" t="s">
        <v>2</v>
      </c>
      <c r="B123" s="7">
        <v>326000</v>
      </c>
      <c r="C123" s="7">
        <v>407000</v>
      </c>
      <c r="D123" s="7">
        <v>427000</v>
      </c>
      <c r="E123" s="7">
        <v>435000</v>
      </c>
    </row>
    <row r="124" spans="1:5" x14ac:dyDescent="0.3">
      <c r="A124" s="3" t="s">
        <v>1</v>
      </c>
      <c r="B124" s="6">
        <v>948000</v>
      </c>
      <c r="C124" s="6">
        <v>948000</v>
      </c>
      <c r="D124" s="6">
        <v>948000</v>
      </c>
      <c r="E124" s="6">
        <v>969000</v>
      </c>
    </row>
    <row r="125" spans="1:5" x14ac:dyDescent="0.3">
      <c r="A125" s="3" t="s">
        <v>4</v>
      </c>
      <c r="B125" s="8">
        <f>B122+B123-B124</f>
        <v>-842000</v>
      </c>
      <c r="C125" s="8">
        <f>C122+C123-C124</f>
        <v>-760000</v>
      </c>
      <c r="D125" s="8">
        <f>D122+D123-D124</f>
        <v>-740000</v>
      </c>
      <c r="E125" s="8">
        <f>E122+E123-E124</f>
        <v>-753000</v>
      </c>
    </row>
    <row r="127" spans="1:5" x14ac:dyDescent="0.3">
      <c r="A127" s="4" t="s">
        <v>0</v>
      </c>
      <c r="B127" s="4">
        <v>45198</v>
      </c>
      <c r="C127" s="4">
        <v>45205</v>
      </c>
      <c r="D127" s="4">
        <v>45211</v>
      </c>
      <c r="E127" s="4">
        <v>45233</v>
      </c>
    </row>
    <row r="128" spans="1:5" x14ac:dyDescent="0.3">
      <c r="A128" s="3" t="s">
        <v>3</v>
      </c>
      <c r="B128" s="6">
        <v>-216000</v>
      </c>
      <c r="C128" s="6">
        <v>-219000</v>
      </c>
      <c r="D128" s="6">
        <v>-216000</v>
      </c>
      <c r="E128" s="6">
        <v>-217000</v>
      </c>
    </row>
    <row r="129" spans="1:5" x14ac:dyDescent="0.3">
      <c r="A129" s="3" t="s">
        <v>2</v>
      </c>
      <c r="B129" s="7">
        <v>435000</v>
      </c>
      <c r="C129" s="7">
        <v>435000</v>
      </c>
      <c r="D129" s="7">
        <v>435000</v>
      </c>
      <c r="E129" s="7">
        <v>435000</v>
      </c>
    </row>
    <row r="130" spans="1:5" x14ac:dyDescent="0.3">
      <c r="A130" s="3" t="s">
        <v>1</v>
      </c>
      <c r="B130" s="6">
        <v>982000</v>
      </c>
      <c r="C130" s="6">
        <v>992000</v>
      </c>
      <c r="D130" s="6">
        <v>1009000</v>
      </c>
      <c r="E130" s="6">
        <v>1041000</v>
      </c>
    </row>
    <row r="131" spans="1:5" x14ac:dyDescent="0.3">
      <c r="A131" s="3" t="s">
        <v>4</v>
      </c>
      <c r="B131" s="8">
        <f>B128+B129-B130</f>
        <v>-763000</v>
      </c>
      <c r="C131" s="8">
        <f>C128+C129-C130</f>
        <v>-776000</v>
      </c>
      <c r="D131" s="8">
        <f>D128+D129-D130</f>
        <v>-790000</v>
      </c>
      <c r="E131" s="8">
        <f>E128+E129-E130</f>
        <v>-823000</v>
      </c>
    </row>
    <row r="133" spans="1:5" x14ac:dyDescent="0.3">
      <c r="A133" s="4" t="s">
        <v>0</v>
      </c>
      <c r="B133" s="4">
        <v>45240</v>
      </c>
      <c r="C133" s="4">
        <v>45254</v>
      </c>
      <c r="D133" s="4">
        <v>45654</v>
      </c>
      <c r="E133" s="4">
        <v>45296</v>
      </c>
    </row>
    <row r="134" spans="1:5" x14ac:dyDescent="0.3">
      <c r="A134" s="3" t="s">
        <v>3</v>
      </c>
      <c r="B134" s="6">
        <v>-220000</v>
      </c>
      <c r="C134" s="6">
        <v>-218000</v>
      </c>
      <c r="D134" s="6">
        <v>-214000</v>
      </c>
      <c r="E134" s="6">
        <v>6000</v>
      </c>
    </row>
    <row r="135" spans="1:5" x14ac:dyDescent="0.3">
      <c r="A135" s="3" t="s">
        <v>2</v>
      </c>
      <c r="B135" s="7">
        <v>435000</v>
      </c>
      <c r="C135" s="7">
        <v>435000</v>
      </c>
      <c r="D135" s="7">
        <v>482000</v>
      </c>
      <c r="E135" s="7">
        <v>0</v>
      </c>
    </row>
    <row r="136" spans="1:5" x14ac:dyDescent="0.3">
      <c r="A136" s="3" t="s">
        <v>1</v>
      </c>
      <c r="B136" s="6">
        <v>1053000</v>
      </c>
      <c r="C136" s="6">
        <v>1053000</v>
      </c>
      <c r="D136" s="6">
        <v>1137000</v>
      </c>
      <c r="E136" s="6">
        <v>17000</v>
      </c>
    </row>
    <row r="137" spans="1:5" x14ac:dyDescent="0.3">
      <c r="A137" s="3" t="s">
        <v>4</v>
      </c>
      <c r="B137" s="8">
        <f>B134+B135-B136</f>
        <v>-838000</v>
      </c>
      <c r="C137" s="8">
        <f>C134+C135-C136</f>
        <v>-836000</v>
      </c>
      <c r="D137" s="8">
        <f>D134+D135-D136</f>
        <v>-869000</v>
      </c>
      <c r="E137" s="8">
        <f>E134+E135-E136</f>
        <v>-11000</v>
      </c>
    </row>
    <row r="139" spans="1:5" x14ac:dyDescent="0.3">
      <c r="A139" s="4" t="s">
        <v>0</v>
      </c>
      <c r="B139" s="4">
        <v>45322</v>
      </c>
      <c r="C139" s="4">
        <v>45352</v>
      </c>
      <c r="D139" s="4">
        <v>45380</v>
      </c>
      <c r="E139" s="4">
        <v>45450</v>
      </c>
    </row>
    <row r="140" spans="1:5" x14ac:dyDescent="0.3">
      <c r="A140" s="3" t="s">
        <v>3</v>
      </c>
      <c r="B140" s="6">
        <v>6000</v>
      </c>
      <c r="C140" s="6">
        <v>6000</v>
      </c>
      <c r="D140" s="6">
        <v>6000</v>
      </c>
      <c r="E140" s="6">
        <v>7000</v>
      </c>
    </row>
    <row r="141" spans="1:5" x14ac:dyDescent="0.3">
      <c r="A141" s="3" t="s">
        <v>2</v>
      </c>
      <c r="B141" s="7">
        <v>0</v>
      </c>
      <c r="C141" s="7">
        <v>0</v>
      </c>
      <c r="D141" s="7">
        <v>45000</v>
      </c>
      <c r="E141" s="7">
        <v>194000</v>
      </c>
    </row>
    <row r="142" spans="1:5" x14ac:dyDescent="0.3">
      <c r="A142" s="3" t="s">
        <v>1</v>
      </c>
      <c r="B142" s="6">
        <v>56000</v>
      </c>
      <c r="C142" s="6">
        <v>153000</v>
      </c>
      <c r="D142" s="6">
        <v>258000</v>
      </c>
      <c r="E142" s="6">
        <v>353000</v>
      </c>
    </row>
    <row r="143" spans="1:5" x14ac:dyDescent="0.3">
      <c r="A143" s="3" t="s">
        <v>4</v>
      </c>
      <c r="B143" s="8">
        <f>B140+B141-B142</f>
        <v>-50000</v>
      </c>
      <c r="C143" s="8">
        <f>C140+C141-C142</f>
        <v>-147000</v>
      </c>
      <c r="D143" s="8">
        <f>D140+D141-D142</f>
        <v>-207000</v>
      </c>
      <c r="E143" s="8">
        <f>E140+E141-E142</f>
        <v>-152000</v>
      </c>
    </row>
    <row r="145" spans="1:5" x14ac:dyDescent="0.3">
      <c r="A145" s="4" t="s">
        <v>0</v>
      </c>
      <c r="B145" s="4">
        <v>45457</v>
      </c>
      <c r="C145" s="4">
        <v>45471</v>
      </c>
      <c r="D145" s="4">
        <v>45478</v>
      </c>
      <c r="E145" s="4">
        <v>45513</v>
      </c>
    </row>
    <row r="146" spans="1:5" x14ac:dyDescent="0.3">
      <c r="A146" s="3" t="s">
        <v>3</v>
      </c>
      <c r="B146" s="6">
        <v>7000</v>
      </c>
      <c r="C146" s="6">
        <v>7000</v>
      </c>
      <c r="D146" s="6">
        <v>7000</v>
      </c>
      <c r="E146" s="6">
        <v>7000</v>
      </c>
    </row>
    <row r="147" spans="1:5" x14ac:dyDescent="0.3">
      <c r="A147" s="3" t="s">
        <v>2</v>
      </c>
      <c r="B147" s="7">
        <v>211000</v>
      </c>
      <c r="C147" s="7">
        <v>217000</v>
      </c>
      <c r="D147" s="7">
        <v>217000</v>
      </c>
      <c r="E147" s="7">
        <v>217000</v>
      </c>
    </row>
    <row r="148" spans="1:5" x14ac:dyDescent="0.3">
      <c r="A148" s="3" t="s">
        <v>1</v>
      </c>
      <c r="B148" s="6">
        <v>405000</v>
      </c>
      <c r="C148" s="6">
        <v>429000</v>
      </c>
      <c r="D148" s="6">
        <v>473000</v>
      </c>
      <c r="E148" s="6">
        <v>517000</v>
      </c>
    </row>
    <row r="149" spans="1:5" x14ac:dyDescent="0.3">
      <c r="A149" s="3" t="s">
        <v>4</v>
      </c>
      <c r="B149" s="8">
        <f>B146+B147-B148</f>
        <v>-187000</v>
      </c>
      <c r="C149" s="8">
        <f>C146+C147-C148</f>
        <v>-205000</v>
      </c>
      <c r="D149" s="8">
        <f>D146+D147-D148</f>
        <v>-249000</v>
      </c>
      <c r="E149" s="8">
        <f>E146+E147-E148</f>
        <v>-293000</v>
      </c>
    </row>
    <row r="151" spans="1:5" x14ac:dyDescent="0.3">
      <c r="A151" s="4" t="s">
        <v>0</v>
      </c>
      <c r="B151" s="4">
        <v>45513</v>
      </c>
      <c r="C151" s="4">
        <v>45534</v>
      </c>
      <c r="D151" s="4">
        <v>45541</v>
      </c>
      <c r="E151" s="4">
        <v>45548</v>
      </c>
    </row>
    <row r="152" spans="1:5" x14ac:dyDescent="0.3">
      <c r="A152" s="3" t="s">
        <v>3</v>
      </c>
      <c r="B152" s="6">
        <v>19000</v>
      </c>
      <c r="C152" s="6">
        <v>33000</v>
      </c>
      <c r="D152" s="6">
        <v>36000</v>
      </c>
      <c r="E152" s="6">
        <v>36000</v>
      </c>
    </row>
    <row r="153" spans="1:5" x14ac:dyDescent="0.3">
      <c r="A153" s="3" t="s">
        <v>2</v>
      </c>
      <c r="B153" s="7">
        <v>218000</v>
      </c>
      <c r="C153" s="7">
        <v>218000</v>
      </c>
      <c r="D153" s="7">
        <v>247000</v>
      </c>
      <c r="E153" s="7">
        <v>292000</v>
      </c>
    </row>
    <row r="154" spans="1:5" x14ac:dyDescent="0.3">
      <c r="A154" s="3" t="s">
        <v>1</v>
      </c>
      <c r="B154" s="6">
        <v>532000</v>
      </c>
      <c r="C154" s="6">
        <v>573000</v>
      </c>
      <c r="D154" s="6">
        <v>576000</v>
      </c>
      <c r="E154" s="6">
        <v>585000</v>
      </c>
    </row>
    <row r="155" spans="1:5" x14ac:dyDescent="0.3">
      <c r="A155" s="3" t="s">
        <v>4</v>
      </c>
      <c r="B155" s="8">
        <f>B152+B153-B154</f>
        <v>-295000</v>
      </c>
      <c r="C155" s="8">
        <f>C152+C153-C154</f>
        <v>-322000</v>
      </c>
      <c r="D155" s="8">
        <f>D152+D153-D154</f>
        <v>-293000</v>
      </c>
      <c r="E155" s="8">
        <f>E152+E153-E154</f>
        <v>-257000</v>
      </c>
    </row>
    <row r="157" spans="1:5" x14ac:dyDescent="0.3">
      <c r="A157" s="4" t="s">
        <v>0</v>
      </c>
      <c r="B157" s="4">
        <v>45555</v>
      </c>
      <c r="C157" s="4">
        <v>45562</v>
      </c>
      <c r="D157" s="4">
        <v>45569</v>
      </c>
      <c r="E157" s="4">
        <v>45576</v>
      </c>
    </row>
    <row r="158" spans="1:5" x14ac:dyDescent="0.3">
      <c r="A158" s="3" t="s">
        <v>3</v>
      </c>
      <c r="B158" s="6">
        <v>17000</v>
      </c>
      <c r="C158" s="6">
        <v>19000</v>
      </c>
      <c r="D158" s="6">
        <v>19000</v>
      </c>
      <c r="E158" s="6">
        <v>19000</v>
      </c>
    </row>
    <row r="159" spans="1:5" x14ac:dyDescent="0.3">
      <c r="A159" s="3" t="s">
        <v>2</v>
      </c>
      <c r="B159" s="7">
        <v>292000</v>
      </c>
      <c r="C159" s="7">
        <v>298000</v>
      </c>
      <c r="D159" s="7">
        <v>298000</v>
      </c>
      <c r="E159" s="7">
        <v>299000</v>
      </c>
    </row>
    <row r="160" spans="1:5" x14ac:dyDescent="0.3">
      <c r="A160" s="3" t="s">
        <v>1</v>
      </c>
      <c r="B160" s="6">
        <v>585000</v>
      </c>
      <c r="C160" s="6">
        <v>598000</v>
      </c>
      <c r="D160" s="6">
        <v>610000</v>
      </c>
      <c r="E160" s="6">
        <v>626000</v>
      </c>
    </row>
    <row r="161" spans="1:5" x14ac:dyDescent="0.3">
      <c r="A161" s="3" t="s">
        <v>4</v>
      </c>
      <c r="B161" s="8">
        <f>B158+B159-B160</f>
        <v>-276000</v>
      </c>
      <c r="C161" s="8">
        <f>C158+C159-C160</f>
        <v>-281000</v>
      </c>
      <c r="D161" s="8">
        <f>D158+D159-D160</f>
        <v>-293000</v>
      </c>
      <c r="E161" s="8">
        <f>E158+E159-E160</f>
        <v>-308000</v>
      </c>
    </row>
    <row r="163" spans="1:5" x14ac:dyDescent="0.3">
      <c r="A163" s="4" t="s">
        <v>0</v>
      </c>
      <c r="B163" s="4">
        <v>45614</v>
      </c>
      <c r="C163" s="4">
        <v>45590</v>
      </c>
      <c r="D163" s="4">
        <v>45604</v>
      </c>
      <c r="E163" s="4">
        <v>45611</v>
      </c>
    </row>
    <row r="164" spans="1:5" x14ac:dyDescent="0.3">
      <c r="A164" s="3" t="s">
        <v>3</v>
      </c>
      <c r="B164" s="6">
        <v>19000</v>
      </c>
      <c r="C164" s="6">
        <v>19000</v>
      </c>
      <c r="D164" s="6">
        <v>19000</v>
      </c>
      <c r="E164" s="6">
        <v>19000</v>
      </c>
    </row>
    <row r="165" spans="1:5" x14ac:dyDescent="0.3">
      <c r="A165" s="3" t="s">
        <v>2</v>
      </c>
      <c r="B165" s="7">
        <v>299000</v>
      </c>
      <c r="C165" s="7">
        <v>299000</v>
      </c>
      <c r="D165" s="7">
        <v>299000</v>
      </c>
      <c r="E165" s="7">
        <v>299000</v>
      </c>
    </row>
    <row r="166" spans="1:5" x14ac:dyDescent="0.3">
      <c r="A166" s="3" t="s">
        <v>1</v>
      </c>
      <c r="B166" s="6">
        <v>641000</v>
      </c>
      <c r="C166" s="6">
        <v>641000</v>
      </c>
      <c r="D166" s="6">
        <v>668000</v>
      </c>
      <c r="E166" s="6">
        <v>670000</v>
      </c>
    </row>
    <row r="167" spans="1:5" x14ac:dyDescent="0.3">
      <c r="A167" s="3" t="s">
        <v>4</v>
      </c>
      <c r="B167" s="8">
        <f>B164+B165-B166</f>
        <v>-323000</v>
      </c>
      <c r="C167" s="8">
        <f>C164+C165-C166</f>
        <v>-323000</v>
      </c>
      <c r="D167" s="8">
        <f>D164+D165-D166</f>
        <v>-350000</v>
      </c>
      <c r="E167" s="8">
        <f>E164+E165-E166</f>
        <v>-352000</v>
      </c>
    </row>
    <row r="169" spans="1:5" x14ac:dyDescent="0.3">
      <c r="A169" s="4" t="s">
        <v>0</v>
      </c>
      <c r="B169" s="4">
        <v>45656</v>
      </c>
      <c r="C169" s="4">
        <v>45779</v>
      </c>
      <c r="D169" s="4">
        <v>45786</v>
      </c>
      <c r="E169" s="4">
        <v>45793</v>
      </c>
    </row>
    <row r="170" spans="1:5" x14ac:dyDescent="0.3">
      <c r="A170" s="3" t="s">
        <v>3</v>
      </c>
      <c r="B170" s="6">
        <v>19000</v>
      </c>
      <c r="C170" s="6">
        <v>-422300</v>
      </c>
      <c r="D170" s="6">
        <v>-422300</v>
      </c>
      <c r="E170" s="6">
        <v>-477500</v>
      </c>
    </row>
    <row r="171" spans="1:5" x14ac:dyDescent="0.3">
      <c r="A171" s="3" t="s">
        <v>2</v>
      </c>
      <c r="B171" s="7">
        <v>361000</v>
      </c>
      <c r="C171" s="7">
        <v>40700</v>
      </c>
      <c r="D171" s="7">
        <v>104100</v>
      </c>
      <c r="E171" s="7">
        <v>154500</v>
      </c>
    </row>
    <row r="172" spans="1:5" x14ac:dyDescent="0.3">
      <c r="A172" s="3" t="s">
        <v>1</v>
      </c>
      <c r="B172" s="6">
        <v>724000</v>
      </c>
      <c r="C172" s="6">
        <v>327300</v>
      </c>
      <c r="D172" s="6">
        <v>328500</v>
      </c>
      <c r="E172" s="6">
        <v>328500</v>
      </c>
    </row>
    <row r="173" spans="1:5" x14ac:dyDescent="0.3">
      <c r="A173" s="3" t="s">
        <v>4</v>
      </c>
      <c r="B173" s="8">
        <f>B170+B171-B172</f>
        <v>-344000</v>
      </c>
      <c r="C173" s="8">
        <f>C170+C171-C172</f>
        <v>-708900</v>
      </c>
      <c r="D173" s="8">
        <f>D170+D171-D172</f>
        <v>-646700</v>
      </c>
      <c r="E173" s="8">
        <f>E170+E171-E172</f>
        <v>-651500</v>
      </c>
    </row>
    <row r="175" spans="1:5" x14ac:dyDescent="0.3">
      <c r="A175" s="4" t="s">
        <v>0</v>
      </c>
      <c r="B175" s="4">
        <v>45800</v>
      </c>
      <c r="C175" s="4">
        <v>45807</v>
      </c>
      <c r="D175" s="4">
        <v>45821</v>
      </c>
      <c r="E175" s="4">
        <v>45828</v>
      </c>
    </row>
    <row r="176" spans="1:5" x14ac:dyDescent="0.3">
      <c r="A176" s="3" t="s">
        <v>3</v>
      </c>
      <c r="B176" s="6">
        <v>-477500</v>
      </c>
      <c r="C176" s="6">
        <v>-478000</v>
      </c>
      <c r="D176" s="6">
        <v>-478000</v>
      </c>
      <c r="E176" s="6">
        <v>-629000</v>
      </c>
    </row>
    <row r="177" spans="1:5" x14ac:dyDescent="0.3">
      <c r="A177" s="3" t="s">
        <v>2</v>
      </c>
      <c r="B177" s="7">
        <v>159600</v>
      </c>
      <c r="C177" s="7">
        <v>161000</v>
      </c>
      <c r="D177" s="7">
        <v>202000</v>
      </c>
      <c r="E177" s="7">
        <v>204000</v>
      </c>
    </row>
    <row r="178" spans="1:5" x14ac:dyDescent="0.3">
      <c r="A178" s="3" t="s">
        <v>1</v>
      </c>
      <c r="B178" s="6">
        <v>329600</v>
      </c>
      <c r="C178" s="6">
        <v>338000</v>
      </c>
      <c r="D178" s="6">
        <v>363000</v>
      </c>
      <c r="E178" s="6">
        <v>363000</v>
      </c>
    </row>
    <row r="179" spans="1:5" x14ac:dyDescent="0.3">
      <c r="A179" s="3" t="s">
        <v>4</v>
      </c>
      <c r="B179" s="8">
        <f>B176+B177-B178</f>
        <v>-647500</v>
      </c>
      <c r="C179" s="8">
        <f>C176+C177-C178</f>
        <v>-655000</v>
      </c>
      <c r="D179" s="8">
        <f>D176+D177-D178</f>
        <v>-639000</v>
      </c>
      <c r="E179" s="8">
        <f>E176+E177-E178</f>
        <v>-788000</v>
      </c>
    </row>
    <row r="181" spans="1:5" x14ac:dyDescent="0.3">
      <c r="A181" s="4" t="s">
        <v>0</v>
      </c>
      <c r="B181" s="4">
        <v>45835</v>
      </c>
      <c r="C181" s="4">
        <v>45842</v>
      </c>
      <c r="D181" s="4">
        <v>45856</v>
      </c>
      <c r="E181" s="4">
        <v>45863</v>
      </c>
    </row>
    <row r="182" spans="1:5" x14ac:dyDescent="0.3">
      <c r="A182" s="3" t="s">
        <v>3</v>
      </c>
      <c r="B182" s="6">
        <v>-629000</v>
      </c>
      <c r="C182" s="6">
        <v>-748000</v>
      </c>
      <c r="D182" s="6">
        <v>-878000</v>
      </c>
      <c r="E182" s="6">
        <v>-943000</v>
      </c>
    </row>
    <row r="183" spans="1:5" x14ac:dyDescent="0.3">
      <c r="A183" s="3" t="s">
        <v>2</v>
      </c>
      <c r="B183" s="7">
        <v>211000</v>
      </c>
      <c r="C183" s="7">
        <v>211000</v>
      </c>
      <c r="D183" s="7">
        <v>211000</v>
      </c>
      <c r="E183" s="7">
        <v>211000</v>
      </c>
    </row>
    <row r="184" spans="1:5" x14ac:dyDescent="0.3">
      <c r="A184" s="3" t="s">
        <v>1</v>
      </c>
      <c r="B184" s="6">
        <v>372000</v>
      </c>
      <c r="C184" s="6">
        <v>379000</v>
      </c>
      <c r="D184" s="6">
        <v>381000</v>
      </c>
      <c r="E184" s="6">
        <v>381000</v>
      </c>
    </row>
    <row r="185" spans="1:5" x14ac:dyDescent="0.3">
      <c r="A185" s="3" t="s">
        <v>4</v>
      </c>
      <c r="B185" s="8">
        <f>B182+B183-B184</f>
        <v>-790000</v>
      </c>
      <c r="C185" s="8">
        <f>C182+C183-C184</f>
        <v>-916000</v>
      </c>
      <c r="D185" s="8">
        <f>D182+D183-D184</f>
        <v>-1048000</v>
      </c>
      <c r="E185" s="8">
        <f>E182+E183-E184</f>
        <v>-1113000</v>
      </c>
    </row>
    <row r="187" spans="1:5" x14ac:dyDescent="0.3">
      <c r="A187" s="4" t="s">
        <v>0</v>
      </c>
      <c r="B187" s="4">
        <v>45877</v>
      </c>
      <c r="C187" s="4">
        <v>45905</v>
      </c>
      <c r="D187" s="4">
        <v>45912</v>
      </c>
      <c r="E187" s="4">
        <v>45926</v>
      </c>
    </row>
    <row r="188" spans="1:5" x14ac:dyDescent="0.3">
      <c r="A188" s="3" t="s">
        <v>3</v>
      </c>
      <c r="B188" s="6">
        <v>-974000</v>
      </c>
      <c r="C188" s="6">
        <v>-962000</v>
      </c>
      <c r="D188" s="6">
        <v>-965000</v>
      </c>
      <c r="E188" s="6">
        <v>-951000</v>
      </c>
    </row>
    <row r="189" spans="1:5" x14ac:dyDescent="0.3">
      <c r="A189" s="3" t="s">
        <v>2</v>
      </c>
      <c r="B189" s="7">
        <v>211000</v>
      </c>
      <c r="C189" s="7">
        <v>256000</v>
      </c>
      <c r="D189" s="7">
        <v>319000</v>
      </c>
      <c r="E189" s="7">
        <v>327000</v>
      </c>
    </row>
    <row r="190" spans="1:5" x14ac:dyDescent="0.3">
      <c r="A190" s="3" t="s">
        <v>1</v>
      </c>
      <c r="B190" s="6">
        <v>390000</v>
      </c>
      <c r="C190" s="6">
        <v>421000</v>
      </c>
      <c r="D190" s="6">
        <v>430000</v>
      </c>
      <c r="E190" s="6">
        <v>443000</v>
      </c>
    </row>
    <row r="191" spans="1:5" x14ac:dyDescent="0.3">
      <c r="A191" s="3" t="s">
        <v>4</v>
      </c>
      <c r="B191" s="8">
        <f>B188+B189-B190</f>
        <v>-1153000</v>
      </c>
      <c r="C191" s="8">
        <f>C188+C189-C190</f>
        <v>-1127000</v>
      </c>
      <c r="D191" s="8">
        <f>D188+D189-D190</f>
        <v>-1076000</v>
      </c>
      <c r="E191" s="8">
        <f>E188+E189-E190</f>
        <v>-1067000</v>
      </c>
    </row>
    <row r="193" spans="1:5" x14ac:dyDescent="0.3">
      <c r="A193" s="4" t="s">
        <v>0</v>
      </c>
      <c r="B193" s="4">
        <v>45989</v>
      </c>
      <c r="C193" s="4">
        <v>46021</v>
      </c>
      <c r="D193" s="4">
        <v>46080</v>
      </c>
      <c r="E193" s="4">
        <v>46108</v>
      </c>
    </row>
    <row r="194" spans="1:5" x14ac:dyDescent="0.3">
      <c r="A194" s="3" t="s">
        <v>3</v>
      </c>
      <c r="B194" s="6">
        <v>-948000</v>
      </c>
      <c r="C194" s="6">
        <v>-948000</v>
      </c>
      <c r="D194" s="6">
        <v>0</v>
      </c>
      <c r="E194" s="6">
        <v>-315000</v>
      </c>
    </row>
    <row r="195" spans="1:5" x14ac:dyDescent="0.3">
      <c r="A195" s="3" t="s">
        <v>2</v>
      </c>
      <c r="B195" s="7">
        <v>333000</v>
      </c>
      <c r="C195" s="7">
        <v>403000</v>
      </c>
      <c r="D195" s="7">
        <v>0</v>
      </c>
      <c r="E195" s="7">
        <v>72000</v>
      </c>
    </row>
    <row r="196" spans="1:5" x14ac:dyDescent="0.3">
      <c r="A196" s="3" t="s">
        <v>1</v>
      </c>
      <c r="B196" s="6">
        <v>503000</v>
      </c>
      <c r="C196" s="6">
        <v>516000</v>
      </c>
      <c r="D196" s="6">
        <v>71000</v>
      </c>
      <c r="E196" s="6">
        <v>90760</v>
      </c>
    </row>
    <row r="197" spans="1:5" x14ac:dyDescent="0.3">
      <c r="A197" s="3" t="s">
        <v>4</v>
      </c>
      <c r="B197" s="8">
        <f>B194+B195-B196</f>
        <v>-1118000</v>
      </c>
      <c r="C197" s="8">
        <f>C194+C195-C196</f>
        <v>-1061000</v>
      </c>
      <c r="D197" s="8">
        <f>D194+D195-D196</f>
        <v>-71000</v>
      </c>
      <c r="E197" s="8">
        <f>E194+E195-E196</f>
        <v>-333760</v>
      </c>
    </row>
    <row r="199" spans="1:5" x14ac:dyDescent="0.3">
      <c r="A199" s="4" t="s">
        <v>0</v>
      </c>
      <c r="B199" s="4">
        <v>46142</v>
      </c>
      <c r="C199" s="4">
        <v>46171</v>
      </c>
      <c r="D199" s="4">
        <v>46203</v>
      </c>
      <c r="E199" s="4">
        <v>46234</v>
      </c>
    </row>
    <row r="200" spans="1:5" x14ac:dyDescent="0.3">
      <c r="A200" s="3" t="s">
        <v>3</v>
      </c>
      <c r="B200" s="6">
        <v>-315000</v>
      </c>
      <c r="C200" s="6">
        <v>-316000</v>
      </c>
      <c r="D200" s="6">
        <v>-316000</v>
      </c>
      <c r="E200" s="6">
        <v>-316000</v>
      </c>
    </row>
    <row r="201" spans="1:5" x14ac:dyDescent="0.3">
      <c r="A201" s="3" t="s">
        <v>2</v>
      </c>
      <c r="B201" s="7">
        <v>84000</v>
      </c>
      <c r="C201" s="7">
        <v>221000</v>
      </c>
      <c r="D201" s="7">
        <v>271000</v>
      </c>
      <c r="E201" s="7">
        <v>273000</v>
      </c>
    </row>
    <row r="202" spans="1:5" x14ac:dyDescent="0.3">
      <c r="A202" s="3" t="s">
        <v>1</v>
      </c>
      <c r="B202" s="6">
        <v>124000</v>
      </c>
      <c r="C202" s="6">
        <v>170000</v>
      </c>
      <c r="D202" s="6">
        <v>184000</v>
      </c>
      <c r="E202" s="6">
        <v>219000</v>
      </c>
    </row>
    <row r="203" spans="1:5" x14ac:dyDescent="0.3">
      <c r="A203" s="3" t="s">
        <v>4</v>
      </c>
      <c r="B203" s="8">
        <f>B200+B201-B202</f>
        <v>-355000</v>
      </c>
      <c r="C203" s="8">
        <f>C200+C201-C202</f>
        <v>-265000</v>
      </c>
      <c r="D203" s="8">
        <f>D200+D201-D202</f>
        <v>-229000</v>
      </c>
      <c r="E203" s="8">
        <f>E200+E201-E202</f>
        <v>-262000</v>
      </c>
    </row>
    <row r="205" spans="1:5" x14ac:dyDescent="0.3">
      <c r="A205" s="4" t="s">
        <v>0</v>
      </c>
      <c r="B205" s="4">
        <v>46265</v>
      </c>
      <c r="C205" s="4">
        <v>46297</v>
      </c>
    </row>
    <row r="206" spans="1:5" x14ac:dyDescent="0.3">
      <c r="A206" s="3" t="s">
        <v>3</v>
      </c>
      <c r="B206" s="6">
        <v>-266000</v>
      </c>
      <c r="C206" s="6">
        <v>-209000</v>
      </c>
    </row>
    <row r="207" spans="1:5" x14ac:dyDescent="0.3">
      <c r="A207" s="3" t="s">
        <v>2</v>
      </c>
      <c r="B207" s="7">
        <v>273000</v>
      </c>
      <c r="C207" s="7">
        <v>377000</v>
      </c>
    </row>
    <row r="208" spans="1:5" x14ac:dyDescent="0.3">
      <c r="A208" s="3" t="s">
        <v>1</v>
      </c>
      <c r="B208" s="6">
        <v>238000</v>
      </c>
      <c r="C208" s="6">
        <v>248000</v>
      </c>
    </row>
    <row r="209" spans="1:3" x14ac:dyDescent="0.3">
      <c r="A209" s="3" t="s">
        <v>4</v>
      </c>
      <c r="B209" s="8">
        <f>B206+B207-B208</f>
        <v>-231000</v>
      </c>
      <c r="C209" s="8">
        <f>C206+C207-C208</f>
        <v>-80000</v>
      </c>
    </row>
    <row r="210" spans="1:3" x14ac:dyDescent="0.3">
      <c r="A210" s="3" t="s">
        <v>5</v>
      </c>
      <c r="B210" s="10">
        <f>B207-B208</f>
        <v>35000</v>
      </c>
      <c r="C210" s="10">
        <f>C207-C208</f>
        <v>129000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YTD Profit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2021-03-23T14:28:58Z</dcterms:created>
  <dcterms:modified xsi:type="dcterms:W3CDTF">2026-10-05T13:39:22Z</dcterms:modified>
  <cp:category/>
  <cp:contentStatus/>
</cp:coreProperties>
</file>