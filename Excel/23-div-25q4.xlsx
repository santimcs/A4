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3" documentId="8_{2E0EA41F-FDE7-4828-8D12-869A955280FC}" xr6:coauthVersionLast="47" xr6:coauthVersionMax="47" xr10:uidLastSave="{0063A55C-30B0-426C-B81F-226F37731705}"/>
  <bookViews>
    <workbookView xWindow="4584" yWindow="1284" windowWidth="17808" windowHeight="10152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L7" i="1"/>
  <c r="K9" i="2" l="1"/>
  <c r="D7" i="1"/>
  <c r="E7" i="1" s="1"/>
  <c r="E9" i="2"/>
  <c r="D9" i="2"/>
  <c r="D6" i="2"/>
  <c r="E6" i="2" s="1"/>
  <c r="D5" i="1"/>
  <c r="E5" i="1" s="1"/>
  <c r="D24" i="2"/>
  <c r="E24" i="2" s="1"/>
  <c r="D26" i="2"/>
  <c r="E26" i="2" s="1"/>
  <c r="D12" i="2"/>
  <c r="E12" i="2" s="1"/>
  <c r="D16" i="2"/>
  <c r="E16" i="2" s="1"/>
  <c r="D2" i="2"/>
  <c r="E2" i="2" s="1"/>
  <c r="D25" i="1"/>
  <c r="E25" i="1" s="1"/>
  <c r="D17" i="1"/>
  <c r="E17" i="1" s="1"/>
  <c r="D19" i="1"/>
  <c r="E19" i="1" s="1"/>
  <c r="D30" i="2"/>
  <c r="E30" i="2" s="1"/>
  <c r="D28" i="2"/>
  <c r="E28" i="2" s="1"/>
  <c r="D30" i="1"/>
  <c r="E30" i="1" s="1"/>
  <c r="E31" i="1" l="1"/>
  <c r="E31" i="2"/>
  <c r="E29" i="2"/>
  <c r="E27" i="2"/>
  <c r="D24" i="1"/>
  <c r="E24" i="1" s="1"/>
  <c r="D2" i="1"/>
  <c r="E2" i="1" s="1"/>
  <c r="D28" i="1"/>
  <c r="E28" i="1" s="1"/>
  <c r="E27" i="1" l="1"/>
  <c r="E29" i="1"/>
</calcChain>
</file>

<file path=xl/sharedStrings.xml><?xml version="1.0" encoding="utf-8"?>
<sst xmlns="http://schemas.openxmlformats.org/spreadsheetml/2006/main" count="76" uniqueCount="35">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</sst>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/mm/dd;@"/>
    <numFmt numFmtId="188" formatCode="&quot;$&quot;#,##0.00"/>
    <numFmt numFmtId="189" formatCode="0.000000"/>
  </numFmts>
  <fonts count="1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57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3" fontId="0" fillId="0" borderId="0" xfId="0" applyNumberFormat="1"/>
    <xf numFmtId="0" fontId="16" fillId="0" borderId="0" xfId="0" applyFont="1"/>
    <xf numFmtId="189" fontId="16" fillId="0" borderId="0" xfId="0" applyNumberFormat="1" applyFont="1"/>
    <xf numFmtId="3" fontId="16" fillId="0" borderId="0" xfId="0" applyNumberFormat="1" applyFont="1"/>
    <xf numFmtId="188" fontId="16" fillId="0" borderId="0" xfId="0" applyNumberFormat="1" applyFont="1"/>
    <xf numFmtId="187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1"/>
  <sheetViews>
    <sheetView tabSelected="1" workbookViewId="0">
      <selection activeCell="L28" sqref="L28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  <col min="12" max="12" width="10.8984375" bestFit="1" customWidth="1"/>
  </cols>
  <sheetData>
    <row r="1" spans="1:12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25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2" x14ac:dyDescent="0.25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2" x14ac:dyDescent="0.25">
      <c r="A5" t="s">
        <v>30</v>
      </c>
      <c r="B5" s="3">
        <v>0.12189999999999999</v>
      </c>
      <c r="C5" s="4">
        <v>20000</v>
      </c>
      <c r="D5" s="2">
        <f>B5*C5</f>
        <v>2438</v>
      </c>
      <c r="E5" s="8">
        <f>D5*0.9</f>
        <v>2194.2000000000003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2" x14ac:dyDescent="0.25">
      <c r="A6" t="s">
        <v>34</v>
      </c>
      <c r="B6" s="3">
        <v>0.1212</v>
      </c>
      <c r="C6" s="4">
        <v>20000</v>
      </c>
      <c r="D6" s="2">
        <v>2424</v>
      </c>
      <c r="E6" s="8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2" x14ac:dyDescent="0.25">
      <c r="A7" t="s">
        <v>34</v>
      </c>
      <c r="B7" s="3">
        <v>7.4800000000000005E-2</v>
      </c>
      <c r="C7" s="4">
        <v>20000</v>
      </c>
      <c r="D7" s="2">
        <f>B7*C7</f>
        <v>1496</v>
      </c>
      <c r="E7" s="8">
        <f>D7</f>
        <v>1496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  <c r="L7" s="2">
        <f>SUM(E2:E7)</f>
        <v>50148.613999999994</v>
      </c>
    </row>
    <row r="8" spans="1:12" x14ac:dyDescent="0.25">
      <c r="A8" t="s">
        <v>16</v>
      </c>
      <c r="B8" s="3">
        <v>0.27939999999999998</v>
      </c>
      <c r="C8" s="4">
        <v>55000</v>
      </c>
      <c r="D8" s="2">
        <v>15367</v>
      </c>
      <c r="E8" s="2">
        <v>13830.3</v>
      </c>
      <c r="F8" s="1">
        <v>46092</v>
      </c>
      <c r="G8" s="1">
        <v>46108</v>
      </c>
      <c r="H8" s="2">
        <v>990000</v>
      </c>
      <c r="I8" s="11">
        <v>1.4</v>
      </c>
      <c r="J8" s="2">
        <v>45380.5</v>
      </c>
      <c r="K8">
        <v>4.58</v>
      </c>
    </row>
    <row r="9" spans="1:12" x14ac:dyDescent="0.25">
      <c r="A9" t="s">
        <v>33</v>
      </c>
      <c r="B9" s="3">
        <v>0.17549999999999999</v>
      </c>
      <c r="C9" s="4">
        <v>50000</v>
      </c>
      <c r="D9" s="2">
        <v>8775</v>
      </c>
      <c r="E9" s="2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</row>
    <row r="10" spans="1:12" x14ac:dyDescent="0.25">
      <c r="A10" t="s">
        <v>25</v>
      </c>
      <c r="B10" s="3">
        <v>0.5</v>
      </c>
      <c r="C10" s="4">
        <v>6000</v>
      </c>
      <c r="D10" s="2">
        <v>3000</v>
      </c>
      <c r="E10" s="2">
        <v>2700</v>
      </c>
      <c r="F10" s="1">
        <v>46077</v>
      </c>
      <c r="G10" s="1">
        <v>46136</v>
      </c>
      <c r="H10" s="2">
        <v>388500</v>
      </c>
      <c r="I10" s="11">
        <v>0.69</v>
      </c>
      <c r="J10" s="2">
        <v>3000</v>
      </c>
      <c r="K10">
        <v>0.77</v>
      </c>
    </row>
    <row r="11" spans="1:12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2" x14ac:dyDescent="0.25">
      <c r="A12" t="s">
        <v>20</v>
      </c>
      <c r="B12" s="3">
        <v>0.43</v>
      </c>
      <c r="C12" s="4">
        <v>7000</v>
      </c>
      <c r="D12" s="2">
        <v>3010</v>
      </c>
      <c r="E12" s="2">
        <v>2709</v>
      </c>
      <c r="F12" s="1">
        <v>46083</v>
      </c>
      <c r="G12" s="1">
        <v>46148</v>
      </c>
      <c r="H12" s="2">
        <v>263900</v>
      </c>
      <c r="I12" s="11">
        <v>1.03</v>
      </c>
      <c r="J12" s="2">
        <v>4690</v>
      </c>
      <c r="K12">
        <v>1.78</v>
      </c>
    </row>
    <row r="13" spans="1:12" x14ac:dyDescent="0.25">
      <c r="A13" t="s">
        <v>21</v>
      </c>
      <c r="B13" s="3">
        <v>0.7</v>
      </c>
      <c r="C13" s="4">
        <v>75000</v>
      </c>
      <c r="D13" s="2">
        <v>52500</v>
      </c>
      <c r="E13" s="2">
        <v>47250</v>
      </c>
      <c r="F13" s="1">
        <v>46132</v>
      </c>
      <c r="G13" s="1">
        <v>46149</v>
      </c>
      <c r="H13" s="2">
        <v>1148400</v>
      </c>
      <c r="I13" s="11">
        <v>4.1100000000000003</v>
      </c>
      <c r="J13" s="2">
        <v>71250</v>
      </c>
      <c r="K13">
        <v>6.2</v>
      </c>
    </row>
    <row r="14" spans="1:12" x14ac:dyDescent="0.25">
      <c r="A14" t="s">
        <v>22</v>
      </c>
      <c r="B14" s="3">
        <v>0.26</v>
      </c>
      <c r="C14" s="4">
        <v>27000</v>
      </c>
      <c r="D14" s="2">
        <v>7020</v>
      </c>
      <c r="E14" s="2">
        <v>6318</v>
      </c>
      <c r="F14" s="1">
        <v>46135</v>
      </c>
      <c r="G14" s="1">
        <v>46149</v>
      </c>
      <c r="H14" s="2">
        <v>201150</v>
      </c>
      <c r="I14" s="11">
        <v>3.14</v>
      </c>
      <c r="J14" s="2">
        <v>8370</v>
      </c>
      <c r="K14">
        <v>4.16</v>
      </c>
    </row>
    <row r="15" spans="1:12" x14ac:dyDescent="0.25">
      <c r="A15" t="s">
        <v>28</v>
      </c>
      <c r="B15" s="3">
        <v>0.5</v>
      </c>
      <c r="C15" s="4">
        <v>10000</v>
      </c>
      <c r="D15" s="2">
        <v>5000</v>
      </c>
      <c r="E15" s="2">
        <v>4500</v>
      </c>
      <c r="F15" s="1">
        <v>46133</v>
      </c>
      <c r="G15" s="1">
        <v>46150</v>
      </c>
      <c r="H15" s="2">
        <v>300000</v>
      </c>
      <c r="I15" s="11">
        <v>1.5</v>
      </c>
      <c r="J15" s="2">
        <v>5000</v>
      </c>
      <c r="K15">
        <v>1.67</v>
      </c>
    </row>
    <row r="16" spans="1:12" x14ac:dyDescent="0.25">
      <c r="A16" t="s">
        <v>29</v>
      </c>
      <c r="B16" s="3">
        <v>0.38</v>
      </c>
      <c r="C16" s="4">
        <v>17500</v>
      </c>
      <c r="D16" s="2">
        <v>6650</v>
      </c>
      <c r="E16" s="2">
        <v>5985</v>
      </c>
      <c r="F16" s="1">
        <v>46142</v>
      </c>
      <c r="G16" s="1">
        <v>46154</v>
      </c>
      <c r="H16" s="2">
        <v>462000</v>
      </c>
      <c r="I16" s="11">
        <v>1.3</v>
      </c>
      <c r="J16" s="2">
        <v>8400</v>
      </c>
      <c r="K16">
        <v>1.82</v>
      </c>
    </row>
    <row r="17" spans="1:12" x14ac:dyDescent="0.25">
      <c r="A17" t="s">
        <v>32</v>
      </c>
      <c r="B17" s="3">
        <v>1.17</v>
      </c>
      <c r="C17" s="4">
        <v>4000</v>
      </c>
      <c r="D17" s="2">
        <f>B17*C17</f>
        <v>4680</v>
      </c>
      <c r="E17" s="2">
        <f>D17*0.9</f>
        <v>4212</v>
      </c>
      <c r="F17" s="1">
        <v>46094</v>
      </c>
      <c r="G17" s="1">
        <v>46157</v>
      </c>
      <c r="H17" s="2">
        <v>99600</v>
      </c>
      <c r="I17" s="11">
        <v>3.36</v>
      </c>
      <c r="J17" s="2">
        <v>6920</v>
      </c>
      <c r="K17">
        <v>6.95</v>
      </c>
    </row>
    <row r="18" spans="1:12" x14ac:dyDescent="0.25">
      <c r="A18" t="s">
        <v>26</v>
      </c>
      <c r="B18" s="3">
        <v>1.5</v>
      </c>
      <c r="C18" s="4">
        <v>27000</v>
      </c>
      <c r="D18" s="2">
        <v>40500</v>
      </c>
      <c r="E18" s="2">
        <v>36450</v>
      </c>
      <c r="F18" s="1">
        <v>46092</v>
      </c>
      <c r="G18" s="1">
        <v>46157</v>
      </c>
      <c r="H18" s="2">
        <v>1047060</v>
      </c>
      <c r="I18" s="11">
        <v>3.48</v>
      </c>
      <c r="J18" s="2">
        <v>67500</v>
      </c>
      <c r="K18">
        <v>6.45</v>
      </c>
    </row>
    <row r="19" spans="1:12" x14ac:dyDescent="0.25">
      <c r="A19" t="s">
        <v>23</v>
      </c>
      <c r="B19" s="3">
        <v>0.35</v>
      </c>
      <c r="C19" s="4">
        <v>3600</v>
      </c>
      <c r="D19" s="2">
        <f>B19*C19</f>
        <v>1260</v>
      </c>
      <c r="E19" s="2">
        <f>D19*0.9</f>
        <v>1134</v>
      </c>
      <c r="F19" s="1">
        <v>45726</v>
      </c>
      <c r="G19" s="1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25">
      <c r="A20" t="s">
        <v>12</v>
      </c>
      <c r="B20" s="3">
        <v>0.48</v>
      </c>
      <c r="C20" s="4">
        <v>1200</v>
      </c>
      <c r="D20" s="2">
        <v>576</v>
      </c>
      <c r="E20" s="2">
        <v>518.4</v>
      </c>
      <c r="F20" s="1">
        <v>46093</v>
      </c>
      <c r="G20" s="1">
        <v>46164</v>
      </c>
      <c r="H20" s="2">
        <v>44400</v>
      </c>
      <c r="I20" s="11">
        <v>1.17</v>
      </c>
      <c r="J20" s="2">
        <v>948</v>
      </c>
      <c r="K20">
        <v>2.14</v>
      </c>
    </row>
    <row r="21" spans="1:12" x14ac:dyDescent="0.25">
      <c r="A21" t="s">
        <v>14</v>
      </c>
      <c r="B21" s="3">
        <v>0.3</v>
      </c>
      <c r="C21" s="4">
        <v>4000</v>
      </c>
      <c r="D21" s="2">
        <v>1200</v>
      </c>
      <c r="E21" s="2">
        <v>1080</v>
      </c>
      <c r="F21" s="1">
        <v>46141</v>
      </c>
      <c r="G21" s="1">
        <v>46164</v>
      </c>
      <c r="H21" s="2">
        <v>86800</v>
      </c>
      <c r="I21" s="11">
        <v>1.24</v>
      </c>
      <c r="J21" s="2">
        <v>1800</v>
      </c>
      <c r="K21">
        <v>2.0699999999999998</v>
      </c>
    </row>
    <row r="22" spans="1:12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2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2" x14ac:dyDescent="0.25">
      <c r="A24" t="s">
        <v>27</v>
      </c>
      <c r="B24" s="3">
        <v>0.138295</v>
      </c>
      <c r="C24" s="4">
        <v>105000</v>
      </c>
      <c r="D24" s="2">
        <f>B24*C24</f>
        <v>14520.975</v>
      </c>
      <c r="E24" s="2">
        <f>D24*0.9</f>
        <v>13068.877500000001</v>
      </c>
      <c r="F24" s="1">
        <v>46155</v>
      </c>
      <c r="G24" s="1">
        <v>46167</v>
      </c>
      <c r="H24" s="2">
        <v>470400</v>
      </c>
      <c r="I24" s="11">
        <v>2.78</v>
      </c>
      <c r="J24" s="2">
        <v>14521.5</v>
      </c>
      <c r="K24">
        <v>3.09</v>
      </c>
    </row>
    <row r="25" spans="1:12" x14ac:dyDescent="0.25">
      <c r="A25" t="s">
        <v>31</v>
      </c>
      <c r="B25" s="3">
        <v>0.39</v>
      </c>
      <c r="C25" s="4">
        <v>1000</v>
      </c>
      <c r="D25" s="2">
        <f>B25*C25</f>
        <v>390</v>
      </c>
      <c r="E25" s="2">
        <f>D25*0.9</f>
        <v>351</v>
      </c>
      <c r="F25" s="1">
        <v>46148</v>
      </c>
      <c r="G25" s="1">
        <v>46168</v>
      </c>
      <c r="H25" s="2">
        <v>26000</v>
      </c>
      <c r="I25" s="11">
        <v>0.93</v>
      </c>
      <c r="J25" s="2">
        <v>630</v>
      </c>
      <c r="K25">
        <v>2.42</v>
      </c>
    </row>
    <row r="26" spans="1:12" x14ac:dyDescent="0.25">
      <c r="A26" t="s">
        <v>13</v>
      </c>
      <c r="B26" s="3">
        <v>0.08</v>
      </c>
      <c r="C26" s="4">
        <v>9000</v>
      </c>
      <c r="D26" s="2">
        <v>720</v>
      </c>
      <c r="E26" s="2">
        <v>648</v>
      </c>
      <c r="F26" s="1">
        <v>46149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2" x14ac:dyDescent="0.25">
      <c r="E27" s="2">
        <f>SUM(E2:E26)</f>
        <v>211634.69149999999</v>
      </c>
      <c r="L27" s="2">
        <f>E27-L7</f>
        <v>161486.07749999998</v>
      </c>
    </row>
    <row r="28" spans="1:12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2" x14ac:dyDescent="0.25">
      <c r="E29" s="2">
        <f>E2+E28</f>
        <v>30256.605</v>
      </c>
    </row>
    <row r="30" spans="1:12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2" x14ac:dyDescent="0.25">
      <c r="E31" s="2">
        <f>E8+E30</f>
        <v>20535.899999999998</v>
      </c>
    </row>
  </sheetData>
  <sortState xmlns:xlrd2="http://schemas.microsoft.com/office/spreadsheetml/2017/richdata2" ref="A2:K26">
    <sortCondition ref="G2: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1"/>
  <sheetViews>
    <sheetView workbookViewId="0">
      <selection activeCell="K10" sqref="K1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</cols>
  <sheetData>
    <row r="1" spans="1:11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25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25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25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25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25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25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25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25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25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25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25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25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25">
      <c r="A17" t="s">
        <v>21</v>
      </c>
      <c r="B17" s="3">
        <v>0.7</v>
      </c>
      <c r="C17" s="4">
        <v>75000</v>
      </c>
      <c r="D17" s="2">
        <v>52500</v>
      </c>
      <c r="E17" s="2">
        <v>47250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25">
      <c r="A18" t="s">
        <v>28</v>
      </c>
      <c r="B18" s="3">
        <v>0.5</v>
      </c>
      <c r="C18" s="4">
        <v>10000</v>
      </c>
      <c r="D18" s="2">
        <v>5000</v>
      </c>
      <c r="E18" s="2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25">
      <c r="A19" t="s">
        <v>22</v>
      </c>
      <c r="B19" s="3">
        <v>0.26</v>
      </c>
      <c r="C19" s="4">
        <v>27000</v>
      </c>
      <c r="D19" s="2">
        <v>7020</v>
      </c>
      <c r="E19" s="2">
        <v>6318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25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25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25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25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25">
      <c r="A26" t="s">
        <v>27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1" x14ac:dyDescent="0.25">
      <c r="E27" s="2">
        <f>SUM(E2:E26)</f>
        <v>211634.69150000002</v>
      </c>
    </row>
    <row r="28" spans="1:11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25">
      <c r="E29" s="2">
        <f>E2+E28</f>
        <v>30256.605</v>
      </c>
    </row>
    <row r="30" spans="1:11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25">
      <c r="E31" s="2">
        <f>E12+E30</f>
        <v>7839.5999999999995</v>
      </c>
    </row>
  </sheetData>
  <sortState xmlns:xlrd2="http://schemas.microsoft.com/office/spreadsheetml/2017/richdata2" ref="A2:K26">
    <sortCondition ref="F2:F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2026-03-19T23:24:23Z</dcterms:modified>
</cp:coreProperties>
</file>