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862359375ebd62/A4/Excel/"/>
    </mc:Choice>
  </mc:AlternateContent>
  <xr:revisionPtr revIDLastSave="12" documentId="11_326D66C0B83DBDC0E6A176517B92DFCB16052FFE" xr6:coauthVersionLast="47" xr6:coauthVersionMax="47" xr10:uidLastSave="{7C6B279B-AF60-4F21-BE44-D82F0EB90B44}"/>
  <bookViews>
    <workbookView xWindow="0" yWindow="1044" windowWidth="12576" windowHeight="10776" xr2:uid="{00000000-000D-0000-FFFF-FFFF00000000}"/>
  </bookViews>
  <sheets>
    <sheet name="SCIB" sheetId="1" r:id="rId1"/>
    <sheet name="BBL-2507" sheetId="17" r:id="rId2"/>
    <sheet name="BBL-2506" sheetId="16" r:id="rId3"/>
    <sheet name="BBL-2505" sheetId="15" r:id="rId4"/>
    <sheet name="BBL-2504" sheetId="14" r:id="rId5"/>
    <sheet name="BBL-2503" sheetId="13" r:id="rId6"/>
    <sheet name="BBL-2502" sheetId="12" r:id="rId7"/>
    <sheet name="BBL-2501" sheetId="11" r:id="rId8"/>
    <sheet name="BBL-12" sheetId="10" r:id="rId9"/>
    <sheet name="BBL-11" sheetId="9" r:id="rId10"/>
    <sheet name="BBL-10" sheetId="8" r:id="rId11"/>
    <sheet name="BBL-09" sheetId="6" r:id="rId12"/>
    <sheet name="BBL-08" sheetId="5" r:id="rId13"/>
    <sheet name="BBL-07" sheetId="4" r:id="rId14"/>
    <sheet name="BBL-06" sheetId="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4" i="1" l="1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0" i="4"/>
  <c r="E9" i="4"/>
  <c r="E8" i="4"/>
  <c r="E7" i="4"/>
  <c r="E6" i="4"/>
  <c r="E5" i="4"/>
  <c r="E4" i="4"/>
  <c r="E3" i="4"/>
  <c r="E11" i="5"/>
  <c r="E10" i="5"/>
  <c r="E9" i="5"/>
  <c r="E8" i="5"/>
  <c r="E7" i="5"/>
  <c r="A7" i="5"/>
  <c r="E6" i="5"/>
  <c r="E5" i="5"/>
  <c r="E4" i="5"/>
  <c r="E3" i="5"/>
  <c r="E14" i="6"/>
  <c r="E13" i="6"/>
  <c r="E12" i="6"/>
  <c r="E11" i="6"/>
  <c r="E10" i="6"/>
  <c r="E9" i="6"/>
  <c r="E8" i="6"/>
  <c r="E7" i="6"/>
  <c r="E6" i="6"/>
  <c r="E5" i="6"/>
  <c r="E4" i="6"/>
  <c r="E3" i="6"/>
  <c r="E11" i="8"/>
  <c r="E10" i="8"/>
  <c r="E9" i="8"/>
  <c r="E8" i="8"/>
  <c r="E7" i="8"/>
  <c r="E6" i="8"/>
  <c r="E5" i="8"/>
  <c r="E4" i="8"/>
  <c r="E3" i="8"/>
  <c r="E8" i="9"/>
  <c r="E7" i="9"/>
  <c r="E6" i="9"/>
  <c r="E5" i="9"/>
  <c r="E4" i="9"/>
  <c r="E3" i="9"/>
  <c r="E11" i="10"/>
  <c r="E10" i="10"/>
  <c r="E9" i="10"/>
  <c r="E8" i="10"/>
  <c r="E7" i="10"/>
  <c r="E6" i="10"/>
  <c r="E5" i="10"/>
  <c r="E4" i="10"/>
  <c r="E3" i="10"/>
  <c r="E18" i="11"/>
  <c r="D18" i="11"/>
  <c r="C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15" i="12"/>
  <c r="D15" i="12"/>
  <c r="C15" i="12"/>
  <c r="E14" i="12"/>
  <c r="E13" i="12"/>
  <c r="E12" i="12"/>
  <c r="E11" i="12"/>
  <c r="E10" i="12"/>
  <c r="E9" i="12"/>
  <c r="E8" i="12"/>
  <c r="E7" i="12"/>
  <c r="E6" i="12"/>
  <c r="E5" i="12"/>
  <c r="E4" i="12"/>
  <c r="E3" i="12"/>
  <c r="E12" i="13"/>
  <c r="D12" i="13"/>
  <c r="C12" i="13"/>
  <c r="E11" i="13"/>
  <c r="E10" i="13"/>
  <c r="E9" i="13"/>
  <c r="E8" i="13"/>
  <c r="E7" i="13"/>
  <c r="E6" i="13"/>
  <c r="E5" i="13"/>
  <c r="E4" i="13"/>
  <c r="E3" i="13"/>
  <c r="E15" i="14"/>
  <c r="D15" i="14"/>
  <c r="C15" i="14"/>
  <c r="E14" i="14"/>
  <c r="E13" i="14"/>
  <c r="E12" i="14"/>
  <c r="E11" i="14"/>
  <c r="E10" i="14"/>
  <c r="E9" i="14"/>
  <c r="E8" i="14"/>
  <c r="E7" i="14"/>
  <c r="E6" i="14"/>
  <c r="E5" i="14"/>
  <c r="E4" i="14"/>
  <c r="E3" i="14"/>
  <c r="E13" i="15"/>
  <c r="D13" i="15"/>
  <c r="C13" i="15"/>
  <c r="E12" i="15"/>
  <c r="E11" i="15"/>
  <c r="E10" i="15"/>
  <c r="E9" i="15"/>
  <c r="E8" i="15"/>
  <c r="E7" i="15"/>
  <c r="E6" i="15"/>
  <c r="E5" i="15"/>
  <c r="E4" i="15"/>
  <c r="E3" i="15"/>
  <c r="E13" i="16"/>
  <c r="D13" i="16"/>
  <c r="C13" i="16"/>
  <c r="E12" i="16"/>
  <c r="E11" i="16"/>
  <c r="E10" i="16"/>
  <c r="E9" i="16"/>
  <c r="E8" i="16"/>
  <c r="E7" i="16"/>
  <c r="E6" i="16"/>
  <c r="E5" i="16"/>
  <c r="E4" i="16"/>
  <c r="E3" i="16"/>
  <c r="E10" i="17"/>
  <c r="D10" i="17"/>
  <c r="C10" i="17"/>
  <c r="E9" i="17"/>
  <c r="E8" i="17"/>
  <c r="E7" i="17"/>
  <c r="E6" i="17"/>
  <c r="E5" i="17"/>
  <c r="E4" i="17"/>
  <c r="E3" i="17"/>
  <c r="F672" i="1"/>
  <c r="F673" i="1" s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6" i="1"/>
  <c r="F5" i="1"/>
  <c r="F4" i="1"/>
</calcChain>
</file>

<file path=xl/sharedStrings.xml><?xml version="1.0" encoding="utf-8"?>
<sst xmlns="http://schemas.openxmlformats.org/spreadsheetml/2006/main" count="1312" uniqueCount="192">
  <si>
    <t>TRANSACT</t>
  </si>
  <si>
    <t>EFFECTIVE</t>
  </si>
  <si>
    <t>ITEM</t>
  </si>
  <si>
    <t>DEBIT</t>
  </si>
  <si>
    <t>CREDIT</t>
  </si>
  <si>
    <t>BALANCE</t>
  </si>
  <si>
    <t xml:space="preserve"> </t>
  </si>
  <si>
    <t>Credit Card</t>
  </si>
  <si>
    <t>To BBL</t>
  </si>
  <si>
    <t>To BAY</t>
  </si>
  <si>
    <t>BCH</t>
  </si>
  <si>
    <t>FEE</t>
  </si>
  <si>
    <t>TFFIF</t>
  </si>
  <si>
    <t>?</t>
  </si>
  <si>
    <t>STA</t>
  </si>
  <si>
    <t>Insurance</t>
  </si>
  <si>
    <t>SMS</t>
  </si>
  <si>
    <t>Credit Card Fee</t>
  </si>
  <si>
    <t>SSF</t>
  </si>
  <si>
    <t>BEM</t>
  </si>
  <si>
    <t>CRC</t>
  </si>
  <si>
    <t>MAM</t>
  </si>
  <si>
    <t>Mother</t>
  </si>
  <si>
    <t>To SCB</t>
  </si>
  <si>
    <t>ATM</t>
  </si>
  <si>
    <t>DIF</t>
  </si>
  <si>
    <t>GVREIT</t>
  </si>
  <si>
    <t>Car Inurance</t>
  </si>
  <si>
    <t>DIF-Div</t>
  </si>
  <si>
    <t xml:space="preserve">DIF </t>
  </si>
  <si>
    <t>GVREIT-Div</t>
  </si>
  <si>
    <t>CPNREIT-Div</t>
  </si>
  <si>
    <t>POM</t>
  </si>
  <si>
    <t>3BBIF-Div</t>
  </si>
  <si>
    <t>TFFIF-Div</t>
  </si>
  <si>
    <t>WHART-Div</t>
  </si>
  <si>
    <t>Tax</t>
  </si>
  <si>
    <t>AIMIRT-Div</t>
  </si>
  <si>
    <t>WHAIR-Div</t>
  </si>
  <si>
    <t>Yothin</t>
  </si>
  <si>
    <t>To TTB</t>
  </si>
  <si>
    <t>SCC-Div</t>
  </si>
  <si>
    <t>PTTGC-Div</t>
  </si>
  <si>
    <t>ASK-Div</t>
  </si>
  <si>
    <t>TMT-Div</t>
  </si>
  <si>
    <t>MCS-Div</t>
  </si>
  <si>
    <t>JMT-Div</t>
  </si>
  <si>
    <t>POM SCB</t>
  </si>
  <si>
    <t>STA-Div</t>
  </si>
  <si>
    <t>SYNEX-Div</t>
  </si>
  <si>
    <t>NER-Div</t>
  </si>
  <si>
    <t>KCE-Div</t>
  </si>
  <si>
    <t>ASP-Div</t>
  </si>
  <si>
    <t>RCL-Div</t>
  </si>
  <si>
    <t>PTG-Div</t>
  </si>
  <si>
    <t>BCH-Div</t>
  </si>
  <si>
    <t>IVL-Div</t>
  </si>
  <si>
    <t>ORI-Div</t>
  </si>
  <si>
    <t>AWC-Div</t>
  </si>
  <si>
    <t>SENA-Div</t>
  </si>
  <si>
    <t>AH-Div</t>
  </si>
  <si>
    <t>TOA-Div</t>
  </si>
  <si>
    <t>WHART</t>
  </si>
  <si>
    <t>MAM-3BBIF</t>
  </si>
  <si>
    <t>DONATE</t>
  </si>
  <si>
    <t>JMT</t>
  </si>
  <si>
    <t>Chanin</t>
  </si>
  <si>
    <t>Veerapong</t>
  </si>
  <si>
    <t>To BAY?</t>
  </si>
  <si>
    <t>True Vision</t>
  </si>
  <si>
    <t>IVL</t>
  </si>
  <si>
    <t>AIMIRT</t>
  </si>
  <si>
    <t>ORI</t>
  </si>
  <si>
    <t>BBL</t>
  </si>
  <si>
    <t>CPNREIT</t>
  </si>
  <si>
    <t>3BBIF</t>
  </si>
  <si>
    <t>3BBIF-MAM</t>
  </si>
  <si>
    <t>MCS</t>
  </si>
  <si>
    <t>Adjust</t>
  </si>
  <si>
    <t>JMART-Div</t>
  </si>
  <si>
    <t>ASK</t>
  </si>
  <si>
    <t>TVO</t>
  </si>
  <si>
    <t>NER-W2</t>
  </si>
  <si>
    <t>ATM FEE</t>
  </si>
  <si>
    <t>Revenue</t>
  </si>
  <si>
    <t>TMT</t>
  </si>
  <si>
    <t>TFR TO OTH</t>
  </si>
  <si>
    <t>3BBIF-Mam</t>
  </si>
  <si>
    <t>TFR TO BBL</t>
  </si>
  <si>
    <t>TFR TO BAY</t>
  </si>
  <si>
    <t xml:space="preserve">KCE </t>
  </si>
  <si>
    <t>TTB</t>
  </si>
  <si>
    <t>Funeral</t>
  </si>
  <si>
    <t>Pom</t>
  </si>
  <si>
    <t>TVO-Div</t>
  </si>
  <si>
    <t xml:space="preserve">ASP  </t>
  </si>
  <si>
    <t xml:space="preserve">WHAIR </t>
  </si>
  <si>
    <t>Plum Condo</t>
  </si>
  <si>
    <t xml:space="preserve">NER </t>
  </si>
  <si>
    <t>WHAIR</t>
  </si>
  <si>
    <t>NER</t>
  </si>
  <si>
    <t xml:space="preserve">SYNEX </t>
  </si>
  <si>
    <t xml:space="preserve">JMART </t>
  </si>
  <si>
    <t xml:space="preserve">AIMIRT  </t>
  </si>
  <si>
    <t xml:space="preserve">PTT  </t>
  </si>
  <si>
    <t xml:space="preserve">RCL </t>
  </si>
  <si>
    <t>RCL</t>
  </si>
  <si>
    <t>CPF</t>
  </si>
  <si>
    <t>ORI-W2</t>
  </si>
  <si>
    <t xml:space="preserve">MCS </t>
  </si>
  <si>
    <t>PTT</t>
  </si>
  <si>
    <t>A/C</t>
  </si>
  <si>
    <t>WHART-Refund</t>
  </si>
  <si>
    <t>CPNREIT-Refund</t>
  </si>
  <si>
    <t>CPNREIT-Pom</t>
  </si>
  <si>
    <t>Food</t>
  </si>
  <si>
    <t>CPF-Div</t>
  </si>
  <si>
    <t>PTT-Div</t>
  </si>
  <si>
    <t>BAY</t>
  </si>
  <si>
    <t>Supalai</t>
  </si>
  <si>
    <t>Medicine</t>
  </si>
  <si>
    <t>26/1/10</t>
  </si>
  <si>
    <t>ATM fee</t>
  </si>
  <si>
    <t>Tax refund</t>
  </si>
  <si>
    <t>Vehicle Insur</t>
  </si>
  <si>
    <t>Earthquake</t>
  </si>
  <si>
    <t>ADVANC</t>
  </si>
  <si>
    <t xml:space="preserve">TFFIF </t>
  </si>
  <si>
    <t xml:space="preserve">SCC </t>
  </si>
  <si>
    <t>Regent A/C</t>
  </si>
  <si>
    <t>PROSPECT</t>
  </si>
  <si>
    <t>lenovo</t>
  </si>
  <si>
    <t>PROSPECT-Div</t>
  </si>
  <si>
    <t>Mam</t>
  </si>
  <si>
    <t>PROSPECTT</t>
  </si>
  <si>
    <t>SYNEX-DIV</t>
  </si>
  <si>
    <t>3BBIF-DIV</t>
  </si>
  <si>
    <t>mam</t>
  </si>
  <si>
    <t>ADVANC-DIV</t>
  </si>
  <si>
    <t>NER-DIV</t>
  </si>
  <si>
    <t>RCL-DIV</t>
  </si>
  <si>
    <t>WHART-DIV</t>
  </si>
  <si>
    <t>GVREIT-DIV</t>
  </si>
  <si>
    <t>PROSPECT-DIV</t>
  </si>
  <si>
    <t>CPNREIT-DIV</t>
  </si>
  <si>
    <t>AIMIRT-DIV</t>
  </si>
  <si>
    <t>DIF-DIV</t>
  </si>
  <si>
    <t>AH-DIV</t>
  </si>
  <si>
    <t>IVL-DIV</t>
  </si>
  <si>
    <t>BCH-DIV</t>
  </si>
  <si>
    <t>CPF-DIV</t>
  </si>
  <si>
    <t>JMT-DIV</t>
  </si>
  <si>
    <t>STA-DIV</t>
  </si>
  <si>
    <t>TFFIF-DIV</t>
  </si>
  <si>
    <t>TOA-DIV</t>
  </si>
  <si>
    <t>TVO-DIV</t>
  </si>
  <si>
    <t>PTTGC-DIV</t>
  </si>
  <si>
    <t>WHAIR-DIV</t>
  </si>
  <si>
    <t>PTT-DIV</t>
  </si>
  <si>
    <t xml:space="preserve">PTG </t>
  </si>
  <si>
    <t>Date</t>
  </si>
  <si>
    <t>Transaction</t>
  </si>
  <si>
    <t>Debit</t>
  </si>
  <si>
    <t>Credit</t>
  </si>
  <si>
    <t>Balance</t>
  </si>
  <si>
    <t>Method</t>
  </si>
  <si>
    <t>Balance Forward</t>
  </si>
  <si>
    <t>BBL CREDIT CARD</t>
  </si>
  <si>
    <t>TRF FR OTH BK</t>
  </si>
  <si>
    <t>mPhone</t>
  </si>
  <si>
    <t>TRF PROMPTPAY</t>
  </si>
  <si>
    <t>PMT FOR GOODS</t>
  </si>
  <si>
    <t>TRF TO OTH BK</t>
  </si>
  <si>
    <t>TRANSFER</t>
  </si>
  <si>
    <t>B/F</t>
  </si>
  <si>
    <t>Maam</t>
  </si>
  <si>
    <t>Rent</t>
  </si>
  <si>
    <t>INTEREST PAID</t>
  </si>
  <si>
    <t>Auto</t>
  </si>
  <si>
    <t>ATM ANNUAL FEE</t>
  </si>
  <si>
    <t>Prompt Pay</t>
  </si>
  <si>
    <t>dtac+netflix</t>
  </si>
  <si>
    <t>From BAY</t>
  </si>
  <si>
    <t>CASH DEPOSIT</t>
  </si>
  <si>
    <t>Bed</t>
  </si>
  <si>
    <t>JAS</t>
  </si>
  <si>
    <t>BBQ</t>
  </si>
  <si>
    <t>SHARE PAYMENT</t>
  </si>
  <si>
    <t>LTF</t>
  </si>
  <si>
    <t>TRF. PROMPTPAY</t>
  </si>
  <si>
    <t>SMART</t>
  </si>
  <si>
    <t>Adj.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</si>
</sst>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฿&quot;#,##0.00"/>
    <numFmt numFmtId="165" formatCode="[$-1010000]d/m/yyyy;@"/>
    <numFmt numFmtId="166" formatCode="yyyy/mm/dd;@"/>
    <numFmt numFmtId="167" formatCode="[$-409]d\-mmm\-yyyy;@"/>
    <numFmt numFmtId="168" formatCode="[$฿-41E]#,##0.00"/>
    <numFmt numFmtId="169" formatCode="dd/mm/yy;@"/>
    <numFmt numFmtId="170" formatCode="yyyy\-mm\-dd;@"/>
    <numFmt numFmtId="171" formatCode="#,##0.00000000000"/>
    <numFmt numFmtId="172" formatCode="#,##0.0"/>
    <numFmt numFmtId="173" formatCode="#,##0.0000000000"/>
  </numFmts>
  <fonts count="11">
    <font>
      <sz val="14"/>
      <color rgb="FF000000"/>
      <name val="Cordia New"/>
      <charset val="134"/>
    </font>
    <font>
      <sz val="10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libri"/>
      <charset val="134"/>
    </font>
    <font>
      <sz val="14"/>
      <color rgb="FF333333"/>
      <name val="Calibri"/>
      <charset val="134"/>
    </font>
    <font>
      <sz val="10"/>
      <color rgb="FF333333"/>
      <name val="Verdana"/>
      <charset val="134"/>
    </font>
    <font>
      <sz val="14"/>
      <color theme="1"/>
      <name val="Calibri"/>
      <charset val="134"/>
      <scheme val="minor"/>
    </font>
    <font>
      <b/>
      <sz val="10"/>
      <color rgb="FF333333"/>
      <name val="Verdana"/>
      <charset val="134"/>
    </font>
    <font>
      <b/>
      <sz val="14"/>
      <name val="Calibri"/>
      <charset val="134"/>
    </font>
    <font>
      <sz val="14"/>
      <color rgb="FF33333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65" fontId="0" fillId="0" borderId="0" xfId="0" applyNumberFormat="1"/>
    <xf numFmtId="166" fontId="0" fillId="0" borderId="0" xfId="0" applyNumberFormat="1"/>
    <xf numFmtId="166" fontId="1" fillId="0" borderId="0" xfId="0" applyNumberFormat="1" applyFont="1"/>
    <xf numFmtId="167" fontId="0" fillId="0" borderId="0" xfId="0" applyNumberFormat="1"/>
    <xf numFmtId="167" fontId="1" fillId="0" borderId="0" xfId="0" applyNumberFormat="1" applyFont="1"/>
    <xf numFmtId="168" fontId="0" fillId="0" borderId="0" xfId="0" applyNumberFormat="1"/>
    <xf numFmtId="169" fontId="0" fillId="0" borderId="0" xfId="0" applyNumberFormat="1"/>
    <xf numFmtId="169" fontId="1" fillId="0" borderId="0" xfId="0" applyNumberFormat="1" applyFont="1"/>
    <xf numFmtId="170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70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170" fontId="4" fillId="0" borderId="0" xfId="0" applyNumberFormat="1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" fontId="2" fillId="0" borderId="0" xfId="0" applyNumberFormat="1" applyFont="1"/>
    <xf numFmtId="4" fontId="6" fillId="0" borderId="0" xfId="0" applyNumberFormat="1" applyFont="1"/>
    <xf numFmtId="4" fontId="5" fillId="0" borderId="0" xfId="0" applyNumberFormat="1" applyFont="1"/>
    <xf numFmtId="4" fontId="2" fillId="0" borderId="0" xfId="0" applyNumberFormat="1" applyFont="1"/>
    <xf numFmtId="168" fontId="7" fillId="0" borderId="0" xfId="0" applyNumberFormat="1" applyFont="1"/>
    <xf numFmtId="4" fontId="8" fillId="0" borderId="0" xfId="0" applyNumberFormat="1" applyFont="1"/>
    <xf numFmtId="164" fontId="9" fillId="0" borderId="0" xfId="0" applyNumberFormat="1" applyFont="1"/>
    <xf numFmtId="171" fontId="2" fillId="0" borderId="0" xfId="0" applyNumberFormat="1" applyFont="1"/>
    <xf numFmtId="4" fontId="10" fillId="0" borderId="0" xfId="0" applyNumberFormat="1" applyFont="1"/>
    <xf numFmtId="172" fontId="2" fillId="0" borderId="0" xfId="0" applyNumberFormat="1" applyFont="1"/>
    <xf numFmtId="173" fontId="2" fillId="0" borderId="0" xfId="0" applyNumberFormat="1" applyFont="1"/>
    <xf numFmtId="164" fontId="5" fillId="2" borderId="0" xfId="0" applyNumberFormat="1" applyFont="1" applyFill="1"/>
    <xf numFmtId="4" fontId="10" fillId="2" borderId="0" xfId="0" applyNumberFormat="1" applyFont="1" applyFill="1"/>
    <xf numFmtId="168" fontId="4" fillId="0" borderId="0" xfId="0" applyNumberFormat="1" applyFon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4"/>
  <sheetViews>
    <sheetView tabSelected="1" workbookViewId="0">
      <pane ySplit="2" topLeftCell="A666" activePane="bottomLeft" state="frozen"/>
      <selection pane="bottomLeft" activeCell="B675" sqref="B675"/>
    </sheetView>
  </sheetViews>
  <sheetFormatPr defaultColWidth="10.125" defaultRowHeight="15" customHeight="1"/>
  <cols>
    <col min="1" max="2" width="15" style="13" customWidth="1"/>
    <col min="3" max="3" width="20.375" style="14" customWidth="1"/>
    <col min="4" max="4" width="16.375" style="15" customWidth="1"/>
    <col min="5" max="5" width="16" style="15" customWidth="1"/>
    <col min="6" max="6" width="16.375" style="14" customWidth="1"/>
    <col min="7" max="7" width="14.75" style="14" customWidth="1"/>
    <col min="8" max="8" width="25.625" style="14" customWidth="1"/>
    <col min="9" max="11" width="10.125" style="14"/>
    <col min="12" max="12" width="10.25" style="14" customWidth="1"/>
    <col min="13" max="16384" width="10.125" style="14"/>
  </cols>
  <sheetData>
    <row r="1" spans="1:6" ht="15" customHeight="1">
      <c r="A1" s="16" t="s">
        <v>0</v>
      </c>
      <c r="B1" s="16" t="s">
        <v>1</v>
      </c>
      <c r="C1" s="17" t="s">
        <v>2</v>
      </c>
      <c r="D1" s="18" t="s">
        <v>3</v>
      </c>
      <c r="E1" s="15" t="s">
        <v>4</v>
      </c>
      <c r="F1" s="14" t="s">
        <v>5</v>
      </c>
    </row>
    <row r="2" spans="1:6" ht="15" customHeight="1">
      <c r="A2" s="19" t="s">
        <v>6</v>
      </c>
      <c r="B2" s="19">
        <v>44927</v>
      </c>
      <c r="C2" s="20" t="s">
        <v>7</v>
      </c>
      <c r="D2" s="21">
        <v>1310</v>
      </c>
      <c r="E2" s="21">
        <v>0</v>
      </c>
      <c r="F2" s="22">
        <v>214038.730000001</v>
      </c>
    </row>
    <row r="3" spans="1:6" ht="15" customHeight="1">
      <c r="A3" s="19" t="s">
        <v>6</v>
      </c>
      <c r="B3" s="19">
        <v>45293</v>
      </c>
      <c r="C3" s="20" t="s">
        <v>8</v>
      </c>
      <c r="D3" s="21">
        <v>30000</v>
      </c>
      <c r="E3" s="21">
        <v>0</v>
      </c>
      <c r="F3" s="22">
        <v>37293.86</v>
      </c>
    </row>
    <row r="4" spans="1:6" ht="15" customHeight="1">
      <c r="A4" s="19" t="s">
        <v>6</v>
      </c>
      <c r="B4" s="19">
        <v>45293</v>
      </c>
      <c r="C4" s="20" t="s">
        <v>9</v>
      </c>
      <c r="D4" s="21">
        <v>30000</v>
      </c>
      <c r="E4" s="21">
        <v>0</v>
      </c>
      <c r="F4" s="22">
        <f t="shared" ref="F4:F6" si="0">F3-D4+E4</f>
        <v>7293.86</v>
      </c>
    </row>
    <row r="5" spans="1:6" ht="15" customHeight="1">
      <c r="A5" s="19">
        <v>45287</v>
      </c>
      <c r="B5" s="19">
        <v>45293</v>
      </c>
      <c r="C5" s="23" t="s">
        <v>10</v>
      </c>
      <c r="D5" s="15">
        <v>0</v>
      </c>
      <c r="E5" s="15">
        <v>89401.55</v>
      </c>
      <c r="F5" s="22">
        <f t="shared" si="0"/>
        <v>96695.41</v>
      </c>
    </row>
    <row r="6" spans="1:6" ht="15" customHeight="1">
      <c r="A6" s="19">
        <v>45287</v>
      </c>
      <c r="B6" s="19">
        <v>45293</v>
      </c>
      <c r="C6" s="20" t="s">
        <v>11</v>
      </c>
      <c r="D6" s="21">
        <v>14.98</v>
      </c>
      <c r="E6" s="21">
        <v>0</v>
      </c>
      <c r="F6" s="22">
        <f t="shared" si="0"/>
        <v>96680.43</v>
      </c>
    </row>
    <row r="7" spans="1:6" ht="15" customHeight="1">
      <c r="A7" s="19">
        <v>45293</v>
      </c>
      <c r="B7" s="19">
        <v>45295</v>
      </c>
      <c r="C7" s="23" t="s">
        <v>12</v>
      </c>
      <c r="D7" s="15">
        <v>0</v>
      </c>
      <c r="E7" s="15">
        <v>16712.900000000001</v>
      </c>
      <c r="F7" s="22">
        <v>113393.34694</v>
      </c>
    </row>
    <row r="8" spans="1:6" ht="15" customHeight="1">
      <c r="A8" s="19">
        <v>45293</v>
      </c>
      <c r="B8" s="19">
        <v>45295</v>
      </c>
      <c r="C8" s="20" t="s">
        <v>11</v>
      </c>
      <c r="D8" s="21">
        <v>14.98</v>
      </c>
      <c r="E8" s="21">
        <v>0</v>
      </c>
      <c r="F8" s="22">
        <f t="shared" ref="F8:F15" si="1">F7-D8+E8</f>
        <v>113378.36694000001</v>
      </c>
    </row>
    <row r="9" spans="1:6" ht="15" customHeight="1">
      <c r="A9" s="19" t="s">
        <v>6</v>
      </c>
      <c r="B9" s="19">
        <v>45295</v>
      </c>
      <c r="C9" s="20" t="s">
        <v>13</v>
      </c>
      <c r="D9" s="21">
        <v>5900</v>
      </c>
      <c r="E9" s="21">
        <v>0</v>
      </c>
      <c r="F9" s="22">
        <f t="shared" si="1"/>
        <v>107478.36694000001</v>
      </c>
    </row>
    <row r="10" spans="1:6" ht="15" customHeight="1">
      <c r="A10" s="19">
        <v>45294</v>
      </c>
      <c r="B10" s="19">
        <v>45296</v>
      </c>
      <c r="C10" s="23" t="s">
        <v>14</v>
      </c>
      <c r="D10" s="15">
        <v>0</v>
      </c>
      <c r="E10" s="15">
        <v>42156.42</v>
      </c>
      <c r="F10" s="22">
        <f t="shared" si="1"/>
        <v>149634.78693999999</v>
      </c>
    </row>
    <row r="11" spans="1:6" ht="15" customHeight="1">
      <c r="A11" s="19">
        <v>45294</v>
      </c>
      <c r="B11" s="19">
        <v>45296</v>
      </c>
      <c r="C11" s="20" t="s">
        <v>11</v>
      </c>
      <c r="D11" s="21">
        <v>14.98</v>
      </c>
      <c r="E11" s="21">
        <v>0</v>
      </c>
      <c r="F11" s="22">
        <f t="shared" si="1"/>
        <v>149619.80694000001</v>
      </c>
    </row>
    <row r="12" spans="1:6" ht="15" customHeight="1">
      <c r="A12" s="19">
        <v>45295</v>
      </c>
      <c r="B12" s="19">
        <v>45299</v>
      </c>
      <c r="C12" s="23" t="s">
        <v>12</v>
      </c>
      <c r="D12" s="15">
        <v>0</v>
      </c>
      <c r="E12" s="15">
        <v>17461.23</v>
      </c>
      <c r="F12" s="22">
        <f t="shared" si="1"/>
        <v>167081.03693999999</v>
      </c>
    </row>
    <row r="13" spans="1:6" ht="15" customHeight="1">
      <c r="A13" s="19">
        <v>45295</v>
      </c>
      <c r="B13" s="19">
        <v>45299</v>
      </c>
      <c r="C13" s="23" t="s">
        <v>10</v>
      </c>
      <c r="D13" s="15">
        <v>0</v>
      </c>
      <c r="E13" s="15">
        <v>45698.55</v>
      </c>
      <c r="F13" s="22">
        <f t="shared" si="1"/>
        <v>212779.58694000001</v>
      </c>
    </row>
    <row r="14" spans="1:6" ht="15" customHeight="1">
      <c r="A14" s="19">
        <v>45295</v>
      </c>
      <c r="B14" s="19">
        <v>45299</v>
      </c>
      <c r="C14" s="20" t="s">
        <v>11</v>
      </c>
      <c r="D14" s="21">
        <v>14.98</v>
      </c>
      <c r="E14" s="21">
        <v>0</v>
      </c>
      <c r="F14" s="22">
        <f t="shared" si="1"/>
        <v>212764.60694</v>
      </c>
    </row>
    <row r="15" spans="1:6" ht="15" customHeight="1">
      <c r="A15" s="19" t="s">
        <v>6</v>
      </c>
      <c r="B15" s="19">
        <v>45302</v>
      </c>
      <c r="C15" s="20" t="s">
        <v>15</v>
      </c>
      <c r="D15" s="21">
        <v>8075</v>
      </c>
      <c r="E15" s="21">
        <v>0</v>
      </c>
      <c r="F15" s="22">
        <f t="shared" si="1"/>
        <v>204689.60694</v>
      </c>
    </row>
    <row r="16" spans="1:6" ht="15" customHeight="1">
      <c r="A16" s="19" t="s">
        <v>6</v>
      </c>
      <c r="B16" s="19">
        <v>45304</v>
      </c>
      <c r="C16" s="20" t="s">
        <v>16</v>
      </c>
      <c r="D16" s="21">
        <v>20</v>
      </c>
      <c r="E16" s="21">
        <v>0</v>
      </c>
      <c r="F16" s="22">
        <f t="shared" ref="F16:F31" si="2">F15-D16+E16</f>
        <v>204669.60694</v>
      </c>
    </row>
    <row r="17" spans="1:6" ht="15" customHeight="1">
      <c r="A17" s="19" t="s">
        <v>6</v>
      </c>
      <c r="B17" s="19">
        <v>45305</v>
      </c>
      <c r="C17" s="20" t="s">
        <v>17</v>
      </c>
      <c r="D17" s="21">
        <v>250</v>
      </c>
      <c r="E17" s="21">
        <v>0</v>
      </c>
      <c r="F17" s="22">
        <f t="shared" si="2"/>
        <v>204419.60694</v>
      </c>
    </row>
    <row r="18" spans="1:6" ht="15" customHeight="1">
      <c r="A18" s="19" t="s">
        <v>6</v>
      </c>
      <c r="B18" s="19">
        <v>45306</v>
      </c>
      <c r="C18" s="20" t="s">
        <v>18</v>
      </c>
      <c r="D18" s="21">
        <v>432</v>
      </c>
      <c r="E18" s="21">
        <v>0</v>
      </c>
      <c r="F18" s="22">
        <f t="shared" si="2"/>
        <v>203987.60694</v>
      </c>
    </row>
    <row r="19" spans="1:6" ht="15" customHeight="1">
      <c r="A19" s="19">
        <v>45310</v>
      </c>
      <c r="B19" s="19">
        <v>45314</v>
      </c>
      <c r="C19" s="23" t="s">
        <v>19</v>
      </c>
      <c r="D19" s="15">
        <v>22549.84</v>
      </c>
      <c r="E19" s="15">
        <v>0</v>
      </c>
      <c r="F19" s="22">
        <f t="shared" si="2"/>
        <v>181437.76694</v>
      </c>
    </row>
    <row r="20" spans="1:6" ht="15" customHeight="1">
      <c r="A20" s="19">
        <v>45310</v>
      </c>
      <c r="B20" s="19">
        <v>45314</v>
      </c>
      <c r="C20" s="23" t="s">
        <v>20</v>
      </c>
      <c r="D20" s="15">
        <v>21046.51</v>
      </c>
      <c r="E20" s="15">
        <v>0</v>
      </c>
      <c r="F20" s="22">
        <f t="shared" si="2"/>
        <v>160391.25693999999</v>
      </c>
    </row>
    <row r="21" spans="1:6" ht="15" customHeight="1">
      <c r="A21" s="19">
        <v>45310</v>
      </c>
      <c r="B21" s="19">
        <v>45314</v>
      </c>
      <c r="C21" s="20" t="s">
        <v>11</v>
      </c>
      <c r="D21" s="21">
        <v>14.98</v>
      </c>
      <c r="E21" s="21">
        <v>0</v>
      </c>
      <c r="F21" s="22">
        <f t="shared" si="2"/>
        <v>160376.27694000001</v>
      </c>
    </row>
    <row r="22" spans="1:6" ht="15" customHeight="1">
      <c r="A22" s="19">
        <v>45315</v>
      </c>
      <c r="B22" s="19">
        <v>45317</v>
      </c>
      <c r="C22" s="23" t="s">
        <v>20</v>
      </c>
      <c r="D22" s="15">
        <v>0</v>
      </c>
      <c r="E22" s="15">
        <v>21103.16</v>
      </c>
      <c r="F22" s="22">
        <f t="shared" si="2"/>
        <v>181479.43694000001</v>
      </c>
    </row>
    <row r="23" spans="1:6" ht="15" customHeight="1">
      <c r="A23" s="19">
        <v>45315</v>
      </c>
      <c r="B23" s="19">
        <v>45317</v>
      </c>
      <c r="C23" s="20" t="s">
        <v>11</v>
      </c>
      <c r="D23" s="21">
        <v>14.98</v>
      </c>
      <c r="E23" s="21">
        <v>0</v>
      </c>
      <c r="F23" s="22">
        <f t="shared" si="2"/>
        <v>181464.45694</v>
      </c>
    </row>
    <row r="24" spans="1:6" ht="15" customHeight="1">
      <c r="A24" s="19" t="s">
        <v>6</v>
      </c>
      <c r="B24" s="19">
        <v>45322</v>
      </c>
      <c r="C24" s="20" t="s">
        <v>21</v>
      </c>
      <c r="D24" s="21">
        <v>10000</v>
      </c>
      <c r="E24" s="21">
        <v>0</v>
      </c>
      <c r="F24" s="22">
        <f t="shared" si="2"/>
        <v>171464.45694</v>
      </c>
    </row>
    <row r="25" spans="1:6" ht="15" customHeight="1">
      <c r="A25" s="19" t="s">
        <v>6</v>
      </c>
      <c r="B25" s="19">
        <v>45323</v>
      </c>
      <c r="C25" s="20" t="s">
        <v>22</v>
      </c>
      <c r="D25" s="21">
        <v>5000</v>
      </c>
      <c r="E25" s="21">
        <v>0</v>
      </c>
      <c r="F25" s="22">
        <f t="shared" si="2"/>
        <v>166464.45694</v>
      </c>
    </row>
    <row r="26" spans="1:6" ht="15" customHeight="1">
      <c r="A26" s="19" t="s">
        <v>6</v>
      </c>
      <c r="B26" s="19">
        <v>45323</v>
      </c>
      <c r="C26" s="20" t="s">
        <v>7</v>
      </c>
      <c r="D26" s="21">
        <v>2350</v>
      </c>
      <c r="E26" s="21">
        <v>0</v>
      </c>
      <c r="F26" s="22">
        <f t="shared" si="2"/>
        <v>164114.45694</v>
      </c>
    </row>
    <row r="27" spans="1:6" ht="15" customHeight="1">
      <c r="A27" s="19" t="s">
        <v>6</v>
      </c>
      <c r="B27" s="19">
        <v>45324</v>
      </c>
      <c r="C27" s="20" t="s">
        <v>23</v>
      </c>
      <c r="D27" s="21">
        <v>51300</v>
      </c>
      <c r="E27" s="21">
        <v>0</v>
      </c>
      <c r="F27" s="22">
        <f t="shared" si="2"/>
        <v>112814.45694</v>
      </c>
    </row>
    <row r="28" spans="1:6" ht="15" customHeight="1">
      <c r="A28" s="19" t="s">
        <v>6</v>
      </c>
      <c r="B28" s="19">
        <v>45325</v>
      </c>
      <c r="C28" s="20" t="s">
        <v>8</v>
      </c>
      <c r="D28" s="21">
        <v>9000</v>
      </c>
      <c r="E28" s="21">
        <v>0</v>
      </c>
      <c r="F28" s="22">
        <f t="shared" si="2"/>
        <v>103814.45694</v>
      </c>
    </row>
    <row r="29" spans="1:6" ht="15" customHeight="1">
      <c r="A29" s="19" t="s">
        <v>6</v>
      </c>
      <c r="B29" s="19">
        <v>45330</v>
      </c>
      <c r="C29" s="20" t="s">
        <v>24</v>
      </c>
      <c r="D29" s="21">
        <v>1900</v>
      </c>
      <c r="E29" s="21">
        <v>0</v>
      </c>
      <c r="F29" s="22">
        <f t="shared" si="2"/>
        <v>101914.45694</v>
      </c>
    </row>
    <row r="30" spans="1:6" ht="15" customHeight="1">
      <c r="A30" s="19">
        <v>45328</v>
      </c>
      <c r="B30" s="19">
        <v>45330</v>
      </c>
      <c r="C30" s="23" t="s">
        <v>19</v>
      </c>
      <c r="D30" s="15">
        <v>0</v>
      </c>
      <c r="E30" s="15">
        <v>22599.83</v>
      </c>
      <c r="F30" s="22">
        <f t="shared" si="2"/>
        <v>124514.28694000001</v>
      </c>
    </row>
    <row r="31" spans="1:6" ht="15" customHeight="1">
      <c r="A31" s="19">
        <v>45328</v>
      </c>
      <c r="B31" s="19">
        <v>45330</v>
      </c>
      <c r="C31" s="20" t="s">
        <v>11</v>
      </c>
      <c r="D31" s="21">
        <v>14.98</v>
      </c>
      <c r="E31" s="21">
        <v>0</v>
      </c>
      <c r="F31" s="22">
        <f t="shared" si="2"/>
        <v>124499.30693999999</v>
      </c>
    </row>
    <row r="32" spans="1:6" ht="15" customHeight="1">
      <c r="A32" s="19" t="s">
        <v>6</v>
      </c>
      <c r="B32" s="19">
        <v>45331</v>
      </c>
      <c r="C32" s="20" t="s">
        <v>24</v>
      </c>
      <c r="D32" s="21">
        <v>6000</v>
      </c>
      <c r="E32" s="21">
        <v>0</v>
      </c>
      <c r="F32" s="22">
        <f t="shared" ref="F32:F33" si="3">F31-D32+E32</f>
        <v>118499.30693999999</v>
      </c>
    </row>
    <row r="33" spans="1:6" ht="15" customHeight="1">
      <c r="A33" s="19" t="s">
        <v>6</v>
      </c>
      <c r="B33" s="19">
        <v>45332</v>
      </c>
      <c r="C33" s="20" t="s">
        <v>16</v>
      </c>
      <c r="D33" s="21">
        <v>20</v>
      </c>
      <c r="E33" s="21">
        <v>0</v>
      </c>
      <c r="F33" s="22">
        <f t="shared" si="3"/>
        <v>118479.30693999999</v>
      </c>
    </row>
    <row r="34" spans="1:6" ht="15" customHeight="1">
      <c r="A34" s="19" t="s">
        <v>6</v>
      </c>
      <c r="B34" s="19">
        <v>45332</v>
      </c>
      <c r="C34" s="20" t="s">
        <v>24</v>
      </c>
      <c r="D34" s="21">
        <v>10000</v>
      </c>
      <c r="E34" s="21">
        <v>0</v>
      </c>
      <c r="F34" s="22">
        <f t="shared" ref="F34:F39" si="4">F33-D34+E34</f>
        <v>108479.30693999999</v>
      </c>
    </row>
    <row r="35" spans="1:6" ht="15" customHeight="1">
      <c r="A35" s="19">
        <v>45330</v>
      </c>
      <c r="B35" s="19">
        <v>45334</v>
      </c>
      <c r="C35" s="23" t="s">
        <v>25</v>
      </c>
      <c r="D35" s="15">
        <v>23902.83</v>
      </c>
      <c r="E35" s="15">
        <v>0</v>
      </c>
      <c r="F35" s="22">
        <f t="shared" si="4"/>
        <v>84576.476939999993</v>
      </c>
    </row>
    <row r="36" spans="1:6" ht="15" customHeight="1">
      <c r="A36" s="19">
        <v>45330</v>
      </c>
      <c r="B36" s="19">
        <v>45334</v>
      </c>
      <c r="C36" s="20" t="s">
        <v>11</v>
      </c>
      <c r="D36" s="21">
        <v>14.98</v>
      </c>
      <c r="E36" s="21">
        <v>0</v>
      </c>
      <c r="F36" s="22">
        <f t="shared" si="4"/>
        <v>84561.496939999997</v>
      </c>
    </row>
    <row r="37" spans="1:6" ht="15" customHeight="1">
      <c r="A37" s="19" t="s">
        <v>6</v>
      </c>
      <c r="B37" s="19">
        <v>45337</v>
      </c>
      <c r="C37" s="20" t="s">
        <v>18</v>
      </c>
      <c r="D37" s="21">
        <v>432</v>
      </c>
      <c r="E37" s="21">
        <v>0</v>
      </c>
      <c r="F37" s="22">
        <f t="shared" si="4"/>
        <v>84129.496939999997</v>
      </c>
    </row>
    <row r="38" spans="1:6" ht="15" customHeight="1">
      <c r="A38" s="19">
        <v>45337</v>
      </c>
      <c r="B38" s="19">
        <v>45341</v>
      </c>
      <c r="C38" s="23" t="s">
        <v>26</v>
      </c>
      <c r="D38" s="15">
        <v>36079.74</v>
      </c>
      <c r="E38" s="15">
        <v>0</v>
      </c>
      <c r="F38" s="22">
        <f t="shared" si="4"/>
        <v>48049.756939999999</v>
      </c>
    </row>
    <row r="39" spans="1:6" ht="15" customHeight="1">
      <c r="A39" s="19">
        <v>45337</v>
      </c>
      <c r="B39" s="19">
        <v>45341</v>
      </c>
      <c r="C39" s="20" t="s">
        <v>11</v>
      </c>
      <c r="D39" s="21">
        <v>14.98</v>
      </c>
      <c r="E39" s="21">
        <v>0</v>
      </c>
      <c r="F39" s="22">
        <f t="shared" si="4"/>
        <v>48034.776940000003</v>
      </c>
    </row>
    <row r="40" spans="1:6" ht="15" customHeight="1">
      <c r="A40" s="19" t="s">
        <v>6</v>
      </c>
      <c r="B40" s="19">
        <v>45343</v>
      </c>
      <c r="C40" s="20" t="s">
        <v>24</v>
      </c>
      <c r="D40" s="21">
        <v>0</v>
      </c>
      <c r="E40" s="21">
        <v>30000</v>
      </c>
      <c r="F40" s="22">
        <f t="shared" ref="F40:F48" si="5">F39-D40+E40</f>
        <v>78034.776939999996</v>
      </c>
    </row>
    <row r="41" spans="1:6" ht="15" customHeight="1">
      <c r="A41" s="19" t="s">
        <v>6</v>
      </c>
      <c r="B41" s="19">
        <v>45347</v>
      </c>
      <c r="C41" s="20" t="s">
        <v>27</v>
      </c>
      <c r="D41" s="21">
        <v>11600</v>
      </c>
      <c r="E41" s="21">
        <v>0</v>
      </c>
      <c r="F41" s="22">
        <f t="shared" si="5"/>
        <v>66434.776939999996</v>
      </c>
    </row>
    <row r="42" spans="1:6" ht="15" customHeight="1">
      <c r="A42" s="19" t="s">
        <v>6</v>
      </c>
      <c r="B42" s="19">
        <v>45350</v>
      </c>
      <c r="C42" s="20" t="s">
        <v>24</v>
      </c>
      <c r="D42" s="21">
        <v>42767</v>
      </c>
      <c r="E42" s="21">
        <v>0</v>
      </c>
      <c r="F42" s="22">
        <f t="shared" si="5"/>
        <v>23667.77694</v>
      </c>
    </row>
    <row r="43" spans="1:6" ht="15" customHeight="1">
      <c r="A43" s="19" t="s">
        <v>6</v>
      </c>
      <c r="B43" s="19">
        <v>45351</v>
      </c>
      <c r="C43" s="20" t="s">
        <v>21</v>
      </c>
      <c r="D43" s="21">
        <v>10000</v>
      </c>
      <c r="E43" s="21">
        <v>0</v>
      </c>
      <c r="F43" s="22">
        <f t="shared" si="5"/>
        <v>13667.77694</v>
      </c>
    </row>
    <row r="44" spans="1:6" ht="15" customHeight="1">
      <c r="A44" s="19" t="s">
        <v>6</v>
      </c>
      <c r="B44" s="19">
        <v>45354</v>
      </c>
      <c r="C44" s="20" t="s">
        <v>7</v>
      </c>
      <c r="D44" s="21">
        <v>1310</v>
      </c>
      <c r="E44" s="21">
        <v>0</v>
      </c>
      <c r="F44" s="22">
        <f t="shared" si="5"/>
        <v>12357.77694</v>
      </c>
    </row>
    <row r="45" spans="1:6" ht="15" customHeight="1">
      <c r="A45" s="19" t="s">
        <v>6</v>
      </c>
      <c r="B45" s="19">
        <v>45355</v>
      </c>
      <c r="C45" s="20" t="s">
        <v>28</v>
      </c>
      <c r="D45" s="21">
        <v>0</v>
      </c>
      <c r="E45" s="21">
        <v>6112.8</v>
      </c>
      <c r="F45" s="22">
        <f t="shared" si="5"/>
        <v>18470.576939999999</v>
      </c>
    </row>
    <row r="46" spans="1:6" ht="15" customHeight="1">
      <c r="A46" s="19" t="s">
        <v>6</v>
      </c>
      <c r="B46" s="19">
        <v>45355</v>
      </c>
      <c r="C46" s="20" t="s">
        <v>8</v>
      </c>
      <c r="D46" s="21">
        <v>10000</v>
      </c>
      <c r="E46" s="21">
        <v>0</v>
      </c>
      <c r="F46" s="22">
        <f t="shared" si="5"/>
        <v>8470.5769399999808</v>
      </c>
    </row>
    <row r="47" spans="1:6" ht="15" customHeight="1">
      <c r="A47" s="19">
        <v>45355</v>
      </c>
      <c r="B47" s="19">
        <v>45357</v>
      </c>
      <c r="C47" s="23" t="s">
        <v>29</v>
      </c>
      <c r="D47" s="15">
        <v>0</v>
      </c>
      <c r="E47" s="15">
        <v>23647.51</v>
      </c>
      <c r="F47" s="22">
        <f t="shared" si="5"/>
        <v>32118.086940000001</v>
      </c>
    </row>
    <row r="48" spans="1:6" ht="15" customHeight="1">
      <c r="A48" s="19">
        <v>45355</v>
      </c>
      <c r="B48" s="19">
        <v>45357</v>
      </c>
      <c r="C48" s="20" t="s">
        <v>11</v>
      </c>
      <c r="D48" s="21">
        <v>14.98</v>
      </c>
      <c r="E48" s="21">
        <v>0</v>
      </c>
      <c r="F48" s="22">
        <f t="shared" si="5"/>
        <v>32103.106940000001</v>
      </c>
    </row>
    <row r="49" spans="1:6" ht="15" customHeight="1">
      <c r="A49" s="19" t="s">
        <v>6</v>
      </c>
      <c r="B49" s="19">
        <v>45357</v>
      </c>
      <c r="C49" s="20" t="s">
        <v>8</v>
      </c>
      <c r="D49" s="21">
        <v>12000</v>
      </c>
      <c r="E49" s="21">
        <v>0</v>
      </c>
      <c r="F49" s="22">
        <f t="shared" ref="F49:F58" si="6">F48-D49+E49</f>
        <v>20103.106940000001</v>
      </c>
    </row>
    <row r="50" spans="1:6" ht="15" customHeight="1">
      <c r="A50" s="19" t="s">
        <v>6</v>
      </c>
      <c r="B50" s="19">
        <v>45360</v>
      </c>
      <c r="C50" s="20" t="s">
        <v>16</v>
      </c>
      <c r="D50" s="21">
        <v>20</v>
      </c>
      <c r="E50" s="21">
        <v>0</v>
      </c>
      <c r="F50" s="22">
        <f t="shared" si="6"/>
        <v>20083.106940000001</v>
      </c>
    </row>
    <row r="51" spans="1:6" ht="15" customHeight="1">
      <c r="A51" s="19" t="s">
        <v>6</v>
      </c>
      <c r="B51" s="19">
        <v>45364</v>
      </c>
      <c r="C51" s="20" t="s">
        <v>30</v>
      </c>
      <c r="D51" s="21">
        <v>0</v>
      </c>
      <c r="E51" s="21">
        <v>12141.36</v>
      </c>
      <c r="F51" s="22">
        <f t="shared" si="6"/>
        <v>32224.466939999998</v>
      </c>
    </row>
    <row r="52" spans="1:6" ht="15" customHeight="1">
      <c r="A52" s="19" t="s">
        <v>6</v>
      </c>
      <c r="B52" s="19">
        <v>45364</v>
      </c>
      <c r="C52" s="20" t="s">
        <v>8</v>
      </c>
      <c r="D52" s="21">
        <v>30000</v>
      </c>
      <c r="E52" s="21">
        <v>0</v>
      </c>
      <c r="F52" s="22">
        <v>2224.44</v>
      </c>
    </row>
    <row r="53" spans="1:6" ht="15" customHeight="1">
      <c r="A53" s="19" t="s">
        <v>6</v>
      </c>
      <c r="B53" s="19">
        <v>45366</v>
      </c>
      <c r="C53" s="20" t="s">
        <v>31</v>
      </c>
      <c r="D53" s="21">
        <v>0</v>
      </c>
      <c r="E53" s="21">
        <v>19429.2</v>
      </c>
      <c r="F53" s="22">
        <f t="shared" si="6"/>
        <v>21653.64</v>
      </c>
    </row>
    <row r="54" spans="1:6" ht="15" customHeight="1">
      <c r="A54" s="19" t="s">
        <v>6</v>
      </c>
      <c r="B54" s="19">
        <v>45366</v>
      </c>
      <c r="C54" s="20" t="s">
        <v>32</v>
      </c>
      <c r="D54" s="21">
        <v>5551.2</v>
      </c>
      <c r="E54" s="21">
        <v>0</v>
      </c>
      <c r="F54" s="22">
        <f t="shared" si="6"/>
        <v>16102.44</v>
      </c>
    </row>
    <row r="55" spans="1:6" ht="15" customHeight="1">
      <c r="A55" s="19" t="s">
        <v>6</v>
      </c>
      <c r="B55" s="19">
        <v>45366</v>
      </c>
      <c r="C55" s="20" t="s">
        <v>18</v>
      </c>
      <c r="D55" s="21">
        <v>432</v>
      </c>
      <c r="E55" s="21">
        <v>0</v>
      </c>
      <c r="F55" s="22">
        <f t="shared" si="6"/>
        <v>15670.44</v>
      </c>
    </row>
    <row r="56" spans="1:6" ht="15" customHeight="1">
      <c r="A56" s="19" t="s">
        <v>6</v>
      </c>
      <c r="B56" s="19">
        <v>45369</v>
      </c>
      <c r="C56" s="20" t="s">
        <v>33</v>
      </c>
      <c r="D56" s="21">
        <v>0</v>
      </c>
      <c r="E56" s="21">
        <v>25600</v>
      </c>
      <c r="F56" s="22">
        <f t="shared" si="6"/>
        <v>41270.44</v>
      </c>
    </row>
    <row r="57" spans="1:6" ht="15" customHeight="1">
      <c r="A57" s="19" t="s">
        <v>6</v>
      </c>
      <c r="B57" s="19">
        <v>45369</v>
      </c>
      <c r="C57" s="20" t="s">
        <v>21</v>
      </c>
      <c r="D57" s="21">
        <v>4800</v>
      </c>
      <c r="E57" s="21">
        <v>0</v>
      </c>
      <c r="F57" s="22">
        <f t="shared" si="6"/>
        <v>36470.44</v>
      </c>
    </row>
    <row r="58" spans="1:6" ht="15" customHeight="1">
      <c r="A58" s="19" t="s">
        <v>6</v>
      </c>
      <c r="B58" s="19">
        <v>45371</v>
      </c>
      <c r="C58" s="20" t="s">
        <v>34</v>
      </c>
      <c r="D58" s="21">
        <v>0</v>
      </c>
      <c r="E58" s="21">
        <v>2078</v>
      </c>
      <c r="F58" s="22">
        <f t="shared" si="6"/>
        <v>38548.44</v>
      </c>
    </row>
    <row r="59" spans="1:6" ht="15" customHeight="1">
      <c r="A59" s="19" t="s">
        <v>6</v>
      </c>
      <c r="B59" s="19">
        <v>45373</v>
      </c>
      <c r="C59" s="20" t="s">
        <v>35</v>
      </c>
      <c r="D59" s="21">
        <v>0</v>
      </c>
      <c r="E59" s="21">
        <v>2340</v>
      </c>
      <c r="F59" s="22">
        <f t="shared" ref="F59" si="7">F58-D59+E59</f>
        <v>40888.44</v>
      </c>
    </row>
    <row r="60" spans="1:6" ht="15" customHeight="1">
      <c r="A60" s="19" t="s">
        <v>6</v>
      </c>
      <c r="B60" s="19">
        <v>45378</v>
      </c>
      <c r="C60" s="20" t="s">
        <v>36</v>
      </c>
      <c r="D60" s="21">
        <v>0</v>
      </c>
      <c r="E60" s="21">
        <v>66490.89</v>
      </c>
      <c r="F60" s="22">
        <f t="shared" ref="F60:F67" si="8">F59-D60+E60</f>
        <v>107379.33</v>
      </c>
    </row>
    <row r="61" spans="1:6" ht="15" customHeight="1">
      <c r="A61" s="19" t="s">
        <v>6</v>
      </c>
      <c r="B61" s="19">
        <v>45379</v>
      </c>
      <c r="C61" s="20" t="s">
        <v>37</v>
      </c>
      <c r="D61" s="21">
        <v>0</v>
      </c>
      <c r="E61" s="21">
        <v>1935</v>
      </c>
      <c r="F61" s="22">
        <f t="shared" si="8"/>
        <v>109314.33</v>
      </c>
    </row>
    <row r="62" spans="1:6" ht="15" customHeight="1">
      <c r="A62" s="19" t="s">
        <v>6</v>
      </c>
      <c r="B62" s="19">
        <v>45380</v>
      </c>
      <c r="C62" s="20" t="s">
        <v>38</v>
      </c>
      <c r="D62" s="21">
        <v>0</v>
      </c>
      <c r="E62" s="21">
        <v>6160.5</v>
      </c>
      <c r="F62" s="22">
        <f t="shared" si="8"/>
        <v>115474.83</v>
      </c>
    </row>
    <row r="63" spans="1:6" ht="15" customHeight="1">
      <c r="A63" s="19" t="s">
        <v>6</v>
      </c>
      <c r="B63" s="19">
        <v>45380</v>
      </c>
      <c r="C63" s="20" t="s">
        <v>9</v>
      </c>
      <c r="D63" s="21">
        <v>25000</v>
      </c>
      <c r="E63" s="21">
        <v>0</v>
      </c>
      <c r="F63" s="22">
        <f t="shared" si="8"/>
        <v>90474.83</v>
      </c>
    </row>
    <row r="64" spans="1:6" ht="15" customHeight="1">
      <c r="A64" s="19" t="s">
        <v>6</v>
      </c>
      <c r="B64" s="19">
        <v>45381</v>
      </c>
      <c r="C64" s="20" t="s">
        <v>39</v>
      </c>
      <c r="D64" s="21">
        <v>0</v>
      </c>
      <c r="E64" s="21">
        <v>200000</v>
      </c>
      <c r="F64" s="22">
        <f t="shared" si="8"/>
        <v>290474.83</v>
      </c>
    </row>
    <row r="65" spans="1:6" ht="15" customHeight="1">
      <c r="A65" s="19" t="s">
        <v>6</v>
      </c>
      <c r="B65" s="19">
        <v>45382</v>
      </c>
      <c r="C65" s="20" t="s">
        <v>21</v>
      </c>
      <c r="D65" s="21">
        <v>10000</v>
      </c>
      <c r="E65" s="21">
        <v>0</v>
      </c>
      <c r="F65" s="22">
        <f t="shared" si="8"/>
        <v>280474.83</v>
      </c>
    </row>
    <row r="66" spans="1:6" ht="15" customHeight="1">
      <c r="A66" s="19" t="s">
        <v>6</v>
      </c>
      <c r="B66" s="19">
        <v>45382</v>
      </c>
      <c r="C66" s="20" t="s">
        <v>40</v>
      </c>
      <c r="D66" s="21">
        <v>50000</v>
      </c>
      <c r="E66" s="21">
        <v>0</v>
      </c>
      <c r="F66" s="22">
        <f t="shared" si="8"/>
        <v>230474.83</v>
      </c>
    </row>
    <row r="67" spans="1:6" ht="15" customHeight="1">
      <c r="A67" s="19" t="s">
        <v>6</v>
      </c>
      <c r="B67" s="19">
        <v>45386</v>
      </c>
      <c r="C67" s="20" t="s">
        <v>7</v>
      </c>
      <c r="D67" s="21">
        <v>1320</v>
      </c>
      <c r="E67" s="21">
        <v>0</v>
      </c>
      <c r="F67" s="22">
        <f t="shared" si="8"/>
        <v>229154.83</v>
      </c>
    </row>
    <row r="68" spans="1:6" ht="15" customHeight="1">
      <c r="A68" s="19" t="s">
        <v>6</v>
      </c>
      <c r="B68" s="19">
        <v>45386</v>
      </c>
      <c r="C68" s="20" t="s">
        <v>21</v>
      </c>
      <c r="D68" s="21">
        <v>6500</v>
      </c>
      <c r="E68" s="21">
        <v>0</v>
      </c>
      <c r="F68" s="22">
        <f t="shared" ref="F68" si="9">F67-D68+E68</f>
        <v>222654.83</v>
      </c>
    </row>
    <row r="69" spans="1:6" ht="15" customHeight="1">
      <c r="A69" s="19" t="s">
        <v>6</v>
      </c>
      <c r="B69" s="19">
        <v>45391</v>
      </c>
      <c r="C69" s="20" t="s">
        <v>24</v>
      </c>
      <c r="D69" s="21">
        <v>900</v>
      </c>
      <c r="E69" s="21">
        <v>0</v>
      </c>
      <c r="F69" s="22">
        <f t="shared" ref="F69:F70" si="10">F68-D69+E69</f>
        <v>221754.83</v>
      </c>
    </row>
    <row r="70" spans="1:6" ht="15" customHeight="1">
      <c r="A70" s="19" t="s">
        <v>6</v>
      </c>
      <c r="B70" s="19">
        <v>45392</v>
      </c>
      <c r="C70" s="20" t="s">
        <v>8</v>
      </c>
      <c r="D70" s="21">
        <v>35000</v>
      </c>
      <c r="E70" s="21">
        <v>0</v>
      </c>
      <c r="F70" s="22">
        <f t="shared" si="10"/>
        <v>186754.83</v>
      </c>
    </row>
    <row r="71" spans="1:6" ht="15" customHeight="1">
      <c r="A71" s="19" t="s">
        <v>6</v>
      </c>
      <c r="B71" s="19">
        <v>45392</v>
      </c>
      <c r="C71" s="20" t="s">
        <v>9</v>
      </c>
      <c r="D71" s="21">
        <v>19000</v>
      </c>
      <c r="E71" s="21">
        <v>0</v>
      </c>
      <c r="F71" s="22">
        <f t="shared" ref="F71:F76" si="11">F70-D71+E71</f>
        <v>167754.82999999999</v>
      </c>
    </row>
    <row r="72" spans="1:6" ht="15" customHeight="1">
      <c r="A72" s="19" t="s">
        <v>6</v>
      </c>
      <c r="B72" s="19">
        <v>45395</v>
      </c>
      <c r="C72" s="20" t="s">
        <v>16</v>
      </c>
      <c r="D72" s="21">
        <v>20</v>
      </c>
      <c r="E72" s="21">
        <v>0</v>
      </c>
      <c r="F72" s="22">
        <f t="shared" si="11"/>
        <v>167734.82999999999</v>
      </c>
    </row>
    <row r="73" spans="1:6" ht="15" customHeight="1">
      <c r="A73" s="19" t="s">
        <v>6</v>
      </c>
      <c r="B73" s="19">
        <v>45399</v>
      </c>
      <c r="C73" s="20" t="s">
        <v>18</v>
      </c>
      <c r="D73" s="21">
        <v>432</v>
      </c>
      <c r="E73" s="21">
        <v>0</v>
      </c>
      <c r="F73" s="22">
        <f t="shared" si="11"/>
        <v>167302.82999999999</v>
      </c>
    </row>
    <row r="74" spans="1:6" ht="15" customHeight="1">
      <c r="A74" s="19" t="s">
        <v>6</v>
      </c>
      <c r="B74" s="19">
        <v>45405</v>
      </c>
      <c r="C74" s="20" t="s">
        <v>41</v>
      </c>
      <c r="D74" s="21">
        <v>0</v>
      </c>
      <c r="E74" s="21">
        <v>1890</v>
      </c>
      <c r="F74" s="22">
        <f t="shared" si="11"/>
        <v>169192.83</v>
      </c>
    </row>
    <row r="75" spans="1:6" ht="15" customHeight="1">
      <c r="A75" s="19" t="s">
        <v>6</v>
      </c>
      <c r="B75" s="19">
        <v>45406</v>
      </c>
      <c r="C75" s="20" t="s">
        <v>42</v>
      </c>
      <c r="D75" s="21">
        <v>0</v>
      </c>
      <c r="E75" s="21">
        <v>4050</v>
      </c>
      <c r="F75" s="22">
        <f t="shared" si="11"/>
        <v>173242.83</v>
      </c>
    </row>
    <row r="76" spans="1:6" ht="15" customHeight="1">
      <c r="A76" s="19" t="s">
        <v>6</v>
      </c>
      <c r="B76" s="19">
        <v>45412</v>
      </c>
      <c r="C76" s="20" t="s">
        <v>21</v>
      </c>
      <c r="D76" s="21">
        <v>10000</v>
      </c>
      <c r="E76" s="21">
        <v>0</v>
      </c>
      <c r="F76" s="22">
        <f t="shared" si="11"/>
        <v>163242.82999999999</v>
      </c>
    </row>
    <row r="77" spans="1:6" ht="15" customHeight="1">
      <c r="A77" s="19" t="s">
        <v>6</v>
      </c>
      <c r="B77" s="19">
        <v>45412</v>
      </c>
      <c r="C77" s="20" t="s">
        <v>43</v>
      </c>
      <c r="D77" s="21">
        <v>0</v>
      </c>
      <c r="E77" s="21">
        <v>4698</v>
      </c>
      <c r="F77" s="22">
        <f t="shared" ref="F77" si="12">F76-D77+E77</f>
        <v>167940.83</v>
      </c>
    </row>
    <row r="78" spans="1:6" ht="15" customHeight="1">
      <c r="A78" s="19" t="s">
        <v>6</v>
      </c>
      <c r="B78" s="19">
        <v>45412</v>
      </c>
      <c r="C78" s="20" t="s">
        <v>44</v>
      </c>
      <c r="D78" s="21">
        <v>0</v>
      </c>
      <c r="E78" s="21">
        <v>4860</v>
      </c>
      <c r="F78" s="22">
        <f t="shared" ref="F78" si="13">F77-D78+E78</f>
        <v>172800.83</v>
      </c>
    </row>
    <row r="79" spans="1:6" ht="15" customHeight="1">
      <c r="A79" s="19" t="s">
        <v>6</v>
      </c>
      <c r="B79" s="19">
        <v>45414</v>
      </c>
      <c r="C79" s="20" t="s">
        <v>45</v>
      </c>
      <c r="D79" s="21">
        <v>0</v>
      </c>
      <c r="E79" s="21">
        <v>24960</v>
      </c>
      <c r="F79" s="22">
        <f t="shared" ref="F79:F80" si="14">F78-D79+E79</f>
        <v>197760.83</v>
      </c>
    </row>
    <row r="80" spans="1:6" ht="15" customHeight="1">
      <c r="A80" s="19" t="s">
        <v>6</v>
      </c>
      <c r="B80" s="19">
        <v>45414</v>
      </c>
      <c r="C80" s="20" t="s">
        <v>7</v>
      </c>
      <c r="D80" s="21">
        <v>3270</v>
      </c>
      <c r="E80" s="21">
        <v>0</v>
      </c>
      <c r="F80" s="22">
        <f t="shared" si="14"/>
        <v>194490.83</v>
      </c>
    </row>
    <row r="81" spans="1:6" ht="15" customHeight="1">
      <c r="A81" s="19" t="s">
        <v>6</v>
      </c>
      <c r="B81" s="19">
        <v>45415</v>
      </c>
      <c r="C81" s="20" t="s">
        <v>46</v>
      </c>
      <c r="D81" s="21">
        <v>0</v>
      </c>
      <c r="E81" s="21">
        <v>1852.2</v>
      </c>
      <c r="F81" s="22">
        <f t="shared" ref="F81:F82" si="15">F80-D81+E81</f>
        <v>196343.03</v>
      </c>
    </row>
    <row r="82" spans="1:6" ht="15" customHeight="1">
      <c r="A82" s="19" t="s">
        <v>6</v>
      </c>
      <c r="B82" s="19">
        <v>45415</v>
      </c>
      <c r="C82" s="20" t="s">
        <v>47</v>
      </c>
      <c r="D82" s="21">
        <v>8600</v>
      </c>
      <c r="E82" s="21">
        <v>0</v>
      </c>
      <c r="F82" s="22">
        <f t="shared" si="15"/>
        <v>187743.03</v>
      </c>
    </row>
    <row r="83" spans="1:6" ht="15" customHeight="1">
      <c r="A83" s="19" t="s">
        <v>6</v>
      </c>
      <c r="B83" s="19">
        <v>45420</v>
      </c>
      <c r="C83" s="20" t="s">
        <v>48</v>
      </c>
      <c r="D83" s="21">
        <v>0</v>
      </c>
      <c r="E83" s="21">
        <v>4500</v>
      </c>
      <c r="F83" s="22">
        <f t="shared" ref="F83" si="16">F82-D83+E83</f>
        <v>192243.03</v>
      </c>
    </row>
    <row r="84" spans="1:6" ht="15" customHeight="1">
      <c r="A84" s="19" t="s">
        <v>6</v>
      </c>
      <c r="B84" s="19">
        <v>45420</v>
      </c>
      <c r="C84" s="20" t="s">
        <v>49</v>
      </c>
      <c r="D84" s="21">
        <v>0</v>
      </c>
      <c r="E84" s="21">
        <v>3510</v>
      </c>
      <c r="F84" s="22">
        <f t="shared" ref="F84:F85" si="17">F83-D84+E84</f>
        <v>195753.03</v>
      </c>
    </row>
    <row r="85" spans="1:6" ht="15" customHeight="1">
      <c r="A85" s="19" t="s">
        <v>6</v>
      </c>
      <c r="B85" s="19">
        <v>45421</v>
      </c>
      <c r="C85" s="20" t="s">
        <v>50</v>
      </c>
      <c r="D85" s="21">
        <v>0</v>
      </c>
      <c r="E85" s="21">
        <v>7830</v>
      </c>
      <c r="F85" s="22">
        <f t="shared" si="17"/>
        <v>203583.03</v>
      </c>
    </row>
    <row r="86" spans="1:6" ht="15" customHeight="1">
      <c r="A86" s="19" t="s">
        <v>6</v>
      </c>
      <c r="B86" s="19">
        <v>45422</v>
      </c>
      <c r="C86" s="20" t="s">
        <v>51</v>
      </c>
      <c r="D86" s="21">
        <v>0</v>
      </c>
      <c r="E86" s="21">
        <v>6300</v>
      </c>
      <c r="F86" s="22">
        <f t="shared" ref="F86:F115" si="18">F85-D86+E86</f>
        <v>209883.03</v>
      </c>
    </row>
    <row r="87" spans="1:6" ht="15" customHeight="1">
      <c r="A87" s="19" t="s">
        <v>6</v>
      </c>
      <c r="B87" s="19">
        <v>45423</v>
      </c>
      <c r="C87" s="20" t="s">
        <v>16</v>
      </c>
      <c r="D87" s="21">
        <v>20</v>
      </c>
      <c r="E87" s="21">
        <v>0</v>
      </c>
      <c r="F87" s="22">
        <f t="shared" si="18"/>
        <v>209863.03</v>
      </c>
    </row>
    <row r="88" spans="1:6" ht="15" customHeight="1">
      <c r="A88" s="19" t="s">
        <v>6</v>
      </c>
      <c r="B88" s="19">
        <v>45427</v>
      </c>
      <c r="C88" s="20" t="s">
        <v>18</v>
      </c>
      <c r="D88" s="21">
        <v>432</v>
      </c>
      <c r="E88" s="21">
        <v>0</v>
      </c>
      <c r="F88" s="22">
        <f t="shared" si="18"/>
        <v>209431.03</v>
      </c>
    </row>
    <row r="89" spans="1:6" ht="15" customHeight="1">
      <c r="A89" s="19" t="s">
        <v>6</v>
      </c>
      <c r="B89" s="19">
        <v>45429</v>
      </c>
      <c r="C89" s="20" t="s">
        <v>31</v>
      </c>
      <c r="D89" s="21">
        <v>0</v>
      </c>
      <c r="E89" s="21">
        <v>27352.080000000002</v>
      </c>
      <c r="F89" s="22">
        <f t="shared" si="18"/>
        <v>236783.11</v>
      </c>
    </row>
    <row r="90" spans="1:6" ht="15" customHeight="1">
      <c r="A90" s="19" t="s">
        <v>6</v>
      </c>
      <c r="B90" s="19">
        <v>45429</v>
      </c>
      <c r="C90" s="20" t="s">
        <v>52</v>
      </c>
      <c r="D90" s="21">
        <v>0</v>
      </c>
      <c r="E90" s="21">
        <v>2700</v>
      </c>
      <c r="F90" s="22">
        <f t="shared" si="18"/>
        <v>239483.11</v>
      </c>
    </row>
    <row r="91" spans="1:6" ht="15" customHeight="1">
      <c r="A91" s="19" t="s">
        <v>6</v>
      </c>
      <c r="B91" s="19">
        <v>45429</v>
      </c>
      <c r="C91" s="20" t="s">
        <v>53</v>
      </c>
      <c r="D91" s="21">
        <v>0</v>
      </c>
      <c r="E91" s="21">
        <v>13500</v>
      </c>
      <c r="F91" s="22">
        <f t="shared" si="18"/>
        <v>252983.11</v>
      </c>
    </row>
    <row r="92" spans="1:6" ht="15" customHeight="1">
      <c r="A92" s="19" t="s">
        <v>6</v>
      </c>
      <c r="B92" s="19">
        <v>45429</v>
      </c>
      <c r="C92" s="20" t="s">
        <v>32</v>
      </c>
      <c r="D92" s="21">
        <v>7815</v>
      </c>
      <c r="E92" s="21">
        <v>0</v>
      </c>
      <c r="F92" s="22">
        <f t="shared" si="18"/>
        <v>245168.11</v>
      </c>
    </row>
    <row r="93" spans="1:6" ht="15" customHeight="1">
      <c r="A93" s="19" t="s">
        <v>6</v>
      </c>
      <c r="B93" s="19">
        <v>45429</v>
      </c>
      <c r="C93" s="20" t="s">
        <v>54</v>
      </c>
      <c r="D93" s="21">
        <v>0</v>
      </c>
      <c r="E93" s="21">
        <v>1134</v>
      </c>
      <c r="F93" s="22">
        <f t="shared" si="18"/>
        <v>246302.11</v>
      </c>
    </row>
    <row r="94" spans="1:6" ht="15" customHeight="1">
      <c r="A94" s="19" t="s">
        <v>6</v>
      </c>
      <c r="B94" s="19">
        <v>45435</v>
      </c>
      <c r="C94" s="20" t="s">
        <v>55</v>
      </c>
      <c r="D94" s="21">
        <v>0</v>
      </c>
      <c r="E94" s="21">
        <v>900</v>
      </c>
      <c r="F94" s="22">
        <f t="shared" si="18"/>
        <v>247202.11</v>
      </c>
    </row>
    <row r="95" spans="1:6" ht="15" customHeight="1">
      <c r="A95" s="19" t="s">
        <v>6</v>
      </c>
      <c r="B95" s="19">
        <v>45435</v>
      </c>
      <c r="C95" s="20" t="s">
        <v>56</v>
      </c>
      <c r="D95" s="21">
        <v>0</v>
      </c>
      <c r="E95" s="21">
        <v>1134</v>
      </c>
      <c r="F95" s="22">
        <f t="shared" si="18"/>
        <v>248336.11</v>
      </c>
    </row>
    <row r="96" spans="1:6" ht="15" customHeight="1">
      <c r="A96" s="19" t="s">
        <v>6</v>
      </c>
      <c r="B96" s="19">
        <v>45435</v>
      </c>
      <c r="C96" s="20" t="s">
        <v>57</v>
      </c>
      <c r="D96" s="21">
        <v>0</v>
      </c>
      <c r="E96" s="21">
        <v>12150</v>
      </c>
      <c r="F96" s="22">
        <f t="shared" si="18"/>
        <v>260486.11</v>
      </c>
    </row>
    <row r="97" spans="1:6" ht="15" customHeight="1">
      <c r="A97" s="19" t="s">
        <v>6</v>
      </c>
      <c r="B97" s="19">
        <v>45436</v>
      </c>
      <c r="C97" s="20" t="s">
        <v>58</v>
      </c>
      <c r="D97" s="21">
        <v>0</v>
      </c>
      <c r="E97" s="21">
        <v>405</v>
      </c>
      <c r="F97" s="22">
        <f t="shared" si="18"/>
        <v>260891.11</v>
      </c>
    </row>
    <row r="98" spans="1:6" ht="15" customHeight="1">
      <c r="A98" s="19" t="s">
        <v>6</v>
      </c>
      <c r="B98" s="19">
        <v>45436</v>
      </c>
      <c r="C98" s="20" t="s">
        <v>59</v>
      </c>
      <c r="D98" s="21">
        <v>0</v>
      </c>
      <c r="E98" s="21">
        <v>22190.240000000002</v>
      </c>
      <c r="F98" s="22">
        <f t="shared" si="18"/>
        <v>283081.34999999998</v>
      </c>
    </row>
    <row r="99" spans="1:6" ht="15" customHeight="1">
      <c r="A99" s="19" t="s">
        <v>6</v>
      </c>
      <c r="B99" s="19">
        <v>45436</v>
      </c>
      <c r="C99" s="20" t="s">
        <v>60</v>
      </c>
      <c r="D99" s="21">
        <v>0</v>
      </c>
      <c r="E99" s="21">
        <v>1026</v>
      </c>
      <c r="F99" s="22">
        <f t="shared" si="18"/>
        <v>284107.34999999998</v>
      </c>
    </row>
    <row r="100" spans="1:6" ht="15" customHeight="1">
      <c r="A100" s="19" t="s">
        <v>6</v>
      </c>
      <c r="B100" s="19">
        <v>45438</v>
      </c>
      <c r="C100" s="20" t="s">
        <v>21</v>
      </c>
      <c r="D100" s="21">
        <v>11320</v>
      </c>
      <c r="E100" s="21">
        <v>0</v>
      </c>
      <c r="F100" s="22">
        <f t="shared" si="18"/>
        <v>272787.34999999998</v>
      </c>
    </row>
    <row r="101" spans="1:6" ht="15" customHeight="1">
      <c r="A101" s="19" t="s">
        <v>6</v>
      </c>
      <c r="B101" s="19">
        <v>45440</v>
      </c>
      <c r="C101" s="20" t="s">
        <v>61</v>
      </c>
      <c r="D101" s="21">
        <v>0</v>
      </c>
      <c r="E101" s="21">
        <v>315</v>
      </c>
      <c r="F101" s="22">
        <f t="shared" si="18"/>
        <v>273102.34999999998</v>
      </c>
    </row>
    <row r="102" spans="1:6" ht="15" customHeight="1">
      <c r="A102" s="19">
        <v>45436</v>
      </c>
      <c r="B102" s="19">
        <v>45440</v>
      </c>
      <c r="C102" s="23" t="s">
        <v>62</v>
      </c>
      <c r="D102" s="15">
        <v>44097.46</v>
      </c>
      <c r="E102" s="15">
        <v>0</v>
      </c>
      <c r="F102" s="22">
        <f t="shared" si="18"/>
        <v>229004.89</v>
      </c>
    </row>
    <row r="103" spans="1:6" ht="15" customHeight="1">
      <c r="A103" s="19">
        <v>45436</v>
      </c>
      <c r="B103" s="19">
        <v>45440</v>
      </c>
      <c r="C103" s="20" t="s">
        <v>11</v>
      </c>
      <c r="D103" s="21">
        <v>14.98</v>
      </c>
      <c r="E103" s="21">
        <v>0</v>
      </c>
      <c r="F103" s="22">
        <f t="shared" si="18"/>
        <v>228989.91</v>
      </c>
    </row>
    <row r="104" spans="1:6" ht="15" customHeight="1">
      <c r="A104" s="19" t="s">
        <v>6</v>
      </c>
      <c r="B104" s="19">
        <v>45443</v>
      </c>
      <c r="C104" s="20" t="s">
        <v>33</v>
      </c>
      <c r="D104" s="21">
        <v>0</v>
      </c>
      <c r="E104" s="21">
        <v>30400</v>
      </c>
      <c r="F104" s="22">
        <f t="shared" si="18"/>
        <v>259389.91</v>
      </c>
    </row>
    <row r="105" spans="1:6" ht="15" customHeight="1">
      <c r="A105" s="19" t="s">
        <v>6</v>
      </c>
      <c r="B105" s="19">
        <v>45443</v>
      </c>
      <c r="C105" s="20" t="s">
        <v>63</v>
      </c>
      <c r="D105" s="21">
        <v>5700</v>
      </c>
      <c r="E105" s="21">
        <v>0</v>
      </c>
      <c r="F105" s="22">
        <f t="shared" si="18"/>
        <v>253689.91</v>
      </c>
    </row>
    <row r="106" spans="1:6" ht="15" customHeight="1">
      <c r="A106" s="19" t="s">
        <v>6</v>
      </c>
      <c r="B106" s="19">
        <v>45443</v>
      </c>
      <c r="C106" s="20" t="s">
        <v>21</v>
      </c>
      <c r="D106" s="21">
        <v>10000</v>
      </c>
      <c r="E106" s="21">
        <v>0</v>
      </c>
      <c r="F106" s="22">
        <f t="shared" si="18"/>
        <v>243689.91</v>
      </c>
    </row>
    <row r="107" spans="1:6" ht="15" customHeight="1">
      <c r="C107" s="14" t="s">
        <v>64</v>
      </c>
      <c r="E107" s="15">
        <v>29000</v>
      </c>
      <c r="F107" s="22">
        <f t="shared" si="18"/>
        <v>272689.90999999997</v>
      </c>
    </row>
    <row r="108" spans="1:6" ht="15" customHeight="1">
      <c r="A108" s="19">
        <v>45447</v>
      </c>
      <c r="B108" s="19">
        <v>45449</v>
      </c>
      <c r="C108" s="23" t="s">
        <v>65</v>
      </c>
      <c r="D108" s="15">
        <v>25075.42</v>
      </c>
      <c r="E108" s="15">
        <v>0</v>
      </c>
      <c r="F108" s="22">
        <f t="shared" si="18"/>
        <v>247614.49</v>
      </c>
    </row>
    <row r="109" spans="1:6" ht="15" customHeight="1">
      <c r="A109" s="19">
        <v>45447</v>
      </c>
      <c r="B109" s="19">
        <v>45449</v>
      </c>
      <c r="C109" s="20" t="s">
        <v>11</v>
      </c>
      <c r="D109" s="21">
        <v>14.98</v>
      </c>
      <c r="E109" s="21">
        <v>0</v>
      </c>
      <c r="F109" s="22">
        <f t="shared" si="18"/>
        <v>247599.51</v>
      </c>
    </row>
    <row r="110" spans="1:6" ht="15" customHeight="1">
      <c r="A110" s="19">
        <v>45448</v>
      </c>
      <c r="B110" s="19">
        <v>45450</v>
      </c>
      <c r="C110" s="23" t="s">
        <v>65</v>
      </c>
      <c r="D110" s="15">
        <v>0</v>
      </c>
      <c r="E110" s="15">
        <v>26221.79</v>
      </c>
      <c r="F110" s="22">
        <f t="shared" si="18"/>
        <v>273821.3</v>
      </c>
    </row>
    <row r="111" spans="1:6" ht="15" customHeight="1">
      <c r="A111" s="19">
        <v>45448</v>
      </c>
      <c r="B111" s="19">
        <v>45450</v>
      </c>
      <c r="C111" s="20" t="s">
        <v>11</v>
      </c>
      <c r="D111" s="21">
        <v>14.98</v>
      </c>
      <c r="E111" s="21">
        <v>0</v>
      </c>
      <c r="F111" s="22">
        <f t="shared" si="18"/>
        <v>273806.32</v>
      </c>
    </row>
    <row r="112" spans="1:6" ht="15" customHeight="1">
      <c r="A112" s="19" t="s">
        <v>6</v>
      </c>
      <c r="B112" s="19">
        <v>45450</v>
      </c>
      <c r="C112" s="20" t="s">
        <v>28</v>
      </c>
      <c r="D112" s="21">
        <v>0</v>
      </c>
      <c r="E112" s="21">
        <v>5999.4</v>
      </c>
      <c r="F112" s="22">
        <f t="shared" si="18"/>
        <v>279805.71999999997</v>
      </c>
    </row>
    <row r="113" spans="1:6" ht="15" customHeight="1">
      <c r="A113" s="19" t="s">
        <v>6</v>
      </c>
      <c r="B113" s="19">
        <v>45450</v>
      </c>
      <c r="C113" s="20" t="s">
        <v>35</v>
      </c>
      <c r="D113" s="21">
        <v>0</v>
      </c>
      <c r="E113" s="21">
        <v>3447</v>
      </c>
      <c r="F113" s="22">
        <f t="shared" si="18"/>
        <v>283252.71999999997</v>
      </c>
    </row>
    <row r="114" spans="1:6" ht="15" customHeight="1">
      <c r="B114" s="19">
        <v>45450</v>
      </c>
      <c r="C114" s="14" t="s">
        <v>64</v>
      </c>
      <c r="D114" s="15">
        <v>20000</v>
      </c>
      <c r="E114" s="15">
        <v>0</v>
      </c>
      <c r="F114" s="22">
        <f t="shared" si="18"/>
        <v>263252.71999999997</v>
      </c>
    </row>
    <row r="115" spans="1:6" ht="15" customHeight="1">
      <c r="A115" s="19" t="s">
        <v>6</v>
      </c>
      <c r="B115" s="19">
        <v>45451</v>
      </c>
      <c r="C115" s="20" t="s">
        <v>16</v>
      </c>
      <c r="D115" s="21">
        <v>20</v>
      </c>
      <c r="E115" s="21">
        <v>0</v>
      </c>
      <c r="F115" s="22">
        <f t="shared" si="18"/>
        <v>263232.71999999997</v>
      </c>
    </row>
    <row r="116" spans="1:6" ht="15" customHeight="1">
      <c r="B116" s="19">
        <v>45453</v>
      </c>
      <c r="C116" s="14" t="s">
        <v>8</v>
      </c>
      <c r="D116" s="15">
        <v>49000</v>
      </c>
      <c r="E116" s="15">
        <v>0</v>
      </c>
      <c r="F116" s="22">
        <f t="shared" ref="F116" si="19">F115-D116+E116</f>
        <v>214232.72</v>
      </c>
    </row>
    <row r="117" spans="1:6" ht="15" customHeight="1">
      <c r="B117" s="19">
        <v>45453</v>
      </c>
      <c r="C117" s="14" t="s">
        <v>66</v>
      </c>
      <c r="D117" s="15">
        <v>0</v>
      </c>
      <c r="E117" s="15">
        <v>1700</v>
      </c>
      <c r="F117" s="22">
        <f t="shared" ref="F117" si="20">F116-D117+E117</f>
        <v>215932.72</v>
      </c>
    </row>
    <row r="118" spans="1:6" ht="15" customHeight="1">
      <c r="B118" s="19">
        <v>45453</v>
      </c>
      <c r="C118" s="14" t="s">
        <v>67</v>
      </c>
      <c r="D118" s="15">
        <v>0</v>
      </c>
      <c r="E118" s="15">
        <v>1667</v>
      </c>
      <c r="F118" s="22">
        <f t="shared" ref="F118:F120" si="21">F117-D118+E118</f>
        <v>217599.72</v>
      </c>
    </row>
    <row r="119" spans="1:6" ht="15" customHeight="1">
      <c r="A119" s="19" t="s">
        <v>6</v>
      </c>
      <c r="B119" s="19">
        <v>45455</v>
      </c>
      <c r="C119" s="20" t="s">
        <v>56</v>
      </c>
      <c r="D119" s="21">
        <v>0</v>
      </c>
      <c r="E119" s="21">
        <v>1134</v>
      </c>
      <c r="F119" s="22">
        <f t="shared" si="21"/>
        <v>218733.72</v>
      </c>
    </row>
    <row r="120" spans="1:6" ht="15" customHeight="1">
      <c r="B120" s="19">
        <v>45455</v>
      </c>
      <c r="C120" s="14" t="s">
        <v>68</v>
      </c>
      <c r="D120" s="15">
        <v>43110.22</v>
      </c>
      <c r="E120" s="15">
        <v>0</v>
      </c>
      <c r="F120" s="22">
        <f t="shared" si="21"/>
        <v>175623.5</v>
      </c>
    </row>
    <row r="121" spans="1:6" ht="15" customHeight="1">
      <c r="B121" s="19">
        <v>45455</v>
      </c>
      <c r="C121" s="14" t="s">
        <v>69</v>
      </c>
      <c r="D121" s="15">
        <v>22800</v>
      </c>
      <c r="E121" s="15">
        <v>0</v>
      </c>
      <c r="F121" s="22">
        <f t="shared" ref="F121:F127" si="22">F120-D121+E121</f>
        <v>152823.5</v>
      </c>
    </row>
    <row r="122" spans="1:6" ht="15" customHeight="1">
      <c r="A122" s="19" t="s">
        <v>6</v>
      </c>
      <c r="B122" s="19">
        <v>45456</v>
      </c>
      <c r="C122" s="20" t="s">
        <v>37</v>
      </c>
      <c r="D122" s="21">
        <v>0</v>
      </c>
      <c r="E122" s="21">
        <v>2580.3000000000002</v>
      </c>
      <c r="F122" s="22">
        <f t="shared" si="22"/>
        <v>155403.79999999999</v>
      </c>
    </row>
    <row r="123" spans="1:6" ht="15" customHeight="1">
      <c r="A123" s="19" t="s">
        <v>6</v>
      </c>
      <c r="B123" s="19">
        <v>45456</v>
      </c>
      <c r="C123" s="20" t="s">
        <v>30</v>
      </c>
      <c r="D123" s="21">
        <v>0</v>
      </c>
      <c r="E123" s="21">
        <v>11375.1</v>
      </c>
      <c r="F123" s="22">
        <f t="shared" si="22"/>
        <v>166778.9</v>
      </c>
    </row>
    <row r="124" spans="1:6" ht="15" customHeight="1">
      <c r="A124" s="19" t="s">
        <v>6</v>
      </c>
      <c r="B124" s="19">
        <v>45457</v>
      </c>
      <c r="C124" s="20" t="s">
        <v>34</v>
      </c>
      <c r="D124" s="21">
        <v>0</v>
      </c>
      <c r="E124" s="21">
        <v>2198</v>
      </c>
      <c r="F124" s="22">
        <f t="shared" si="22"/>
        <v>168976.9</v>
      </c>
    </row>
    <row r="125" spans="1:6" ht="15" customHeight="1">
      <c r="A125" s="19">
        <v>45455</v>
      </c>
      <c r="B125" s="19">
        <v>45457</v>
      </c>
      <c r="C125" s="23" t="s">
        <v>70</v>
      </c>
      <c r="D125" s="15">
        <v>16035.44</v>
      </c>
      <c r="E125" s="15">
        <v>0</v>
      </c>
      <c r="F125" s="22">
        <f t="shared" si="22"/>
        <v>152941.46</v>
      </c>
    </row>
    <row r="126" spans="1:6" ht="15" customHeight="1">
      <c r="A126" s="19">
        <v>45455</v>
      </c>
      <c r="B126" s="19">
        <v>45457</v>
      </c>
      <c r="C126" s="20" t="s">
        <v>11</v>
      </c>
      <c r="D126" s="21">
        <v>14.98</v>
      </c>
      <c r="E126" s="21">
        <v>0</v>
      </c>
      <c r="F126" s="22">
        <f t="shared" si="22"/>
        <v>152926.48000000001</v>
      </c>
    </row>
    <row r="127" spans="1:6" ht="15" customHeight="1">
      <c r="A127" s="19" t="s">
        <v>6</v>
      </c>
      <c r="B127" s="19">
        <v>45460</v>
      </c>
      <c r="C127" s="20" t="s">
        <v>18</v>
      </c>
      <c r="D127" s="21">
        <v>432</v>
      </c>
      <c r="E127" s="21">
        <v>0</v>
      </c>
      <c r="F127" s="22">
        <f t="shared" si="22"/>
        <v>152494.48000000001</v>
      </c>
    </row>
    <row r="128" spans="1:6" ht="15" customHeight="1">
      <c r="A128" s="19">
        <v>45460</v>
      </c>
      <c r="B128" s="19">
        <v>45462</v>
      </c>
      <c r="C128" s="23" t="s">
        <v>71</v>
      </c>
      <c r="D128" s="15">
        <v>26308.14</v>
      </c>
      <c r="E128" s="15">
        <v>0</v>
      </c>
      <c r="F128" s="22">
        <f t="shared" ref="F128:F134" si="23">F127-D128+E128</f>
        <v>126186.34</v>
      </c>
    </row>
    <row r="129" spans="1:6" ht="15" customHeight="1">
      <c r="A129" s="19">
        <v>45460</v>
      </c>
      <c r="B129" s="19">
        <v>45462</v>
      </c>
      <c r="C129" s="20" t="s">
        <v>11</v>
      </c>
      <c r="D129" s="21">
        <v>14.98</v>
      </c>
      <c r="E129" s="21">
        <v>0</v>
      </c>
      <c r="F129" s="22">
        <f t="shared" si="23"/>
        <v>126171.36</v>
      </c>
    </row>
    <row r="130" spans="1:6" ht="15" customHeight="1">
      <c r="A130" s="19" t="s">
        <v>6</v>
      </c>
      <c r="B130" s="19">
        <v>45467</v>
      </c>
      <c r="C130" s="20" t="s">
        <v>38</v>
      </c>
      <c r="D130" s="21">
        <v>0</v>
      </c>
      <c r="E130" s="21">
        <v>6174</v>
      </c>
      <c r="F130" s="22">
        <f t="shared" si="23"/>
        <v>132345.35999999999</v>
      </c>
    </row>
    <row r="131" spans="1:6" ht="15" customHeight="1">
      <c r="A131" s="19">
        <v>45471</v>
      </c>
      <c r="B131" s="19">
        <v>45475</v>
      </c>
      <c r="C131" s="23" t="s">
        <v>65</v>
      </c>
      <c r="D131" s="15">
        <v>23451.828659999999</v>
      </c>
      <c r="E131" s="15">
        <v>0</v>
      </c>
      <c r="F131" s="22">
        <f t="shared" si="23"/>
        <v>108893.53134</v>
      </c>
    </row>
    <row r="132" spans="1:6" ht="15" customHeight="1">
      <c r="A132" s="19">
        <v>45471</v>
      </c>
      <c r="B132" s="19">
        <v>45475</v>
      </c>
      <c r="C132" s="20" t="s">
        <v>11</v>
      </c>
      <c r="D132" s="21">
        <v>14.98</v>
      </c>
      <c r="E132" s="21">
        <v>0</v>
      </c>
      <c r="F132" s="22">
        <f t="shared" si="23"/>
        <v>108878.55134000001</v>
      </c>
    </row>
    <row r="133" spans="1:6" ht="15" customHeight="1">
      <c r="A133" s="19" t="s">
        <v>6</v>
      </c>
      <c r="B133" s="19">
        <v>45475</v>
      </c>
      <c r="C133" s="20" t="s">
        <v>7</v>
      </c>
      <c r="D133" s="21">
        <v>3420</v>
      </c>
      <c r="E133" s="21">
        <v>0</v>
      </c>
      <c r="F133" s="22">
        <f t="shared" si="23"/>
        <v>105458.55134000001</v>
      </c>
    </row>
    <row r="134" spans="1:6" ht="15" customHeight="1">
      <c r="A134" s="19" t="s">
        <v>6</v>
      </c>
      <c r="B134" s="19">
        <v>45486</v>
      </c>
      <c r="C134" s="20" t="s">
        <v>16</v>
      </c>
      <c r="D134" s="21">
        <v>20</v>
      </c>
      <c r="E134" s="21">
        <v>0</v>
      </c>
      <c r="F134" s="22">
        <f t="shared" si="23"/>
        <v>105438.55134000001</v>
      </c>
    </row>
    <row r="135" spans="1:6" ht="15" customHeight="1">
      <c r="A135" s="19" t="s">
        <v>6</v>
      </c>
      <c r="B135" s="19">
        <v>45489</v>
      </c>
      <c r="C135" s="20" t="s">
        <v>18</v>
      </c>
      <c r="D135" s="21">
        <v>432</v>
      </c>
      <c r="E135" s="21">
        <v>0</v>
      </c>
      <c r="F135" s="22">
        <f t="shared" ref="F135:F137" si="24">F134-D135+E135</f>
        <v>105006.55134000001</v>
      </c>
    </row>
    <row r="136" spans="1:6" ht="15" customHeight="1">
      <c r="A136" s="19">
        <v>45489</v>
      </c>
      <c r="B136" s="19">
        <v>45491</v>
      </c>
      <c r="C136" s="23" t="s">
        <v>72</v>
      </c>
      <c r="D136" s="24">
        <v>13830.57</v>
      </c>
      <c r="E136" s="15">
        <v>0</v>
      </c>
      <c r="F136" s="22">
        <f t="shared" si="24"/>
        <v>91175.9813400001</v>
      </c>
    </row>
    <row r="137" spans="1:6" ht="15" customHeight="1">
      <c r="A137" s="19">
        <v>45489</v>
      </c>
      <c r="B137" s="19">
        <v>45491</v>
      </c>
      <c r="C137" s="20" t="s">
        <v>11</v>
      </c>
      <c r="D137" s="21">
        <v>14.98</v>
      </c>
      <c r="E137" s="21">
        <v>0</v>
      </c>
      <c r="F137" s="22">
        <f t="shared" si="24"/>
        <v>91161.001340000104</v>
      </c>
    </row>
    <row r="138" spans="1:6" ht="15" customHeight="1">
      <c r="A138" s="19">
        <v>45495</v>
      </c>
      <c r="B138" s="19">
        <v>45497</v>
      </c>
      <c r="C138" s="23" t="s">
        <v>65</v>
      </c>
      <c r="D138" s="24">
        <v>17288.21</v>
      </c>
      <c r="E138" s="15">
        <v>0</v>
      </c>
      <c r="F138" s="22">
        <f t="shared" ref="F138:F141" si="25">F137-D138+E138</f>
        <v>73872.791340000098</v>
      </c>
    </row>
    <row r="139" spans="1:6" ht="15" customHeight="1">
      <c r="A139" s="19">
        <v>45495</v>
      </c>
      <c r="B139" s="19">
        <v>45497</v>
      </c>
      <c r="C139" s="20" t="s">
        <v>11</v>
      </c>
      <c r="D139" s="21">
        <v>14.98</v>
      </c>
      <c r="E139" s="21">
        <v>0</v>
      </c>
      <c r="F139" s="22">
        <f t="shared" si="25"/>
        <v>73857.811340000102</v>
      </c>
    </row>
    <row r="140" spans="1:6" ht="15" customHeight="1">
      <c r="A140" s="19" t="s">
        <v>6</v>
      </c>
      <c r="B140" s="19">
        <v>45505</v>
      </c>
      <c r="C140" s="20" t="s">
        <v>7</v>
      </c>
      <c r="D140" s="21">
        <v>1430</v>
      </c>
      <c r="E140" s="21">
        <v>0</v>
      </c>
      <c r="F140" s="22">
        <f t="shared" si="25"/>
        <v>72427.811340000102</v>
      </c>
    </row>
    <row r="141" spans="1:6" ht="15" customHeight="1">
      <c r="A141" s="19" t="s">
        <v>6</v>
      </c>
      <c r="B141" s="19">
        <v>45514</v>
      </c>
      <c r="C141" s="20" t="s">
        <v>16</v>
      </c>
      <c r="D141" s="21">
        <v>20</v>
      </c>
      <c r="E141" s="21">
        <v>0</v>
      </c>
      <c r="F141" s="22">
        <f t="shared" si="25"/>
        <v>72407.811340000102</v>
      </c>
    </row>
    <row r="142" spans="1:6" ht="15" customHeight="1">
      <c r="A142" s="19" t="s">
        <v>6</v>
      </c>
      <c r="B142" s="19">
        <v>45519</v>
      </c>
      <c r="C142" s="20" t="s">
        <v>18</v>
      </c>
      <c r="D142" s="21">
        <v>432</v>
      </c>
      <c r="E142" s="21">
        <v>0</v>
      </c>
      <c r="F142" s="22">
        <f t="shared" ref="F142:F159" si="26">F141-D142+E142</f>
        <v>71975.811340000102</v>
      </c>
    </row>
    <row r="143" spans="1:6" ht="15" customHeight="1">
      <c r="A143" s="19" t="s">
        <v>6</v>
      </c>
      <c r="B143" s="19">
        <v>45527</v>
      </c>
      <c r="C143" s="23" t="s">
        <v>41</v>
      </c>
      <c r="D143" s="24">
        <v>0</v>
      </c>
      <c r="E143" s="15">
        <v>1350</v>
      </c>
      <c r="F143" s="22">
        <f t="shared" si="26"/>
        <v>73325.811340000102</v>
      </c>
    </row>
    <row r="144" spans="1:6" ht="15" customHeight="1">
      <c r="A144" s="19">
        <v>45525</v>
      </c>
      <c r="B144" s="19">
        <v>45527</v>
      </c>
      <c r="C144" s="23" t="s">
        <v>62</v>
      </c>
      <c r="D144" s="24">
        <v>0</v>
      </c>
      <c r="E144" s="15">
        <v>50388.14</v>
      </c>
      <c r="F144" s="22">
        <f t="shared" si="26"/>
        <v>123713.95134</v>
      </c>
    </row>
    <row r="145" spans="1:6" ht="15" customHeight="1">
      <c r="A145" s="19">
        <v>45525</v>
      </c>
      <c r="B145" s="19">
        <v>45527</v>
      </c>
      <c r="C145" s="20" t="s">
        <v>11</v>
      </c>
      <c r="D145" s="21">
        <v>14.98</v>
      </c>
      <c r="E145" s="21">
        <v>0</v>
      </c>
      <c r="F145" s="22">
        <f t="shared" si="26"/>
        <v>123698.97134</v>
      </c>
    </row>
    <row r="146" spans="1:6" ht="15" customHeight="1">
      <c r="A146" s="19">
        <v>45526</v>
      </c>
      <c r="B146" s="19">
        <v>45530</v>
      </c>
      <c r="C146" s="23" t="s">
        <v>65</v>
      </c>
      <c r="D146" s="24">
        <v>0</v>
      </c>
      <c r="E146" s="15">
        <v>22300.5</v>
      </c>
      <c r="F146" s="22">
        <f t="shared" si="26"/>
        <v>145999.47133999999</v>
      </c>
    </row>
    <row r="147" spans="1:6" ht="15" customHeight="1">
      <c r="A147" s="19">
        <v>45526</v>
      </c>
      <c r="B147" s="19">
        <v>45530</v>
      </c>
      <c r="C147" s="20" t="s">
        <v>11</v>
      </c>
      <c r="D147" s="21">
        <v>14.98</v>
      </c>
      <c r="E147" s="21">
        <v>0</v>
      </c>
      <c r="F147" s="22">
        <f t="shared" si="26"/>
        <v>145984.49134000001</v>
      </c>
    </row>
    <row r="148" spans="1:6" ht="15" customHeight="1">
      <c r="A148" s="19">
        <v>45530</v>
      </c>
      <c r="B148" s="19">
        <v>45532</v>
      </c>
      <c r="C148" s="23" t="s">
        <v>62</v>
      </c>
      <c r="D148" s="24">
        <v>0</v>
      </c>
      <c r="E148" s="15">
        <v>51385.93</v>
      </c>
      <c r="F148" s="22">
        <f t="shared" si="26"/>
        <v>197370.42134</v>
      </c>
    </row>
    <row r="149" spans="1:6" ht="15" customHeight="1">
      <c r="A149" s="19">
        <v>45530</v>
      </c>
      <c r="B149" s="19">
        <v>45532</v>
      </c>
      <c r="C149" s="20" t="s">
        <v>11</v>
      </c>
      <c r="D149" s="21">
        <v>14.98</v>
      </c>
      <c r="E149" s="21">
        <v>0</v>
      </c>
      <c r="F149" s="22">
        <f t="shared" si="26"/>
        <v>197355.44133999999</v>
      </c>
    </row>
    <row r="150" spans="1:6" ht="15" customHeight="1">
      <c r="A150" s="19" t="s">
        <v>6</v>
      </c>
      <c r="B150" s="19">
        <v>45533</v>
      </c>
      <c r="C150" s="20" t="s">
        <v>73</v>
      </c>
      <c r="D150" s="21">
        <v>25000</v>
      </c>
      <c r="E150" s="21">
        <v>0</v>
      </c>
      <c r="F150" s="22">
        <f t="shared" si="26"/>
        <v>172355.44133999999</v>
      </c>
    </row>
    <row r="151" spans="1:6" ht="15" customHeight="1">
      <c r="A151" s="19">
        <v>45531</v>
      </c>
      <c r="B151" s="19">
        <v>45533</v>
      </c>
      <c r="C151" s="23" t="s">
        <v>65</v>
      </c>
      <c r="D151" s="24">
        <v>0</v>
      </c>
      <c r="E151" s="15">
        <v>29454.61</v>
      </c>
      <c r="F151" s="22">
        <f t="shared" si="26"/>
        <v>201810.05134000001</v>
      </c>
    </row>
    <row r="152" spans="1:6" ht="15" customHeight="1">
      <c r="A152" s="19">
        <v>45531</v>
      </c>
      <c r="B152" s="19">
        <v>45533</v>
      </c>
      <c r="C152" s="20" t="s">
        <v>11</v>
      </c>
      <c r="D152" s="21">
        <v>14.98</v>
      </c>
      <c r="E152" s="21">
        <v>0</v>
      </c>
      <c r="F152" s="22">
        <f t="shared" si="26"/>
        <v>201795.07133999999</v>
      </c>
    </row>
    <row r="153" spans="1:6" ht="15" customHeight="1">
      <c r="A153" s="19" t="s">
        <v>6</v>
      </c>
      <c r="B153" s="19">
        <v>45535</v>
      </c>
      <c r="C153" s="20" t="s">
        <v>21</v>
      </c>
      <c r="D153" s="21">
        <v>10000</v>
      </c>
      <c r="E153" s="21">
        <v>0</v>
      </c>
      <c r="F153" s="22">
        <f t="shared" si="26"/>
        <v>191795.07133999999</v>
      </c>
    </row>
    <row r="154" spans="1:6" ht="15" customHeight="1">
      <c r="A154" s="19" t="s">
        <v>6</v>
      </c>
      <c r="B154" s="19">
        <v>45540</v>
      </c>
      <c r="C154" s="23" t="s">
        <v>28</v>
      </c>
      <c r="D154" s="24">
        <v>0</v>
      </c>
      <c r="E154" s="15">
        <v>5999.4</v>
      </c>
      <c r="F154" s="22">
        <f t="shared" si="26"/>
        <v>197794.47133999999</v>
      </c>
    </row>
    <row r="155" spans="1:6" ht="15" customHeight="1">
      <c r="A155" s="19" t="s">
        <v>6</v>
      </c>
      <c r="B155" s="19">
        <v>45540</v>
      </c>
      <c r="C155" s="23" t="s">
        <v>46</v>
      </c>
      <c r="D155" s="24">
        <v>0</v>
      </c>
      <c r="E155" s="15">
        <v>2565</v>
      </c>
      <c r="F155" s="22">
        <f t="shared" si="26"/>
        <v>200359.47133999999</v>
      </c>
    </row>
    <row r="156" spans="1:6" ht="15" customHeight="1">
      <c r="A156" s="19" t="s">
        <v>6</v>
      </c>
      <c r="B156" s="19">
        <v>45541</v>
      </c>
      <c r="C156" s="23" t="s">
        <v>50</v>
      </c>
      <c r="D156" s="24">
        <v>0</v>
      </c>
      <c r="E156" s="15">
        <v>1350</v>
      </c>
      <c r="F156" s="22">
        <f t="shared" si="26"/>
        <v>201709.47133999999</v>
      </c>
    </row>
    <row r="157" spans="1:6" ht="15" customHeight="1">
      <c r="A157" s="19" t="s">
        <v>6</v>
      </c>
      <c r="B157" s="19">
        <v>45541</v>
      </c>
      <c r="C157" s="23" t="s">
        <v>53</v>
      </c>
      <c r="D157" s="24">
        <v>0</v>
      </c>
      <c r="E157" s="15">
        <v>12150</v>
      </c>
      <c r="F157" s="22">
        <f t="shared" si="26"/>
        <v>213859.47133999999</v>
      </c>
    </row>
    <row r="158" spans="1:6" ht="15" customHeight="1">
      <c r="A158" s="19" t="s">
        <v>6</v>
      </c>
      <c r="B158" s="19">
        <v>45541</v>
      </c>
      <c r="C158" s="23" t="s">
        <v>44</v>
      </c>
      <c r="D158" s="24">
        <v>0</v>
      </c>
      <c r="E158" s="15">
        <v>1620</v>
      </c>
      <c r="F158" s="22">
        <f t="shared" si="26"/>
        <v>215479.47133999999</v>
      </c>
    </row>
    <row r="159" spans="1:6" ht="15" customHeight="1">
      <c r="A159" s="19" t="s">
        <v>6</v>
      </c>
      <c r="B159" s="19">
        <v>45541</v>
      </c>
      <c r="C159" s="23" t="s">
        <v>35</v>
      </c>
      <c r="D159" s="24">
        <v>0</v>
      </c>
      <c r="E159" s="15">
        <v>5211</v>
      </c>
      <c r="F159" s="22">
        <f t="shared" si="26"/>
        <v>220690.47133999999</v>
      </c>
    </row>
    <row r="160" spans="1:6" ht="15" customHeight="1">
      <c r="A160" s="19" t="s">
        <v>6</v>
      </c>
      <c r="B160" s="19">
        <v>45545</v>
      </c>
      <c r="C160" s="23" t="s">
        <v>45</v>
      </c>
      <c r="D160" s="24">
        <v>0</v>
      </c>
      <c r="E160" s="15">
        <v>15600</v>
      </c>
      <c r="F160" s="22">
        <f t="shared" ref="F160:F163" si="27">F159-D160+E160</f>
        <v>236290.47133999999</v>
      </c>
    </row>
    <row r="161" spans="1:7" ht="15" customHeight="1">
      <c r="A161" s="19" t="s">
        <v>6</v>
      </c>
      <c r="B161" s="19">
        <v>45545</v>
      </c>
      <c r="C161" s="23" t="s">
        <v>49</v>
      </c>
      <c r="D161" s="24">
        <v>0</v>
      </c>
      <c r="E161" s="15">
        <v>1350</v>
      </c>
      <c r="F161" s="22">
        <f t="shared" si="27"/>
        <v>237640.47133999999</v>
      </c>
    </row>
    <row r="162" spans="1:7" ht="15" customHeight="1">
      <c r="A162" s="19">
        <v>45541</v>
      </c>
      <c r="B162" s="19">
        <v>45545</v>
      </c>
      <c r="C162" s="23" t="s">
        <v>72</v>
      </c>
      <c r="D162" s="24">
        <v>0</v>
      </c>
      <c r="E162" s="15">
        <v>16762.79</v>
      </c>
      <c r="F162" s="22">
        <f t="shared" si="27"/>
        <v>254403.26134</v>
      </c>
    </row>
    <row r="163" spans="1:7" ht="15" customHeight="1">
      <c r="A163" s="19">
        <v>45541</v>
      </c>
      <c r="B163" s="19">
        <v>45545</v>
      </c>
      <c r="C163" s="20" t="s">
        <v>11</v>
      </c>
      <c r="D163" s="21">
        <v>14.98</v>
      </c>
      <c r="E163" s="21">
        <v>0</v>
      </c>
      <c r="F163" s="22">
        <f t="shared" si="27"/>
        <v>254388.28133999999</v>
      </c>
      <c r="G163" s="15"/>
    </row>
    <row r="164" spans="1:7" ht="15" customHeight="1">
      <c r="A164" s="19" t="s">
        <v>6</v>
      </c>
      <c r="B164" s="19">
        <v>45546</v>
      </c>
      <c r="C164" s="23" t="s">
        <v>60</v>
      </c>
      <c r="D164" s="24">
        <v>0</v>
      </c>
      <c r="E164" s="15">
        <v>328.8</v>
      </c>
      <c r="F164" s="22">
        <f t="shared" ref="F164:F174" si="28">F163-D164+E164</f>
        <v>254717.08134</v>
      </c>
    </row>
    <row r="165" spans="1:7" ht="15" customHeight="1">
      <c r="A165" s="19" t="s">
        <v>6</v>
      </c>
      <c r="B165" s="19">
        <v>45546</v>
      </c>
      <c r="C165" s="23" t="s">
        <v>31</v>
      </c>
      <c r="D165" s="24">
        <v>0</v>
      </c>
      <c r="E165" s="15">
        <v>3016.44</v>
      </c>
      <c r="F165" s="22">
        <f t="shared" si="28"/>
        <v>257733.52134000001</v>
      </c>
    </row>
    <row r="166" spans="1:7" ht="15" customHeight="1">
      <c r="A166" s="19" t="s">
        <v>6</v>
      </c>
      <c r="B166" s="19">
        <v>45546</v>
      </c>
      <c r="C166" s="23" t="s">
        <v>51</v>
      </c>
      <c r="D166" s="24">
        <v>0</v>
      </c>
      <c r="E166" s="15">
        <v>5520</v>
      </c>
      <c r="F166" s="22">
        <f t="shared" si="28"/>
        <v>263253.52133999998</v>
      </c>
    </row>
    <row r="167" spans="1:7" ht="15" customHeight="1">
      <c r="A167" s="19" t="s">
        <v>6</v>
      </c>
      <c r="B167" s="19">
        <v>45546</v>
      </c>
      <c r="C167" s="23" t="s">
        <v>31</v>
      </c>
      <c r="D167" s="24">
        <v>0</v>
      </c>
      <c r="E167" s="15">
        <v>10777.2</v>
      </c>
      <c r="F167" s="22">
        <f t="shared" si="28"/>
        <v>274030.72133999999</v>
      </c>
    </row>
    <row r="168" spans="1:7" ht="15" customHeight="1">
      <c r="A168" s="19" t="s">
        <v>6</v>
      </c>
      <c r="B168" s="19">
        <v>45547</v>
      </c>
      <c r="C168" s="23" t="s">
        <v>37</v>
      </c>
      <c r="D168" s="24">
        <v>0</v>
      </c>
      <c r="E168" s="15">
        <v>1612.22</v>
      </c>
      <c r="F168" s="22">
        <f t="shared" si="28"/>
        <v>275642.94134000002</v>
      </c>
    </row>
    <row r="169" spans="1:7" ht="15" customHeight="1">
      <c r="A169" s="19" t="s">
        <v>6</v>
      </c>
      <c r="B169" s="19">
        <v>45547</v>
      </c>
      <c r="C169" s="23" t="s">
        <v>52</v>
      </c>
      <c r="D169" s="24">
        <v>0</v>
      </c>
      <c r="E169" s="15">
        <v>1890</v>
      </c>
      <c r="F169" s="22">
        <f t="shared" si="28"/>
        <v>277532.94134000002</v>
      </c>
    </row>
    <row r="170" spans="1:7" ht="15" customHeight="1">
      <c r="A170" s="19" t="s">
        <v>6</v>
      </c>
      <c r="B170" s="19">
        <v>45547</v>
      </c>
      <c r="C170" s="23" t="s">
        <v>55</v>
      </c>
      <c r="D170" s="24">
        <v>0</v>
      </c>
      <c r="E170" s="15">
        <v>432</v>
      </c>
      <c r="F170" s="22">
        <f t="shared" si="28"/>
        <v>277964.94134000002</v>
      </c>
    </row>
    <row r="171" spans="1:7" ht="15" customHeight="1">
      <c r="A171" s="19" t="s">
        <v>6</v>
      </c>
      <c r="B171" s="19">
        <v>45547</v>
      </c>
      <c r="C171" s="23" t="s">
        <v>30</v>
      </c>
      <c r="D171" s="24">
        <v>0</v>
      </c>
      <c r="E171" s="15">
        <v>11660.22</v>
      </c>
      <c r="F171" s="22">
        <f t="shared" si="28"/>
        <v>289625.16133999999</v>
      </c>
    </row>
    <row r="172" spans="1:7" ht="15" customHeight="1">
      <c r="A172" s="19" t="s">
        <v>6</v>
      </c>
      <c r="B172" s="19">
        <v>45547</v>
      </c>
      <c r="C172" s="23" t="s">
        <v>56</v>
      </c>
      <c r="D172" s="24">
        <v>0</v>
      </c>
      <c r="E172" s="15">
        <v>1260</v>
      </c>
      <c r="F172" s="22">
        <f t="shared" si="28"/>
        <v>290885.16133999999</v>
      </c>
    </row>
    <row r="173" spans="1:7" ht="15" customHeight="1">
      <c r="A173" s="19">
        <v>45545</v>
      </c>
      <c r="B173" s="19">
        <v>45547</v>
      </c>
      <c r="C173" s="23" t="s">
        <v>74</v>
      </c>
      <c r="D173" s="24">
        <v>0</v>
      </c>
      <c r="E173" s="15">
        <v>63359.35</v>
      </c>
      <c r="F173" s="22">
        <f t="shared" si="28"/>
        <v>354244.51134000003</v>
      </c>
    </row>
    <row r="174" spans="1:7" ht="15" customHeight="1">
      <c r="A174" s="19">
        <v>45545</v>
      </c>
      <c r="B174" s="19">
        <v>45547</v>
      </c>
      <c r="C174" s="20" t="s">
        <v>11</v>
      </c>
      <c r="D174" s="21">
        <v>14.98</v>
      </c>
      <c r="E174" s="21">
        <v>0</v>
      </c>
      <c r="F174" s="22">
        <f t="shared" si="28"/>
        <v>354229.53133999999</v>
      </c>
    </row>
    <row r="175" spans="1:7" ht="15" customHeight="1">
      <c r="A175" s="19" t="s">
        <v>6</v>
      </c>
      <c r="B175" s="19">
        <v>45548</v>
      </c>
      <c r="C175" s="23" t="s">
        <v>34</v>
      </c>
      <c r="D175" s="24">
        <v>0</v>
      </c>
      <c r="E175" s="15">
        <v>2204</v>
      </c>
      <c r="F175" s="22">
        <f t="shared" ref="F175:F176" si="29">F174-D175+E175</f>
        <v>356433.53133999999</v>
      </c>
    </row>
    <row r="176" spans="1:7" ht="15" customHeight="1">
      <c r="A176" s="19" t="s">
        <v>6</v>
      </c>
      <c r="B176" s="19">
        <v>45548</v>
      </c>
      <c r="C176" s="23" t="s">
        <v>61</v>
      </c>
      <c r="D176" s="24">
        <v>0</v>
      </c>
      <c r="E176" s="15">
        <v>297</v>
      </c>
      <c r="F176" s="22">
        <f t="shared" si="29"/>
        <v>356730.53133999999</v>
      </c>
    </row>
    <row r="177" spans="1:6" ht="15" customHeight="1">
      <c r="A177" s="19" t="s">
        <v>6</v>
      </c>
      <c r="B177" s="19">
        <v>45549</v>
      </c>
      <c r="C177" s="20" t="s">
        <v>16</v>
      </c>
      <c r="D177" s="21">
        <v>20</v>
      </c>
      <c r="E177" s="21">
        <v>0</v>
      </c>
      <c r="F177" s="22">
        <f t="shared" ref="F177:F200" si="30">F176-D177+E177</f>
        <v>356710.53133999999</v>
      </c>
    </row>
    <row r="178" spans="1:6" ht="15" customHeight="1">
      <c r="A178" s="19" t="s">
        <v>6</v>
      </c>
      <c r="B178" s="19">
        <v>45551</v>
      </c>
      <c r="C178" s="20" t="s">
        <v>18</v>
      </c>
      <c r="D178" s="21">
        <v>432</v>
      </c>
      <c r="E178" s="21">
        <v>0</v>
      </c>
      <c r="F178" s="22">
        <f t="shared" si="30"/>
        <v>356278.53133999999</v>
      </c>
    </row>
    <row r="179" spans="1:6" ht="15" customHeight="1">
      <c r="A179" s="19">
        <v>45551</v>
      </c>
      <c r="B179" s="19">
        <v>45553</v>
      </c>
      <c r="C179" s="23" t="s">
        <v>70</v>
      </c>
      <c r="D179" s="24">
        <v>0</v>
      </c>
      <c r="E179" s="15">
        <v>19077.650000000001</v>
      </c>
      <c r="F179" s="22">
        <f t="shared" si="30"/>
        <v>375356.18134000001</v>
      </c>
    </row>
    <row r="180" spans="1:6" ht="15" customHeight="1">
      <c r="A180" s="19">
        <v>45551</v>
      </c>
      <c r="B180" s="19">
        <v>45553</v>
      </c>
      <c r="C180" s="20" t="s">
        <v>11</v>
      </c>
      <c r="D180" s="21">
        <v>14.98</v>
      </c>
      <c r="E180" s="21">
        <v>0</v>
      </c>
      <c r="F180" s="22">
        <f t="shared" si="30"/>
        <v>375341.20134000003</v>
      </c>
    </row>
    <row r="181" spans="1:6" ht="15" customHeight="1">
      <c r="A181" s="19">
        <v>45554</v>
      </c>
      <c r="B181" s="19">
        <v>45558</v>
      </c>
      <c r="C181" s="23" t="s">
        <v>26</v>
      </c>
      <c r="D181" s="24">
        <v>0</v>
      </c>
      <c r="E181" s="15">
        <v>41607.64</v>
      </c>
      <c r="F181" s="22">
        <f t="shared" si="30"/>
        <v>416948.84133999998</v>
      </c>
    </row>
    <row r="182" spans="1:6" ht="15" customHeight="1">
      <c r="A182" s="19">
        <v>45554</v>
      </c>
      <c r="B182" s="19">
        <v>45558</v>
      </c>
      <c r="C182" s="20" t="s">
        <v>11</v>
      </c>
      <c r="D182" s="21">
        <v>14.98</v>
      </c>
      <c r="E182" s="21">
        <v>0</v>
      </c>
      <c r="F182" s="22">
        <f t="shared" si="30"/>
        <v>416933.86134</v>
      </c>
    </row>
    <row r="183" spans="1:6" ht="15" customHeight="1">
      <c r="A183" s="19" t="s">
        <v>6</v>
      </c>
      <c r="B183" s="19">
        <v>45558</v>
      </c>
      <c r="C183" s="23" t="s">
        <v>75</v>
      </c>
      <c r="D183" s="24">
        <v>0</v>
      </c>
      <c r="E183" s="15">
        <v>30400</v>
      </c>
      <c r="F183" s="22">
        <f t="shared" si="30"/>
        <v>447333.86134</v>
      </c>
    </row>
    <row r="184" spans="1:6" ht="15" customHeight="1">
      <c r="A184" s="19" t="s">
        <v>6</v>
      </c>
      <c r="B184" s="19">
        <v>45558</v>
      </c>
      <c r="C184" s="23" t="s">
        <v>76</v>
      </c>
      <c r="D184" s="24">
        <v>5700</v>
      </c>
      <c r="E184" s="15">
        <v>0</v>
      </c>
      <c r="F184" s="22">
        <f t="shared" si="30"/>
        <v>441633.86134</v>
      </c>
    </row>
    <row r="185" spans="1:6" ht="15" customHeight="1">
      <c r="A185" s="19" t="s">
        <v>6</v>
      </c>
      <c r="B185" s="19">
        <v>45559</v>
      </c>
      <c r="C185" s="23" t="s">
        <v>38</v>
      </c>
      <c r="D185" s="24">
        <v>0</v>
      </c>
      <c r="E185" s="15">
        <v>6174</v>
      </c>
      <c r="F185" s="22">
        <f t="shared" si="30"/>
        <v>447807.86134</v>
      </c>
    </row>
    <row r="186" spans="1:6" ht="15" customHeight="1">
      <c r="A186" s="19">
        <v>45555</v>
      </c>
      <c r="B186" s="19">
        <v>45559</v>
      </c>
      <c r="C186" s="23" t="s">
        <v>75</v>
      </c>
      <c r="D186" s="24">
        <v>0</v>
      </c>
      <c r="E186" s="15">
        <v>64856.03</v>
      </c>
      <c r="F186" s="22">
        <f t="shared" si="30"/>
        <v>512663.89133999997</v>
      </c>
    </row>
    <row r="187" spans="1:6" ht="15" customHeight="1">
      <c r="A187" s="19">
        <v>45554</v>
      </c>
      <c r="B187" s="19">
        <v>45558</v>
      </c>
      <c r="C187" s="20" t="s">
        <v>11</v>
      </c>
      <c r="D187" s="21">
        <v>14.98</v>
      </c>
      <c r="E187" s="21">
        <v>0</v>
      </c>
      <c r="F187" s="22">
        <f t="shared" si="30"/>
        <v>512648.91133999999</v>
      </c>
    </row>
    <row r="188" spans="1:6" ht="15" customHeight="1">
      <c r="A188" s="19">
        <v>45560</v>
      </c>
      <c r="B188" s="19">
        <v>45562</v>
      </c>
      <c r="C188" s="23" t="s">
        <v>77</v>
      </c>
      <c r="D188" s="24">
        <v>0</v>
      </c>
      <c r="E188" s="15">
        <v>24096.1</v>
      </c>
      <c r="F188" s="22">
        <f t="shared" si="30"/>
        <v>536745.01133999997</v>
      </c>
    </row>
    <row r="189" spans="1:6" ht="15" customHeight="1">
      <c r="A189" s="19">
        <v>45560</v>
      </c>
      <c r="B189" s="19">
        <v>45562</v>
      </c>
      <c r="C189" s="20" t="s">
        <v>11</v>
      </c>
      <c r="D189" s="21">
        <v>14.98</v>
      </c>
      <c r="E189" s="21">
        <v>0</v>
      </c>
      <c r="F189" s="22">
        <f t="shared" si="30"/>
        <v>536730.03133999999</v>
      </c>
    </row>
    <row r="190" spans="1:6" ht="15" customHeight="1">
      <c r="A190" s="19">
        <v>45561</v>
      </c>
      <c r="B190" s="19">
        <v>45565</v>
      </c>
      <c r="C190" s="23" t="s">
        <v>72</v>
      </c>
      <c r="D190" s="24">
        <v>25055.37</v>
      </c>
      <c r="E190" s="15">
        <v>0</v>
      </c>
      <c r="F190" s="22">
        <f t="shared" si="30"/>
        <v>511674.66133999999</v>
      </c>
    </row>
    <row r="191" spans="1:6" ht="15" customHeight="1">
      <c r="A191" s="19">
        <v>45561</v>
      </c>
      <c r="B191" s="19">
        <v>45565</v>
      </c>
      <c r="C191" s="20" t="s">
        <v>11</v>
      </c>
      <c r="D191" s="21">
        <v>14.98</v>
      </c>
      <c r="E191" s="21">
        <v>0</v>
      </c>
      <c r="F191" s="22">
        <f t="shared" si="30"/>
        <v>511659.68134000001</v>
      </c>
    </row>
    <row r="192" spans="1:6" ht="15" customHeight="1">
      <c r="A192" s="19" t="s">
        <v>6</v>
      </c>
      <c r="B192" s="19">
        <v>45568</v>
      </c>
      <c r="C192" s="23" t="s">
        <v>78</v>
      </c>
      <c r="D192" s="24">
        <v>0</v>
      </c>
      <c r="E192" s="15">
        <v>0.32</v>
      </c>
      <c r="F192" s="22">
        <f t="shared" si="30"/>
        <v>511660.00134000002</v>
      </c>
    </row>
    <row r="193" spans="1:6" ht="15" customHeight="1">
      <c r="A193" s="19">
        <v>45569</v>
      </c>
      <c r="B193" s="19">
        <v>45573</v>
      </c>
      <c r="C193" s="23" t="s">
        <v>14</v>
      </c>
      <c r="D193" s="24">
        <v>53618.5</v>
      </c>
      <c r="E193" s="15">
        <v>0</v>
      </c>
      <c r="F193" s="22">
        <f t="shared" si="30"/>
        <v>458041.50134000002</v>
      </c>
    </row>
    <row r="194" spans="1:6" ht="15" customHeight="1">
      <c r="A194" s="19">
        <v>45569</v>
      </c>
      <c r="B194" s="19">
        <v>45573</v>
      </c>
      <c r="C194" s="20" t="s">
        <v>11</v>
      </c>
      <c r="D194" s="21">
        <v>14.98</v>
      </c>
      <c r="E194" s="21">
        <v>0</v>
      </c>
      <c r="F194" s="22">
        <f t="shared" si="30"/>
        <v>458026.52133999998</v>
      </c>
    </row>
    <row r="195" spans="1:6" ht="15" customHeight="1">
      <c r="A195" s="19" t="s">
        <v>6</v>
      </c>
      <c r="B195" s="19">
        <v>45576</v>
      </c>
      <c r="C195" s="23" t="s">
        <v>79</v>
      </c>
      <c r="D195" s="24">
        <v>0</v>
      </c>
      <c r="E195" s="15">
        <v>1468.8</v>
      </c>
      <c r="F195" s="22">
        <f t="shared" si="30"/>
        <v>459495.32134000002</v>
      </c>
    </row>
    <row r="196" spans="1:6" ht="15" customHeight="1">
      <c r="A196" s="19" t="s">
        <v>6</v>
      </c>
      <c r="B196" s="19">
        <v>45577</v>
      </c>
      <c r="C196" s="20" t="s">
        <v>16</v>
      </c>
      <c r="D196" s="21">
        <v>20</v>
      </c>
      <c r="E196" s="21">
        <v>0</v>
      </c>
      <c r="F196" s="22">
        <f t="shared" si="30"/>
        <v>459475.32134000002</v>
      </c>
    </row>
    <row r="197" spans="1:6" ht="15" customHeight="1">
      <c r="A197" s="19" t="s">
        <v>6</v>
      </c>
      <c r="B197" s="19">
        <v>45580</v>
      </c>
      <c r="C197" s="20" t="s">
        <v>18</v>
      </c>
      <c r="D197" s="21">
        <v>432</v>
      </c>
      <c r="E197" s="21">
        <v>0</v>
      </c>
      <c r="F197" s="22">
        <f t="shared" si="30"/>
        <v>459043.32134000002</v>
      </c>
    </row>
    <row r="198" spans="1:6" ht="15" customHeight="1">
      <c r="A198" s="19" t="s">
        <v>6</v>
      </c>
      <c r="B198" s="19">
        <v>45593</v>
      </c>
      <c r="C198" s="20" t="s">
        <v>24</v>
      </c>
      <c r="D198" s="21">
        <v>2000</v>
      </c>
      <c r="E198" s="21">
        <v>0</v>
      </c>
      <c r="F198" s="22">
        <f t="shared" si="30"/>
        <v>457043.32134000002</v>
      </c>
    </row>
    <row r="199" spans="1:6" ht="15" customHeight="1">
      <c r="A199" s="19">
        <v>45590</v>
      </c>
      <c r="B199" s="19">
        <v>45573</v>
      </c>
      <c r="C199" s="23" t="s">
        <v>80</v>
      </c>
      <c r="D199" s="24">
        <v>18039.87</v>
      </c>
      <c r="E199" s="15">
        <v>0</v>
      </c>
      <c r="F199" s="22">
        <f t="shared" si="30"/>
        <v>439003.45134000003</v>
      </c>
    </row>
    <row r="200" spans="1:6" ht="15" customHeight="1">
      <c r="A200" s="19">
        <v>45590</v>
      </c>
      <c r="B200" s="19">
        <v>45573</v>
      </c>
      <c r="C200" s="20" t="s">
        <v>11</v>
      </c>
      <c r="D200" s="21">
        <v>14.98</v>
      </c>
      <c r="E200" s="21">
        <v>0</v>
      </c>
      <c r="F200" s="22">
        <f t="shared" si="30"/>
        <v>438988.47133999999</v>
      </c>
    </row>
    <row r="201" spans="1:6" ht="15" customHeight="1">
      <c r="A201" s="19" t="s">
        <v>6</v>
      </c>
      <c r="B201" s="19">
        <v>45597</v>
      </c>
      <c r="C201" s="20" t="s">
        <v>7</v>
      </c>
      <c r="D201" s="21">
        <v>1300</v>
      </c>
      <c r="E201" s="21">
        <v>0</v>
      </c>
      <c r="F201" s="22">
        <f t="shared" ref="F201:F204" si="31">F200-D201+E201</f>
        <v>437688.47133999999</v>
      </c>
    </row>
    <row r="202" spans="1:6" ht="15" customHeight="1">
      <c r="A202" s="19">
        <v>45602</v>
      </c>
      <c r="B202" s="19">
        <v>45604</v>
      </c>
      <c r="C202" s="23" t="s">
        <v>81</v>
      </c>
      <c r="D202" s="24">
        <v>99820.6</v>
      </c>
      <c r="E202" s="15">
        <v>0</v>
      </c>
      <c r="F202" s="22">
        <f t="shared" si="31"/>
        <v>337867.87134000001</v>
      </c>
    </row>
    <row r="203" spans="1:6" ht="15" customHeight="1">
      <c r="A203" s="19">
        <v>45602</v>
      </c>
      <c r="B203" s="19">
        <v>45604</v>
      </c>
      <c r="C203" s="20" t="s">
        <v>11</v>
      </c>
      <c r="D203" s="21">
        <v>14.98</v>
      </c>
      <c r="E203" s="21">
        <v>0</v>
      </c>
      <c r="F203" s="22">
        <f t="shared" si="31"/>
        <v>337852.89133999997</v>
      </c>
    </row>
    <row r="204" spans="1:6" ht="15" customHeight="1">
      <c r="A204" s="19" t="s">
        <v>6</v>
      </c>
      <c r="B204" s="19">
        <v>45605</v>
      </c>
      <c r="C204" s="20" t="s">
        <v>16</v>
      </c>
      <c r="D204" s="21">
        <v>20</v>
      </c>
      <c r="E204" s="21">
        <v>0</v>
      </c>
      <c r="F204" s="22">
        <f t="shared" si="31"/>
        <v>337832.89133999997</v>
      </c>
    </row>
    <row r="205" spans="1:6" ht="15" customHeight="1">
      <c r="A205" s="19">
        <v>45604</v>
      </c>
      <c r="B205" s="19">
        <v>45608</v>
      </c>
      <c r="C205" s="23" t="s">
        <v>25</v>
      </c>
      <c r="D205" s="24">
        <v>45600.78</v>
      </c>
      <c r="E205" s="15">
        <v>0</v>
      </c>
      <c r="F205" s="22">
        <f t="shared" ref="F205:F212" si="32">F204-D205+E205</f>
        <v>292232.11134</v>
      </c>
    </row>
    <row r="206" spans="1:6" ht="15" customHeight="1">
      <c r="A206" s="19">
        <v>45604</v>
      </c>
      <c r="B206" s="19">
        <v>45608</v>
      </c>
      <c r="C206" s="20" t="s">
        <v>11</v>
      </c>
      <c r="D206" s="21">
        <v>14.98</v>
      </c>
      <c r="E206" s="21">
        <v>0</v>
      </c>
      <c r="F206" s="22">
        <f t="shared" si="32"/>
        <v>292217.13134000002</v>
      </c>
    </row>
    <row r="207" spans="1:6" ht="15" customHeight="1">
      <c r="A207" s="19">
        <v>45608</v>
      </c>
      <c r="B207" s="19">
        <v>45610</v>
      </c>
      <c r="C207" s="23" t="s">
        <v>14</v>
      </c>
      <c r="D207" s="24">
        <v>46603</v>
      </c>
      <c r="E207" s="15">
        <v>0</v>
      </c>
      <c r="F207" s="22">
        <f t="shared" si="32"/>
        <v>245614.13133999999</v>
      </c>
    </row>
    <row r="208" spans="1:6" ht="15" customHeight="1">
      <c r="A208" s="19">
        <v>45608</v>
      </c>
      <c r="B208" s="19">
        <v>45610</v>
      </c>
      <c r="C208" s="20" t="s">
        <v>11</v>
      </c>
      <c r="D208" s="21">
        <v>14.98</v>
      </c>
      <c r="E208" s="21">
        <v>0</v>
      </c>
      <c r="F208" s="22">
        <f t="shared" si="32"/>
        <v>245599.15134000001</v>
      </c>
    </row>
    <row r="209" spans="1:6" ht="15" customHeight="1">
      <c r="A209" s="19" t="s">
        <v>6</v>
      </c>
      <c r="B209" s="19">
        <v>45625</v>
      </c>
      <c r="C209" s="20" t="s">
        <v>18</v>
      </c>
      <c r="D209" s="21">
        <v>432</v>
      </c>
      <c r="E209" s="21">
        <v>0</v>
      </c>
      <c r="F209" s="22">
        <f t="shared" si="32"/>
        <v>245167.15134000001</v>
      </c>
    </row>
    <row r="210" spans="1:6" ht="15" customHeight="1">
      <c r="A210" s="19">
        <v>45615</v>
      </c>
      <c r="B210" s="19">
        <v>45617</v>
      </c>
      <c r="C210" s="23" t="s">
        <v>82</v>
      </c>
      <c r="D210" s="24">
        <v>0</v>
      </c>
      <c r="E210" s="15">
        <v>2544.34</v>
      </c>
      <c r="F210" s="22">
        <f t="shared" si="32"/>
        <v>247711.49134000001</v>
      </c>
    </row>
    <row r="211" spans="1:6" ht="15" customHeight="1">
      <c r="A211" s="19"/>
      <c r="B211" s="19">
        <v>45617</v>
      </c>
      <c r="C211" s="23" t="s">
        <v>75</v>
      </c>
      <c r="D211" s="24">
        <v>0</v>
      </c>
      <c r="E211" s="15">
        <v>24000</v>
      </c>
      <c r="F211" s="22">
        <f t="shared" si="32"/>
        <v>271711.49134000001</v>
      </c>
    </row>
    <row r="212" spans="1:6" ht="15" customHeight="1">
      <c r="A212" s="19"/>
      <c r="B212" s="19">
        <v>45617</v>
      </c>
      <c r="C212" s="20" t="s">
        <v>21</v>
      </c>
      <c r="D212" s="21">
        <v>4800</v>
      </c>
      <c r="E212" s="21">
        <v>0</v>
      </c>
      <c r="F212" s="22">
        <f t="shared" si="32"/>
        <v>266911.49134000001</v>
      </c>
    </row>
    <row r="213" spans="1:6" ht="15" customHeight="1">
      <c r="A213" s="19"/>
      <c r="B213" s="19">
        <v>45626</v>
      </c>
      <c r="C213" s="20" t="s">
        <v>21</v>
      </c>
      <c r="D213" s="21">
        <v>10000</v>
      </c>
      <c r="E213" s="21">
        <v>0</v>
      </c>
      <c r="F213" s="22">
        <f t="shared" ref="F213:F214" si="33">F212-D213+E213</f>
        <v>256911.49134000001</v>
      </c>
    </row>
    <row r="214" spans="1:6" ht="15" customHeight="1">
      <c r="A214" s="19"/>
      <c r="B214" s="19">
        <v>45632</v>
      </c>
      <c r="C214" s="23" t="s">
        <v>28</v>
      </c>
      <c r="D214" s="25">
        <v>0</v>
      </c>
      <c r="E214" s="15">
        <v>6999.3</v>
      </c>
      <c r="F214" s="22">
        <f t="shared" si="33"/>
        <v>263910.79134</v>
      </c>
    </row>
    <row r="215" spans="1:6" ht="15" customHeight="1">
      <c r="A215" s="19"/>
      <c r="B215" s="19">
        <v>45632</v>
      </c>
      <c r="C215" s="23" t="s">
        <v>53</v>
      </c>
      <c r="D215" s="25">
        <v>0</v>
      </c>
      <c r="E215" s="15">
        <v>12150</v>
      </c>
      <c r="F215" s="22">
        <f t="shared" ref="F215" si="34">F214-D215+E215</f>
        <v>276060.79134</v>
      </c>
    </row>
    <row r="216" spans="1:6" ht="15" customHeight="1">
      <c r="A216" s="19"/>
      <c r="B216" s="19">
        <v>45637</v>
      </c>
      <c r="C216" s="23" t="s">
        <v>56</v>
      </c>
      <c r="D216" s="25">
        <v>0</v>
      </c>
      <c r="E216" s="15">
        <v>1134</v>
      </c>
      <c r="F216" s="22">
        <f t="shared" ref="F216:F225" si="35">F215-D216+E216</f>
        <v>277194.79134</v>
      </c>
    </row>
    <row r="217" spans="1:6" ht="15" customHeight="1">
      <c r="A217" s="19"/>
      <c r="B217" s="19">
        <v>45638</v>
      </c>
      <c r="C217" s="23" t="s">
        <v>31</v>
      </c>
      <c r="D217" s="25">
        <v>0</v>
      </c>
      <c r="E217" s="15">
        <v>3531.3</v>
      </c>
      <c r="F217" s="22">
        <f t="shared" si="35"/>
        <v>280726.09133999998</v>
      </c>
    </row>
    <row r="218" spans="1:6" ht="15" customHeight="1">
      <c r="A218" s="19"/>
      <c r="B218" s="19">
        <v>45638</v>
      </c>
      <c r="C218" s="23" t="s">
        <v>54</v>
      </c>
      <c r="D218" s="25">
        <v>0</v>
      </c>
      <c r="E218" s="15">
        <v>324</v>
      </c>
      <c r="F218" s="22">
        <f t="shared" si="35"/>
        <v>281050.09133999998</v>
      </c>
    </row>
    <row r="219" spans="1:6" ht="15" customHeight="1">
      <c r="A219" s="19"/>
      <c r="B219" s="19">
        <v>45638</v>
      </c>
      <c r="C219" s="23" t="s">
        <v>31</v>
      </c>
      <c r="D219" s="25">
        <v>0</v>
      </c>
      <c r="E219" s="15">
        <v>15734.43</v>
      </c>
      <c r="F219" s="22">
        <f t="shared" si="35"/>
        <v>296784.52133999998</v>
      </c>
    </row>
    <row r="220" spans="1:6" ht="15" customHeight="1">
      <c r="A220" s="19"/>
      <c r="B220" s="19">
        <v>45639</v>
      </c>
      <c r="C220" s="23" t="s">
        <v>37</v>
      </c>
      <c r="D220" s="25">
        <v>0</v>
      </c>
      <c r="E220" s="15">
        <v>2418.75</v>
      </c>
      <c r="F220" s="22">
        <f t="shared" si="35"/>
        <v>299203.27133999998</v>
      </c>
    </row>
    <row r="221" spans="1:6" ht="15" customHeight="1">
      <c r="A221" s="19"/>
      <c r="B221" s="19">
        <v>45639</v>
      </c>
      <c r="C221" s="23" t="s">
        <v>35</v>
      </c>
      <c r="D221" s="25">
        <v>0</v>
      </c>
      <c r="E221" s="15">
        <v>3474</v>
      </c>
      <c r="F221" s="22">
        <f t="shared" si="35"/>
        <v>302677.27133999998</v>
      </c>
    </row>
    <row r="222" spans="1:6" ht="15" customHeight="1">
      <c r="A222" s="19"/>
      <c r="B222" s="19">
        <v>45639</v>
      </c>
      <c r="C222" s="23" t="s">
        <v>57</v>
      </c>
      <c r="D222" s="25">
        <v>0</v>
      </c>
      <c r="E222" s="15">
        <v>945</v>
      </c>
      <c r="F222" s="22">
        <f t="shared" si="35"/>
        <v>303622.27133999998</v>
      </c>
    </row>
    <row r="223" spans="1:6" ht="15" customHeight="1">
      <c r="A223" s="19"/>
      <c r="B223" s="19">
        <v>45638</v>
      </c>
      <c r="C223" s="23" t="s">
        <v>31</v>
      </c>
      <c r="D223" s="25">
        <v>5852.88</v>
      </c>
      <c r="E223" s="15">
        <v>0</v>
      </c>
      <c r="F223" s="22">
        <f t="shared" si="35"/>
        <v>297769.39133999997</v>
      </c>
    </row>
    <row r="224" spans="1:6" ht="15" customHeight="1">
      <c r="A224" s="19" t="s">
        <v>6</v>
      </c>
      <c r="B224" s="19">
        <v>45640</v>
      </c>
      <c r="C224" s="20" t="s">
        <v>16</v>
      </c>
      <c r="D224" s="21">
        <v>20</v>
      </c>
      <c r="E224" s="21">
        <v>0</v>
      </c>
      <c r="F224" s="22">
        <f t="shared" si="35"/>
        <v>297749.39133999997</v>
      </c>
    </row>
    <row r="225" spans="1:6" ht="15" customHeight="1">
      <c r="A225" s="19" t="s">
        <v>6</v>
      </c>
      <c r="B225" s="19">
        <v>45642</v>
      </c>
      <c r="C225" s="20" t="s">
        <v>24</v>
      </c>
      <c r="D225" s="21">
        <v>1900</v>
      </c>
      <c r="E225" s="21">
        <v>0</v>
      </c>
      <c r="F225" s="22">
        <f t="shared" si="35"/>
        <v>295849.39133999997</v>
      </c>
    </row>
    <row r="226" spans="1:6" ht="15" customHeight="1">
      <c r="A226" s="19" t="s">
        <v>6</v>
      </c>
      <c r="B226" s="19">
        <v>46007</v>
      </c>
      <c r="C226" s="20" t="s">
        <v>18</v>
      </c>
      <c r="D226" s="21">
        <v>432</v>
      </c>
      <c r="E226" s="21">
        <v>0</v>
      </c>
      <c r="F226" s="22">
        <f t="shared" ref="F226:F232" si="36">F225-D226+E226</f>
        <v>295417.39133999997</v>
      </c>
    </row>
    <row r="227" spans="1:6" ht="15" customHeight="1">
      <c r="A227" s="19"/>
      <c r="B227" s="19">
        <v>45643</v>
      </c>
      <c r="C227" s="23" t="s">
        <v>38</v>
      </c>
      <c r="D227" s="25">
        <v>0</v>
      </c>
      <c r="E227" s="15">
        <v>10030.5</v>
      </c>
      <c r="F227" s="22">
        <f t="shared" si="36"/>
        <v>305447.89133999997</v>
      </c>
    </row>
    <row r="228" spans="1:6" ht="15" customHeight="1">
      <c r="A228" s="19"/>
      <c r="B228" s="19">
        <v>45651</v>
      </c>
      <c r="C228" s="23" t="s">
        <v>30</v>
      </c>
      <c r="D228" s="25">
        <v>0</v>
      </c>
      <c r="E228" s="15">
        <v>10789.2</v>
      </c>
      <c r="F228" s="22">
        <f t="shared" si="36"/>
        <v>316237.09133999998</v>
      </c>
    </row>
    <row r="229" spans="1:6" ht="15" customHeight="1">
      <c r="A229" s="19"/>
      <c r="B229" s="19">
        <v>45653</v>
      </c>
      <c r="C229" s="23" t="s">
        <v>34</v>
      </c>
      <c r="D229" s="25">
        <v>0</v>
      </c>
      <c r="E229" s="15">
        <v>2384</v>
      </c>
      <c r="F229" s="22">
        <f t="shared" si="36"/>
        <v>318621.09133999998</v>
      </c>
    </row>
    <row r="230" spans="1:6" ht="15" customHeight="1">
      <c r="A230" s="19" t="s">
        <v>6</v>
      </c>
      <c r="B230" s="19">
        <v>45658</v>
      </c>
      <c r="C230" s="20" t="s">
        <v>7</v>
      </c>
      <c r="D230" s="21">
        <v>1270.0999999999999</v>
      </c>
      <c r="E230" s="21">
        <v>0</v>
      </c>
      <c r="F230" s="22">
        <f t="shared" si="36"/>
        <v>317350.99134000001</v>
      </c>
    </row>
    <row r="231" spans="1:6" ht="15" customHeight="1">
      <c r="A231" s="19" t="s">
        <v>6</v>
      </c>
      <c r="B231" s="19">
        <v>45668</v>
      </c>
      <c r="C231" s="20" t="s">
        <v>16</v>
      </c>
      <c r="D231" s="21">
        <v>20</v>
      </c>
      <c r="E231" s="21">
        <v>0</v>
      </c>
      <c r="F231" s="22">
        <f t="shared" si="36"/>
        <v>317330.99134000001</v>
      </c>
    </row>
    <row r="232" spans="1:6" ht="15" customHeight="1">
      <c r="A232" s="19" t="s">
        <v>6</v>
      </c>
      <c r="B232" s="19">
        <v>45992</v>
      </c>
      <c r="C232" s="20" t="s">
        <v>83</v>
      </c>
      <c r="D232" s="21">
        <v>250</v>
      </c>
      <c r="E232" s="21">
        <v>0</v>
      </c>
      <c r="F232" s="22">
        <f t="shared" si="36"/>
        <v>317080.99134000001</v>
      </c>
    </row>
    <row r="233" spans="1:6" ht="15" customHeight="1">
      <c r="A233" s="19" t="s">
        <v>6</v>
      </c>
      <c r="B233" s="19">
        <v>45672</v>
      </c>
      <c r="C233" s="20" t="s">
        <v>18</v>
      </c>
      <c r="D233" s="21">
        <v>432</v>
      </c>
      <c r="E233" s="21">
        <v>0</v>
      </c>
      <c r="F233" s="22">
        <f t="shared" ref="F233:F237" si="37">F232-D233+E233</f>
        <v>316648.99134000001</v>
      </c>
    </row>
    <row r="234" spans="1:6" ht="15" customHeight="1">
      <c r="A234" s="19"/>
      <c r="B234" s="19">
        <v>45678</v>
      </c>
      <c r="C234" s="23" t="s">
        <v>84</v>
      </c>
      <c r="D234" s="25">
        <v>0</v>
      </c>
      <c r="E234" s="15">
        <v>56805.279999999999</v>
      </c>
      <c r="F234" s="22">
        <f t="shared" si="37"/>
        <v>373454.27133999998</v>
      </c>
    </row>
    <row r="235" spans="1:6" ht="15" customHeight="1">
      <c r="A235" s="19" t="s">
        <v>6</v>
      </c>
      <c r="B235" s="19">
        <v>45684</v>
      </c>
      <c r="C235" s="20" t="s">
        <v>24</v>
      </c>
      <c r="D235" s="21">
        <v>0</v>
      </c>
      <c r="E235" s="21">
        <v>10000</v>
      </c>
      <c r="F235" s="22">
        <f t="shared" si="37"/>
        <v>383454.27133999998</v>
      </c>
    </row>
    <row r="236" spans="1:6" ht="15" customHeight="1">
      <c r="A236" s="19" t="s">
        <v>6</v>
      </c>
      <c r="B236" s="19">
        <v>45684</v>
      </c>
      <c r="C236" s="20" t="s">
        <v>24</v>
      </c>
      <c r="D236" s="21">
        <v>10000</v>
      </c>
      <c r="E236" s="21">
        <v>0</v>
      </c>
      <c r="F236" s="22">
        <f t="shared" si="37"/>
        <v>373454.27133999998</v>
      </c>
    </row>
    <row r="237" spans="1:6" ht="15" customHeight="1">
      <c r="A237" s="19" t="s">
        <v>6</v>
      </c>
      <c r="B237" s="19">
        <v>45696</v>
      </c>
      <c r="C237" s="20" t="s">
        <v>16</v>
      </c>
      <c r="D237" s="21">
        <v>20</v>
      </c>
      <c r="E237" s="21">
        <v>0</v>
      </c>
      <c r="F237" s="22">
        <f t="shared" si="37"/>
        <v>373434.27133999998</v>
      </c>
    </row>
    <row r="238" spans="1:6" ht="15" customHeight="1">
      <c r="A238" s="19">
        <v>45701</v>
      </c>
      <c r="B238" s="19">
        <v>45705</v>
      </c>
      <c r="C238" s="23" t="s">
        <v>26</v>
      </c>
      <c r="D238" s="24">
        <v>99219.28</v>
      </c>
      <c r="E238" s="15">
        <v>0</v>
      </c>
      <c r="F238" s="22">
        <f t="shared" ref="F238:F242" si="38">F237-D238+E238</f>
        <v>274214.99134000001</v>
      </c>
    </row>
    <row r="239" spans="1:6" ht="15" customHeight="1">
      <c r="A239" s="19">
        <v>45701</v>
      </c>
      <c r="B239" s="19">
        <v>45705</v>
      </c>
      <c r="C239" s="20" t="s">
        <v>11</v>
      </c>
      <c r="D239" s="21">
        <v>14.98</v>
      </c>
      <c r="E239" s="21">
        <v>0</v>
      </c>
      <c r="F239" s="22">
        <f t="shared" si="38"/>
        <v>274200.01134000003</v>
      </c>
    </row>
    <row r="240" spans="1:6" ht="15" customHeight="1">
      <c r="A240" s="19" t="s">
        <v>6</v>
      </c>
      <c r="B240" s="19">
        <v>45705</v>
      </c>
      <c r="C240" s="20" t="s">
        <v>18</v>
      </c>
      <c r="D240" s="21">
        <v>432</v>
      </c>
      <c r="E240" s="21">
        <v>0</v>
      </c>
      <c r="F240" s="22">
        <f t="shared" si="38"/>
        <v>273768.01134000003</v>
      </c>
    </row>
    <row r="241" spans="1:7" ht="15" customHeight="1">
      <c r="B241" s="19">
        <v>45707</v>
      </c>
      <c r="C241" s="23" t="s">
        <v>24</v>
      </c>
      <c r="D241" s="24">
        <v>25000</v>
      </c>
      <c r="E241" s="15">
        <v>0</v>
      </c>
      <c r="F241" s="22">
        <f t="shared" si="38"/>
        <v>248768.01134</v>
      </c>
    </row>
    <row r="242" spans="1:7" ht="15" customHeight="1">
      <c r="A242" s="19">
        <v>45705</v>
      </c>
      <c r="B242" s="19">
        <v>45707</v>
      </c>
      <c r="C242" s="23" t="s">
        <v>72</v>
      </c>
      <c r="D242" s="24">
        <v>29064.23</v>
      </c>
      <c r="E242" s="15">
        <v>0</v>
      </c>
      <c r="F242" s="22">
        <f t="shared" si="38"/>
        <v>219703.78133999999</v>
      </c>
    </row>
    <row r="243" spans="1:7" ht="15" customHeight="1">
      <c r="A243" s="19">
        <v>45705</v>
      </c>
      <c r="B243" s="19">
        <v>45707</v>
      </c>
      <c r="C243" s="23" t="s">
        <v>80</v>
      </c>
      <c r="D243" s="24">
        <v>0</v>
      </c>
      <c r="E243" s="15">
        <v>44001.95</v>
      </c>
      <c r="F243" s="22">
        <f t="shared" ref="F243:F244" si="39">F242-D243+E243</f>
        <v>263705.73134</v>
      </c>
      <c r="G243" s="26"/>
    </row>
    <row r="244" spans="1:7" ht="15" customHeight="1">
      <c r="A244" s="19">
        <v>45705</v>
      </c>
      <c r="B244" s="19">
        <v>45707</v>
      </c>
      <c r="C244" s="20" t="s">
        <v>11</v>
      </c>
      <c r="D244" s="21">
        <v>14.98</v>
      </c>
      <c r="E244" s="21">
        <v>0</v>
      </c>
      <c r="F244" s="22">
        <f t="shared" si="39"/>
        <v>263690.75134000002</v>
      </c>
      <c r="G244" s="26"/>
    </row>
    <row r="245" spans="1:7" ht="15" customHeight="1">
      <c r="A245" s="19" t="s">
        <v>6</v>
      </c>
      <c r="B245" s="19">
        <v>45707</v>
      </c>
      <c r="C245" s="23" t="s">
        <v>78</v>
      </c>
      <c r="D245" s="24">
        <v>0</v>
      </c>
      <c r="E245" s="15">
        <v>0.37</v>
      </c>
      <c r="F245" s="22">
        <f t="shared" ref="F245:F247" si="40">F244-D245+E245</f>
        <v>263691.12134000001</v>
      </c>
      <c r="G245" s="26"/>
    </row>
    <row r="246" spans="1:7" ht="15" customHeight="1">
      <c r="A246" s="19">
        <v>45709</v>
      </c>
      <c r="B246" s="19">
        <v>45713</v>
      </c>
      <c r="C246" s="23" t="s">
        <v>77</v>
      </c>
      <c r="D246" s="24">
        <v>43897.387547999999</v>
      </c>
      <c r="E246" s="15">
        <v>0</v>
      </c>
      <c r="F246" s="22">
        <f t="shared" si="40"/>
        <v>219793.73379200001</v>
      </c>
    </row>
    <row r="247" spans="1:7" ht="15" customHeight="1">
      <c r="A247" s="19">
        <v>45709</v>
      </c>
      <c r="B247" s="19">
        <v>45713</v>
      </c>
      <c r="C247" s="20" t="s">
        <v>11</v>
      </c>
      <c r="D247" s="21">
        <v>14.98</v>
      </c>
      <c r="E247" s="21">
        <v>0</v>
      </c>
      <c r="F247" s="22">
        <f t="shared" si="40"/>
        <v>219778.753792</v>
      </c>
      <c r="G247" s="26"/>
    </row>
    <row r="248" spans="1:7" ht="15" customHeight="1">
      <c r="A248" s="19">
        <v>45712</v>
      </c>
      <c r="B248" s="19">
        <v>45714</v>
      </c>
      <c r="C248" s="23" t="s">
        <v>85</v>
      </c>
      <c r="D248" s="24">
        <v>0</v>
      </c>
      <c r="E248" s="15">
        <v>105604.67</v>
      </c>
      <c r="F248" s="22">
        <f t="shared" ref="F248:F251" si="41">F247-D248+E248</f>
        <v>325383.42379199999</v>
      </c>
    </row>
    <row r="249" spans="1:7" ht="17.399999999999999" customHeight="1">
      <c r="A249" s="19">
        <v>45712</v>
      </c>
      <c r="B249" s="19">
        <v>45714</v>
      </c>
      <c r="C249" s="20" t="s">
        <v>11</v>
      </c>
      <c r="D249" s="21">
        <v>14.98</v>
      </c>
      <c r="E249" s="21">
        <v>0</v>
      </c>
      <c r="F249" s="22">
        <f t="shared" si="41"/>
        <v>325368.44379200001</v>
      </c>
      <c r="G249" s="26"/>
    </row>
    <row r="250" spans="1:7" ht="15" customHeight="1">
      <c r="B250" s="19">
        <v>45719</v>
      </c>
      <c r="C250" s="23" t="s">
        <v>86</v>
      </c>
      <c r="D250" s="24">
        <v>40500</v>
      </c>
      <c r="E250" s="15">
        <v>0</v>
      </c>
      <c r="F250" s="22">
        <f t="shared" si="41"/>
        <v>284868.44379200001</v>
      </c>
    </row>
    <row r="251" spans="1:7" ht="15" customHeight="1">
      <c r="A251" s="19" t="s">
        <v>6</v>
      </c>
      <c r="B251" s="19">
        <v>45719</v>
      </c>
      <c r="C251" s="23" t="s">
        <v>78</v>
      </c>
      <c r="D251" s="24">
        <v>0</v>
      </c>
      <c r="E251" s="15">
        <v>1.27</v>
      </c>
      <c r="F251" s="22">
        <f t="shared" si="41"/>
        <v>284869.71379200002</v>
      </c>
      <c r="G251" s="26"/>
    </row>
    <row r="252" spans="1:7" ht="15" customHeight="1">
      <c r="B252" s="19">
        <v>45720</v>
      </c>
      <c r="C252" s="23" t="s">
        <v>86</v>
      </c>
      <c r="D252" s="24">
        <v>40500</v>
      </c>
      <c r="E252" s="15">
        <v>0</v>
      </c>
      <c r="F252" s="22">
        <f t="shared" ref="F252:F255" si="42">F251-D252+E252</f>
        <v>244369.713792</v>
      </c>
    </row>
    <row r="253" spans="1:7" ht="15" customHeight="1">
      <c r="A253" s="19">
        <v>45719</v>
      </c>
      <c r="B253" s="19">
        <v>45721</v>
      </c>
      <c r="C253" s="23" t="s">
        <v>72</v>
      </c>
      <c r="D253" s="24">
        <v>0</v>
      </c>
      <c r="E253" s="15">
        <v>28137.54</v>
      </c>
      <c r="F253" s="22">
        <f t="shared" si="42"/>
        <v>272507.253792</v>
      </c>
      <c r="G253" s="26"/>
    </row>
    <row r="254" spans="1:7" ht="15" customHeight="1">
      <c r="A254" s="19">
        <v>45719</v>
      </c>
      <c r="B254" s="19">
        <v>45721</v>
      </c>
      <c r="C254" s="20" t="s">
        <v>11</v>
      </c>
      <c r="D254" s="21">
        <v>14.98</v>
      </c>
      <c r="E254" s="21">
        <v>0</v>
      </c>
      <c r="F254" s="22">
        <f t="shared" si="42"/>
        <v>272492.27379200002</v>
      </c>
      <c r="G254" s="26"/>
    </row>
    <row r="255" spans="1:7" ht="15" customHeight="1">
      <c r="A255" s="19" t="s">
        <v>6</v>
      </c>
      <c r="B255" s="19">
        <v>45722</v>
      </c>
      <c r="C255" s="23" t="s">
        <v>33</v>
      </c>
      <c r="D255" s="24">
        <v>0</v>
      </c>
      <c r="E255" s="15">
        <v>24000</v>
      </c>
      <c r="F255" s="22">
        <f t="shared" si="42"/>
        <v>296492.27379200002</v>
      </c>
      <c r="G255" s="26"/>
    </row>
    <row r="256" spans="1:7" ht="15" customHeight="1">
      <c r="A256" s="19" t="s">
        <v>6</v>
      </c>
      <c r="B256" s="19">
        <v>45722</v>
      </c>
      <c r="C256" s="23" t="s">
        <v>87</v>
      </c>
      <c r="D256" s="24">
        <v>4800</v>
      </c>
      <c r="E256" s="15">
        <v>0</v>
      </c>
      <c r="F256" s="22">
        <f t="shared" ref="F256:F258" si="43">F255-D256+E256</f>
        <v>291692.27379200002</v>
      </c>
      <c r="G256" s="26"/>
    </row>
    <row r="257" spans="1:7" ht="15" customHeight="1">
      <c r="A257" s="19" t="s">
        <v>6</v>
      </c>
      <c r="B257" s="19">
        <v>45723</v>
      </c>
      <c r="C257" s="23" t="s">
        <v>28</v>
      </c>
      <c r="D257" s="24">
        <v>0</v>
      </c>
      <c r="E257" s="15">
        <v>6999.3</v>
      </c>
      <c r="F257" s="22">
        <f t="shared" si="43"/>
        <v>298691.57379200001</v>
      </c>
      <c r="G257" s="26"/>
    </row>
    <row r="258" spans="1:7" ht="15" customHeight="1">
      <c r="A258" s="19" t="s">
        <v>6</v>
      </c>
      <c r="B258" s="19">
        <v>45724</v>
      </c>
      <c r="C258" s="20" t="s">
        <v>16</v>
      </c>
      <c r="D258" s="21">
        <v>20</v>
      </c>
      <c r="E258" s="21">
        <v>0</v>
      </c>
      <c r="F258" s="22">
        <f t="shared" si="43"/>
        <v>298671.57379200001</v>
      </c>
    </row>
    <row r="259" spans="1:7" ht="15" customHeight="1">
      <c r="B259" s="19">
        <v>45727</v>
      </c>
      <c r="C259" s="23" t="s">
        <v>86</v>
      </c>
      <c r="D259" s="24">
        <v>47100</v>
      </c>
      <c r="E259" s="15">
        <v>0</v>
      </c>
      <c r="F259" s="22">
        <f t="shared" ref="F259:F262" si="44">F258-D259+E259</f>
        <v>251571.57379200001</v>
      </c>
    </row>
    <row r="260" spans="1:7" ht="15" customHeight="1">
      <c r="A260" s="19" t="s">
        <v>6</v>
      </c>
      <c r="B260" s="19">
        <v>45728</v>
      </c>
      <c r="C260" s="23" t="s">
        <v>30</v>
      </c>
      <c r="D260" s="24">
        <v>0</v>
      </c>
      <c r="E260" s="27">
        <v>13837.5</v>
      </c>
      <c r="F260" s="22">
        <f t="shared" si="44"/>
        <v>265409.07379200001</v>
      </c>
      <c r="G260" s="26"/>
    </row>
    <row r="261" spans="1:7" ht="15" customHeight="1">
      <c r="A261" s="19">
        <v>45728</v>
      </c>
      <c r="B261" s="19">
        <v>45730</v>
      </c>
      <c r="C261" s="23" t="s">
        <v>81</v>
      </c>
      <c r="D261" s="24">
        <v>92604.66</v>
      </c>
      <c r="E261" s="15">
        <v>0</v>
      </c>
      <c r="F261" s="22">
        <f t="shared" si="44"/>
        <v>172804.41379200001</v>
      </c>
      <c r="G261" s="26"/>
    </row>
    <row r="262" spans="1:7" ht="15" customHeight="1">
      <c r="A262" s="19">
        <v>45728</v>
      </c>
      <c r="B262" s="19">
        <v>45730</v>
      </c>
      <c r="C262" s="20" t="s">
        <v>11</v>
      </c>
      <c r="D262" s="21">
        <v>14.98</v>
      </c>
      <c r="E262" s="21">
        <v>0</v>
      </c>
      <c r="F262" s="22">
        <f t="shared" si="44"/>
        <v>172789.433792</v>
      </c>
      <c r="G262" s="26"/>
    </row>
    <row r="263" spans="1:7" ht="15" customHeight="1">
      <c r="A263" s="19" t="s">
        <v>6</v>
      </c>
      <c r="B263" s="19">
        <v>45733</v>
      </c>
      <c r="C263" s="23" t="s">
        <v>31</v>
      </c>
      <c r="D263" s="24">
        <v>0</v>
      </c>
      <c r="E263" s="27">
        <v>13216.7</v>
      </c>
      <c r="F263" s="22">
        <f t="shared" ref="F263" si="45">F262-D263+E263</f>
        <v>186006.13379200001</v>
      </c>
      <c r="G263" s="26"/>
    </row>
    <row r="264" spans="1:7" ht="15" customHeight="1">
      <c r="A264" s="19" t="s">
        <v>6</v>
      </c>
      <c r="B264" s="19">
        <v>45733</v>
      </c>
      <c r="C264" s="23" t="s">
        <v>31</v>
      </c>
      <c r="D264" s="24">
        <v>0</v>
      </c>
      <c r="E264" s="27">
        <v>7017.57</v>
      </c>
      <c r="F264" s="22">
        <f t="shared" ref="F264" si="46">F263-D264+E264</f>
        <v>193023.70379199999</v>
      </c>
      <c r="G264" s="26"/>
    </row>
    <row r="265" spans="1:7" ht="15" customHeight="1">
      <c r="A265" s="19" t="s">
        <v>6</v>
      </c>
      <c r="B265" s="19">
        <v>45733</v>
      </c>
      <c r="C265" s="23" t="s">
        <v>34</v>
      </c>
      <c r="D265" s="24">
        <v>0</v>
      </c>
      <c r="E265" s="27">
        <v>2378</v>
      </c>
      <c r="F265" s="22">
        <f t="shared" ref="F265" si="47">F264-D265+E265</f>
        <v>195401.70379199999</v>
      </c>
      <c r="G265" s="26"/>
    </row>
    <row r="266" spans="1:7" ht="15" customHeight="1">
      <c r="A266" s="19" t="s">
        <v>6</v>
      </c>
      <c r="B266" s="19">
        <v>45733</v>
      </c>
      <c r="C266" s="23" t="s">
        <v>32</v>
      </c>
      <c r="D266" s="24">
        <v>6147.12</v>
      </c>
      <c r="E266" s="27">
        <v>0</v>
      </c>
      <c r="F266" s="22">
        <f t="shared" ref="F266:F268" si="48">F265-D266+E266</f>
        <v>189254.58379199999</v>
      </c>
      <c r="G266" s="26"/>
    </row>
    <row r="267" spans="1:7" ht="15" customHeight="1">
      <c r="A267" s="19" t="s">
        <v>6</v>
      </c>
      <c r="B267" s="19">
        <v>45733</v>
      </c>
      <c r="C267" s="20" t="s">
        <v>18</v>
      </c>
      <c r="D267" s="21">
        <v>432</v>
      </c>
      <c r="E267" s="21">
        <v>0</v>
      </c>
      <c r="F267" s="22">
        <f t="shared" si="48"/>
        <v>188822.58379199999</v>
      </c>
    </row>
    <row r="268" spans="1:7" ht="15" customHeight="1">
      <c r="A268" s="19" t="s">
        <v>6</v>
      </c>
      <c r="B268" s="19">
        <v>45735</v>
      </c>
      <c r="C268" s="23" t="s">
        <v>35</v>
      </c>
      <c r="D268" s="24">
        <v>0</v>
      </c>
      <c r="E268" s="27">
        <v>2444.4</v>
      </c>
      <c r="F268" s="22">
        <f t="shared" si="48"/>
        <v>191266.98379200001</v>
      </c>
      <c r="G268" s="26"/>
    </row>
    <row r="269" spans="1:7" ht="15" customHeight="1">
      <c r="A269" s="19" t="s">
        <v>6</v>
      </c>
      <c r="B269" s="19">
        <v>45735</v>
      </c>
      <c r="C269" s="23" t="s">
        <v>35</v>
      </c>
      <c r="D269" s="24">
        <v>0</v>
      </c>
      <c r="E269" s="27">
        <v>1204</v>
      </c>
      <c r="F269" s="22">
        <f t="shared" ref="F269:F270" si="49">F268-D269+E269</f>
        <v>192470.98379200001</v>
      </c>
      <c r="G269" s="26"/>
    </row>
    <row r="270" spans="1:7" ht="15" customHeight="1">
      <c r="A270" s="19" t="s">
        <v>6</v>
      </c>
      <c r="B270" s="19">
        <v>45737</v>
      </c>
      <c r="C270" s="23" t="s">
        <v>37</v>
      </c>
      <c r="D270" s="24">
        <v>0</v>
      </c>
      <c r="E270" s="27">
        <v>2418.75</v>
      </c>
      <c r="F270" s="22">
        <f t="shared" si="49"/>
        <v>194889.73379200001</v>
      </c>
      <c r="G270" s="26"/>
    </row>
    <row r="271" spans="1:7" ht="15" customHeight="1">
      <c r="A271" s="19" t="s">
        <v>6</v>
      </c>
      <c r="B271" s="19">
        <v>45744</v>
      </c>
      <c r="C271" s="23" t="s">
        <v>38</v>
      </c>
      <c r="D271" s="24">
        <v>0</v>
      </c>
      <c r="E271" s="27">
        <v>2619</v>
      </c>
      <c r="F271" s="22">
        <f t="shared" ref="F271:F274" si="50">F270-D271+E271</f>
        <v>197508.73379200001</v>
      </c>
      <c r="G271" s="26"/>
    </row>
    <row r="272" spans="1:7" ht="15" customHeight="1">
      <c r="B272" s="19">
        <v>45748</v>
      </c>
      <c r="C272" s="23" t="s">
        <v>88</v>
      </c>
      <c r="D272" s="24">
        <v>31000</v>
      </c>
      <c r="E272" s="15">
        <v>0</v>
      </c>
      <c r="F272" s="22">
        <f t="shared" si="50"/>
        <v>166508.73379200001</v>
      </c>
    </row>
    <row r="273" spans="1:7" ht="15" customHeight="1">
      <c r="A273" s="19">
        <v>45747</v>
      </c>
      <c r="B273" s="19">
        <v>45749</v>
      </c>
      <c r="C273" s="23" t="s">
        <v>72</v>
      </c>
      <c r="D273" s="24">
        <v>18540.98</v>
      </c>
      <c r="E273" s="15">
        <v>0</v>
      </c>
      <c r="F273" s="22">
        <f t="shared" si="50"/>
        <v>147967.753792</v>
      </c>
      <c r="G273" s="26"/>
    </row>
    <row r="274" spans="1:7" ht="15" customHeight="1">
      <c r="A274" s="19">
        <v>45747</v>
      </c>
      <c r="B274" s="19">
        <v>45749</v>
      </c>
      <c r="C274" s="20" t="s">
        <v>11</v>
      </c>
      <c r="D274" s="21">
        <v>14.98</v>
      </c>
      <c r="E274" s="21">
        <v>0</v>
      </c>
      <c r="F274" s="22">
        <f t="shared" si="50"/>
        <v>147952.77379199999</v>
      </c>
      <c r="G274" s="26"/>
    </row>
    <row r="275" spans="1:7" ht="15" customHeight="1">
      <c r="B275" s="19">
        <v>45757</v>
      </c>
      <c r="C275" s="23" t="s">
        <v>89</v>
      </c>
      <c r="D275" s="24">
        <v>27000</v>
      </c>
      <c r="E275" s="15">
        <v>0</v>
      </c>
      <c r="F275" s="22">
        <f t="shared" ref="F275:F278" si="51">F274-D275+E275</f>
        <v>120952.77379200001</v>
      </c>
    </row>
    <row r="276" spans="1:7" ht="15" customHeight="1">
      <c r="A276" s="19">
        <v>45756</v>
      </c>
      <c r="B276" s="19">
        <v>45758</v>
      </c>
      <c r="C276" s="23" t="s">
        <v>25</v>
      </c>
      <c r="D276" s="24">
        <v>37583.06</v>
      </c>
      <c r="E276" s="15">
        <v>0</v>
      </c>
      <c r="F276" s="22">
        <f t="shared" si="51"/>
        <v>83369.713792000199</v>
      </c>
      <c r="G276" s="26"/>
    </row>
    <row r="277" spans="1:7" ht="15" customHeight="1">
      <c r="A277" s="19">
        <v>45756</v>
      </c>
      <c r="B277" s="19">
        <v>45758</v>
      </c>
      <c r="C277" s="20" t="s">
        <v>11</v>
      </c>
      <c r="D277" s="21">
        <v>14.98</v>
      </c>
      <c r="E277" s="21">
        <v>0</v>
      </c>
      <c r="F277" s="22">
        <f t="shared" si="51"/>
        <v>83354.733792000203</v>
      </c>
      <c r="G277" s="26"/>
    </row>
    <row r="278" spans="1:7" ht="15" customHeight="1">
      <c r="A278" s="19" t="s">
        <v>6</v>
      </c>
      <c r="B278" s="19">
        <v>45759</v>
      </c>
      <c r="C278" s="20" t="s">
        <v>16</v>
      </c>
      <c r="D278" s="21">
        <v>20</v>
      </c>
      <c r="E278" s="21">
        <v>0</v>
      </c>
      <c r="F278" s="22">
        <f t="shared" si="51"/>
        <v>83334.733792000203</v>
      </c>
    </row>
    <row r="279" spans="1:7" ht="15" customHeight="1">
      <c r="A279" s="19">
        <v>45757</v>
      </c>
      <c r="B279" s="19">
        <v>45763</v>
      </c>
      <c r="C279" s="23" t="s">
        <v>90</v>
      </c>
      <c r="D279" s="24">
        <v>0</v>
      </c>
      <c r="E279" s="15">
        <v>16563.22</v>
      </c>
      <c r="F279" s="22">
        <f t="shared" ref="F279:F285" si="52">F278-D279+E279</f>
        <v>99897.953792000204</v>
      </c>
      <c r="G279" s="26"/>
    </row>
    <row r="280" spans="1:7" ht="15" customHeight="1">
      <c r="A280" s="19">
        <v>45757</v>
      </c>
      <c r="B280" s="19">
        <v>45763</v>
      </c>
      <c r="C280" s="20" t="s">
        <v>11</v>
      </c>
      <c r="D280" s="21">
        <v>14.98</v>
      </c>
      <c r="E280" s="21">
        <v>0</v>
      </c>
      <c r="F280" s="22">
        <f t="shared" si="52"/>
        <v>99882.973792000193</v>
      </c>
      <c r="G280" s="26"/>
    </row>
    <row r="281" spans="1:7" ht="15" customHeight="1">
      <c r="A281" s="19" t="s">
        <v>6</v>
      </c>
      <c r="B281" s="19">
        <v>45763</v>
      </c>
      <c r="C281" s="20" t="s">
        <v>18</v>
      </c>
      <c r="D281" s="21">
        <v>432</v>
      </c>
      <c r="E281" s="21">
        <v>0</v>
      </c>
      <c r="F281" s="22">
        <f t="shared" si="52"/>
        <v>99450.973792000193</v>
      </c>
    </row>
    <row r="282" spans="1:7" ht="15" customHeight="1">
      <c r="B282" s="13">
        <v>45768</v>
      </c>
      <c r="C282" s="14" t="s">
        <v>21</v>
      </c>
      <c r="D282" s="15">
        <v>13000</v>
      </c>
      <c r="E282" s="15">
        <v>0</v>
      </c>
      <c r="F282" s="22">
        <f t="shared" si="52"/>
        <v>86450.973792000193</v>
      </c>
    </row>
    <row r="283" spans="1:7" ht="15" customHeight="1">
      <c r="B283" s="13">
        <v>45768</v>
      </c>
      <c r="C283" s="14" t="s">
        <v>91</v>
      </c>
      <c r="E283" s="15">
        <v>19000</v>
      </c>
      <c r="F283" s="22">
        <f t="shared" si="52"/>
        <v>105450.973792</v>
      </c>
    </row>
    <row r="284" spans="1:7" ht="15" customHeight="1">
      <c r="B284" s="13">
        <v>45768</v>
      </c>
      <c r="C284" s="14" t="s">
        <v>91</v>
      </c>
      <c r="E284" s="15">
        <v>49000</v>
      </c>
      <c r="F284" s="22">
        <f t="shared" si="52"/>
        <v>154450.973792</v>
      </c>
    </row>
    <row r="285" spans="1:7" ht="15" customHeight="1">
      <c r="A285" s="19" t="s">
        <v>6</v>
      </c>
      <c r="B285" s="19">
        <v>45769</v>
      </c>
      <c r="C285" s="23" t="s">
        <v>41</v>
      </c>
      <c r="D285" s="24">
        <v>0</v>
      </c>
      <c r="E285" s="27">
        <v>1350</v>
      </c>
      <c r="F285" s="22">
        <f t="shared" si="52"/>
        <v>155800.973792</v>
      </c>
      <c r="G285" s="26"/>
    </row>
    <row r="286" spans="1:7" ht="15" customHeight="1">
      <c r="A286" s="19" t="s">
        <v>6</v>
      </c>
      <c r="B286" s="19">
        <v>45769</v>
      </c>
      <c r="C286" s="23" t="s">
        <v>92</v>
      </c>
      <c r="D286" s="28">
        <v>150000</v>
      </c>
      <c r="E286" s="27">
        <v>0</v>
      </c>
      <c r="F286" s="22">
        <f t="shared" ref="F286:F287" si="53">F285-D286+E286</f>
        <v>5800.9737920001799</v>
      </c>
      <c r="G286" s="26"/>
    </row>
    <row r="287" spans="1:7" ht="15" customHeight="1">
      <c r="A287" s="19" t="s">
        <v>6</v>
      </c>
      <c r="B287" s="19">
        <v>45771</v>
      </c>
      <c r="C287" s="23" t="s">
        <v>42</v>
      </c>
      <c r="D287" s="24">
        <v>0</v>
      </c>
      <c r="E287" s="27">
        <v>2700</v>
      </c>
      <c r="F287" s="22">
        <f t="shared" si="53"/>
        <v>8500.9737920001808</v>
      </c>
      <c r="G287" s="26"/>
    </row>
    <row r="288" spans="1:7" ht="15" customHeight="1">
      <c r="A288" s="19" t="s">
        <v>6</v>
      </c>
      <c r="B288" s="19">
        <v>45777</v>
      </c>
      <c r="C288" s="23" t="s">
        <v>46</v>
      </c>
      <c r="D288" s="24">
        <v>0</v>
      </c>
      <c r="E288" s="27">
        <v>1058.4000000000001</v>
      </c>
      <c r="F288" s="22">
        <f t="shared" ref="F288" si="54">F287-D288+E288</f>
        <v>9559.3737920001804</v>
      </c>
      <c r="G288" s="26"/>
    </row>
    <row r="289" spans="1:7" ht="15" customHeight="1">
      <c r="A289" s="19" t="s">
        <v>6</v>
      </c>
      <c r="B289" s="19">
        <v>45777</v>
      </c>
      <c r="C289" s="23" t="s">
        <v>93</v>
      </c>
      <c r="D289" s="24">
        <v>0</v>
      </c>
      <c r="E289" s="27">
        <v>25600</v>
      </c>
      <c r="F289" s="22">
        <f t="shared" ref="F289:F292" si="55">F288-D289+E289</f>
        <v>35159.373792000202</v>
      </c>
      <c r="G289" s="26"/>
    </row>
    <row r="290" spans="1:7" ht="15" customHeight="1">
      <c r="A290" s="19" t="s">
        <v>6</v>
      </c>
      <c r="B290" s="19">
        <v>45779</v>
      </c>
      <c r="C290" s="20" t="s">
        <v>7</v>
      </c>
      <c r="D290" s="21">
        <v>1000</v>
      </c>
      <c r="E290" s="21">
        <v>0</v>
      </c>
      <c r="F290" s="22">
        <f t="shared" si="55"/>
        <v>34159.373792000202</v>
      </c>
    </row>
    <row r="291" spans="1:7" ht="15" customHeight="1">
      <c r="A291" s="19" t="s">
        <v>6</v>
      </c>
      <c r="B291" s="19">
        <v>45784</v>
      </c>
      <c r="C291" s="23" t="s">
        <v>45</v>
      </c>
      <c r="D291" s="24">
        <v>0</v>
      </c>
      <c r="E291" s="27">
        <v>40500</v>
      </c>
      <c r="F291" s="22">
        <f t="shared" si="55"/>
        <v>74659.373792000202</v>
      </c>
      <c r="G291" s="26"/>
    </row>
    <row r="292" spans="1:7" ht="15" customHeight="1">
      <c r="A292" s="19" t="s">
        <v>6</v>
      </c>
      <c r="B292" s="19">
        <v>45785</v>
      </c>
      <c r="C292" s="23" t="s">
        <v>48</v>
      </c>
      <c r="D292" s="24">
        <v>0</v>
      </c>
      <c r="E292" s="27">
        <v>9000</v>
      </c>
      <c r="F292" s="22">
        <f t="shared" si="55"/>
        <v>83659.373792000202</v>
      </c>
      <c r="G292" s="26"/>
    </row>
    <row r="293" spans="1:7" ht="15" customHeight="1">
      <c r="A293" s="19" t="s">
        <v>6</v>
      </c>
      <c r="B293" s="19">
        <v>45786</v>
      </c>
      <c r="C293" s="23" t="s">
        <v>51</v>
      </c>
      <c r="D293" s="24">
        <v>0</v>
      </c>
      <c r="E293" s="27">
        <v>5540</v>
      </c>
      <c r="F293" s="22">
        <f t="shared" ref="F293" si="56">F292-D293+E293</f>
        <v>89199.373792000202</v>
      </c>
      <c r="G293" s="26"/>
    </row>
    <row r="294" spans="1:7" ht="15" customHeight="1">
      <c r="A294" s="19" t="s">
        <v>6</v>
      </c>
      <c r="B294" s="19">
        <v>45786</v>
      </c>
      <c r="C294" s="23" t="s">
        <v>50</v>
      </c>
      <c r="D294" s="24">
        <v>0</v>
      </c>
      <c r="E294" s="27">
        <v>8370</v>
      </c>
      <c r="F294" s="22">
        <f t="shared" ref="F294:F295" si="57">F293-D294+E294</f>
        <v>97569.373792000202</v>
      </c>
      <c r="G294" s="26"/>
    </row>
    <row r="295" spans="1:7" ht="15" customHeight="1">
      <c r="A295" s="19" t="s">
        <v>6</v>
      </c>
      <c r="B295" s="19">
        <v>45787</v>
      </c>
      <c r="C295" s="20" t="s">
        <v>16</v>
      </c>
      <c r="D295" s="21">
        <v>20</v>
      </c>
      <c r="E295" s="21">
        <v>0</v>
      </c>
      <c r="F295" s="22">
        <f t="shared" si="57"/>
        <v>97549.373792000202</v>
      </c>
    </row>
    <row r="296" spans="1:7" ht="15" customHeight="1">
      <c r="A296" s="19" t="s">
        <v>6</v>
      </c>
      <c r="B296" s="19">
        <v>45791</v>
      </c>
      <c r="C296" s="23" t="s">
        <v>49</v>
      </c>
      <c r="D296" s="24">
        <v>0</v>
      </c>
      <c r="E296" s="27">
        <v>4590</v>
      </c>
      <c r="F296" s="22">
        <f t="shared" ref="F296:F305" si="58">F295-D296+E296</f>
        <v>102139.373792</v>
      </c>
      <c r="G296" s="26"/>
    </row>
    <row r="297" spans="1:7" ht="15" customHeight="1">
      <c r="A297" s="19" t="s">
        <v>6</v>
      </c>
      <c r="B297" s="19">
        <v>45792</v>
      </c>
      <c r="C297" s="20" t="s">
        <v>18</v>
      </c>
      <c r="D297" s="21">
        <v>432</v>
      </c>
      <c r="E297" s="21">
        <v>0</v>
      </c>
      <c r="F297" s="22">
        <f t="shared" si="58"/>
        <v>101707.373792</v>
      </c>
    </row>
    <row r="298" spans="1:7" ht="15" customHeight="1">
      <c r="A298" s="19" t="s">
        <v>6</v>
      </c>
      <c r="B298" s="19">
        <v>45793</v>
      </c>
      <c r="C298" s="23" t="s">
        <v>53</v>
      </c>
      <c r="D298" s="24">
        <v>0</v>
      </c>
      <c r="E298" s="27">
        <v>38340</v>
      </c>
      <c r="F298" s="22">
        <f t="shared" si="58"/>
        <v>140047.373792</v>
      </c>
      <c r="G298" s="26"/>
    </row>
    <row r="299" spans="1:7" ht="15" customHeight="1">
      <c r="A299" s="19" t="s">
        <v>6</v>
      </c>
      <c r="B299" s="19">
        <v>45793</v>
      </c>
      <c r="C299" s="23" t="s">
        <v>54</v>
      </c>
      <c r="D299" s="24">
        <v>0</v>
      </c>
      <c r="E299" s="27">
        <v>810</v>
      </c>
      <c r="F299" s="22">
        <f t="shared" si="58"/>
        <v>140857.373792</v>
      </c>
      <c r="G299" s="26"/>
    </row>
    <row r="300" spans="1:7" ht="15" customHeight="1">
      <c r="A300" s="19" t="s">
        <v>6</v>
      </c>
      <c r="B300" s="19">
        <v>45793</v>
      </c>
      <c r="C300" s="23" t="s">
        <v>94</v>
      </c>
      <c r="D300" s="24">
        <v>0</v>
      </c>
      <c r="E300" s="27">
        <v>6696</v>
      </c>
      <c r="F300" s="22">
        <f t="shared" si="58"/>
        <v>147553.373792</v>
      </c>
      <c r="G300" s="26"/>
    </row>
    <row r="301" spans="1:7" ht="15" customHeight="1">
      <c r="A301" s="13">
        <v>45792</v>
      </c>
      <c r="B301" s="13">
        <v>45794</v>
      </c>
      <c r="C301" s="14" t="s">
        <v>95</v>
      </c>
      <c r="E301" s="15">
        <v>58969.1</v>
      </c>
      <c r="F301" s="22">
        <f t="shared" si="58"/>
        <v>206522.473792</v>
      </c>
    </row>
    <row r="302" spans="1:7" ht="15" customHeight="1">
      <c r="A302" s="13">
        <v>45792</v>
      </c>
      <c r="B302" s="13">
        <v>45794</v>
      </c>
      <c r="C302" s="20" t="s">
        <v>11</v>
      </c>
      <c r="D302" s="21">
        <v>14.98</v>
      </c>
      <c r="E302" s="21">
        <v>0</v>
      </c>
      <c r="F302" s="22">
        <f t="shared" si="58"/>
        <v>206507.49379199999</v>
      </c>
      <c r="G302" s="26"/>
    </row>
    <row r="303" spans="1:7" ht="15" customHeight="1">
      <c r="A303" s="19" t="s">
        <v>6</v>
      </c>
      <c r="B303" s="19">
        <v>45797</v>
      </c>
      <c r="C303" s="23" t="s">
        <v>52</v>
      </c>
      <c r="D303" s="24">
        <v>0</v>
      </c>
      <c r="E303" s="27">
        <v>2160</v>
      </c>
      <c r="F303" s="22">
        <f t="shared" si="58"/>
        <v>208667.49379199999</v>
      </c>
      <c r="G303" s="26"/>
    </row>
    <row r="304" spans="1:7" ht="15" customHeight="1">
      <c r="A304" s="13">
        <v>45793</v>
      </c>
      <c r="B304" s="13">
        <v>45797</v>
      </c>
      <c r="C304" s="14" t="s">
        <v>96</v>
      </c>
      <c r="D304" s="15">
        <v>47104.1</v>
      </c>
      <c r="E304" s="15">
        <v>0</v>
      </c>
      <c r="F304" s="22">
        <f t="shared" si="58"/>
        <v>161563.39379199999</v>
      </c>
    </row>
    <row r="305" spans="1:7" ht="15" customHeight="1">
      <c r="A305" s="13">
        <v>45793</v>
      </c>
      <c r="B305" s="13">
        <v>45797</v>
      </c>
      <c r="C305" s="20" t="s">
        <v>11</v>
      </c>
      <c r="D305" s="21">
        <v>14.98</v>
      </c>
      <c r="E305" s="21">
        <v>0</v>
      </c>
      <c r="F305" s="22">
        <f t="shared" si="58"/>
        <v>161548.41379200001</v>
      </c>
      <c r="G305" s="26"/>
    </row>
    <row r="306" spans="1:7" ht="15" customHeight="1">
      <c r="A306" s="19" t="s">
        <v>6</v>
      </c>
      <c r="B306" s="19">
        <v>45800</v>
      </c>
      <c r="C306" s="23" t="s">
        <v>60</v>
      </c>
      <c r="D306" s="24">
        <v>0</v>
      </c>
      <c r="E306" s="27">
        <v>520.79999999999995</v>
      </c>
      <c r="F306" s="22">
        <f t="shared" ref="F306" si="59">F305-D306+E306</f>
        <v>162069.213792</v>
      </c>
      <c r="G306" s="26"/>
    </row>
    <row r="307" spans="1:7" ht="15" customHeight="1">
      <c r="A307" s="19" t="s">
        <v>6</v>
      </c>
      <c r="B307" s="19">
        <v>45800</v>
      </c>
      <c r="C307" s="23" t="s">
        <v>55</v>
      </c>
      <c r="D307" s="24">
        <v>0</v>
      </c>
      <c r="E307" s="27">
        <v>1008</v>
      </c>
      <c r="F307" s="22">
        <f t="shared" ref="F307:F309" si="60">F306-D307+E307</f>
        <v>163077.213792</v>
      </c>
      <c r="G307" s="26"/>
    </row>
    <row r="308" spans="1:7" ht="15" customHeight="1">
      <c r="A308" s="19" t="s">
        <v>6</v>
      </c>
      <c r="B308" s="19">
        <v>45800</v>
      </c>
      <c r="C308" s="23" t="s">
        <v>56</v>
      </c>
      <c r="D308" s="24">
        <v>0</v>
      </c>
      <c r="E308" s="27">
        <v>1134</v>
      </c>
      <c r="F308" s="22">
        <f t="shared" si="60"/>
        <v>164211.213792</v>
      </c>
      <c r="G308" s="26"/>
    </row>
    <row r="309" spans="1:7" ht="15" customHeight="1">
      <c r="A309" s="19" t="s">
        <v>6</v>
      </c>
      <c r="B309" s="19">
        <v>45800</v>
      </c>
      <c r="C309" s="23" t="s">
        <v>59</v>
      </c>
      <c r="D309" s="24">
        <v>0</v>
      </c>
      <c r="E309" s="27">
        <v>10612.21</v>
      </c>
      <c r="F309" s="22">
        <f t="shared" si="60"/>
        <v>174823.42379199999</v>
      </c>
      <c r="G309" s="26"/>
    </row>
    <row r="310" spans="1:7" ht="15" customHeight="1">
      <c r="A310" s="19" t="s">
        <v>6</v>
      </c>
      <c r="B310" s="19">
        <v>45800</v>
      </c>
      <c r="C310" s="23" t="s">
        <v>61</v>
      </c>
      <c r="D310" s="24">
        <v>0</v>
      </c>
      <c r="E310" s="27">
        <v>243</v>
      </c>
      <c r="F310" s="22">
        <f t="shared" ref="F310:F316" si="61">F309-D310+E310</f>
        <v>175066.42379199999</v>
      </c>
      <c r="G310" s="26"/>
    </row>
    <row r="311" spans="1:7" ht="15" customHeight="1">
      <c r="A311" s="13">
        <v>45796</v>
      </c>
      <c r="B311" s="13">
        <v>45800</v>
      </c>
      <c r="C311" s="14" t="s">
        <v>65</v>
      </c>
      <c r="D311" s="15">
        <v>29465.119999999999</v>
      </c>
      <c r="E311" s="15">
        <v>0</v>
      </c>
      <c r="F311" s="22">
        <f t="shared" si="61"/>
        <v>145601.30379199999</v>
      </c>
    </row>
    <row r="312" spans="1:7" ht="15" customHeight="1">
      <c r="A312" s="13">
        <v>45796</v>
      </c>
      <c r="B312" s="13">
        <v>45800</v>
      </c>
      <c r="C312" s="20" t="s">
        <v>11</v>
      </c>
      <c r="D312" s="21">
        <v>14.98</v>
      </c>
      <c r="E312" s="21">
        <v>0</v>
      </c>
      <c r="F312" s="22">
        <f t="shared" si="61"/>
        <v>145586.32379200001</v>
      </c>
      <c r="G312" s="26"/>
    </row>
    <row r="313" spans="1:7" ht="15" customHeight="1">
      <c r="A313" s="19" t="s">
        <v>6</v>
      </c>
      <c r="B313" s="19">
        <v>45805</v>
      </c>
      <c r="C313" s="23" t="s">
        <v>58</v>
      </c>
      <c r="D313" s="24">
        <v>0</v>
      </c>
      <c r="E313" s="27">
        <v>607.5</v>
      </c>
      <c r="F313" s="22">
        <f t="shared" si="61"/>
        <v>146193.82379200001</v>
      </c>
      <c r="G313" s="26"/>
    </row>
    <row r="314" spans="1:7" ht="15" customHeight="1">
      <c r="A314" s="19" t="s">
        <v>6</v>
      </c>
      <c r="B314" s="19">
        <v>45806</v>
      </c>
      <c r="C314" s="23" t="s">
        <v>79</v>
      </c>
      <c r="D314" s="24">
        <v>0</v>
      </c>
      <c r="E314" s="27">
        <v>1407.6</v>
      </c>
      <c r="F314" s="22">
        <f t="shared" si="61"/>
        <v>147601.42379199999</v>
      </c>
      <c r="G314" s="26"/>
    </row>
    <row r="315" spans="1:7" ht="15" customHeight="1">
      <c r="A315" s="19" t="s">
        <v>6</v>
      </c>
      <c r="B315" s="19">
        <v>45809</v>
      </c>
      <c r="C315" s="23" t="s">
        <v>97</v>
      </c>
      <c r="D315" s="24">
        <v>24000</v>
      </c>
      <c r="E315" s="27">
        <v>0</v>
      </c>
      <c r="F315" s="22">
        <f t="shared" si="61"/>
        <v>123601.423792</v>
      </c>
      <c r="G315" s="26"/>
    </row>
    <row r="316" spans="1:7" ht="15" customHeight="1">
      <c r="A316" s="19" t="s">
        <v>6</v>
      </c>
      <c r="B316" s="19">
        <v>45809</v>
      </c>
      <c r="C316" s="20" t="s">
        <v>7</v>
      </c>
      <c r="D316" s="21">
        <v>2043.77</v>
      </c>
      <c r="E316" s="21">
        <v>0</v>
      </c>
      <c r="F316" s="22">
        <f t="shared" si="61"/>
        <v>121557.653792</v>
      </c>
    </row>
    <row r="317" spans="1:7" ht="15" customHeight="1">
      <c r="A317" s="19" t="s">
        <v>6</v>
      </c>
      <c r="B317" s="19">
        <v>45812</v>
      </c>
      <c r="C317" s="23" t="s">
        <v>31</v>
      </c>
      <c r="D317" s="24">
        <v>0</v>
      </c>
      <c r="E317" s="27">
        <v>17810.55</v>
      </c>
      <c r="F317" s="22">
        <f t="shared" ref="F317" si="62">F316-D317+E317</f>
        <v>139368.20379199999</v>
      </c>
      <c r="G317" s="26"/>
    </row>
    <row r="318" spans="1:7" ht="15" customHeight="1">
      <c r="A318" s="19" t="s">
        <v>6</v>
      </c>
      <c r="B318" s="19">
        <v>45812</v>
      </c>
      <c r="C318" s="23" t="s">
        <v>31</v>
      </c>
      <c r="D318" s="24">
        <v>0</v>
      </c>
      <c r="E318" s="27">
        <v>1224.5</v>
      </c>
      <c r="F318" s="22">
        <f t="shared" ref="F318:F319" si="63">F317-D318+E318</f>
        <v>140592.70379199999</v>
      </c>
      <c r="G318" s="26"/>
    </row>
    <row r="319" spans="1:7" ht="15" customHeight="1">
      <c r="A319" s="19" t="s">
        <v>6</v>
      </c>
      <c r="B319" s="19">
        <v>45812</v>
      </c>
      <c r="C319" s="23" t="s">
        <v>32</v>
      </c>
      <c r="D319" s="24">
        <v>5782.8</v>
      </c>
      <c r="E319" s="27">
        <v>0</v>
      </c>
      <c r="F319" s="22">
        <f t="shared" si="63"/>
        <v>134809.903792</v>
      </c>
      <c r="G319" s="26"/>
    </row>
    <row r="320" spans="1:7" ht="15" customHeight="1">
      <c r="A320" s="19" t="s">
        <v>6</v>
      </c>
      <c r="B320" s="19">
        <v>45813</v>
      </c>
      <c r="C320" s="23" t="s">
        <v>33</v>
      </c>
      <c r="D320" s="24">
        <v>0</v>
      </c>
      <c r="E320" s="27">
        <v>24000</v>
      </c>
      <c r="F320" s="22">
        <f t="shared" ref="F320:F322" si="64">F319-D320+E320</f>
        <v>158809.903792</v>
      </c>
      <c r="G320" s="26"/>
    </row>
    <row r="321" spans="1:7" ht="15" customHeight="1">
      <c r="A321" s="19" t="s">
        <v>6</v>
      </c>
      <c r="B321" s="19">
        <v>45813</v>
      </c>
      <c r="C321" s="23" t="s">
        <v>21</v>
      </c>
      <c r="D321" s="24">
        <v>4800</v>
      </c>
      <c r="E321" s="27">
        <v>0</v>
      </c>
      <c r="F321" s="22">
        <f t="shared" si="64"/>
        <v>154009.903792</v>
      </c>
      <c r="G321" s="26"/>
    </row>
    <row r="322" spans="1:7" ht="15" customHeight="1">
      <c r="A322" s="19" t="s">
        <v>6</v>
      </c>
      <c r="B322" s="19">
        <v>45814</v>
      </c>
      <c r="C322" s="23" t="s">
        <v>37</v>
      </c>
      <c r="D322" s="24">
        <v>0</v>
      </c>
      <c r="E322" s="27">
        <v>2418.75</v>
      </c>
      <c r="F322" s="22">
        <f t="shared" si="64"/>
        <v>156428.653792</v>
      </c>
      <c r="G322" s="26"/>
    </row>
    <row r="323" spans="1:7" ht="15" customHeight="1">
      <c r="A323" s="19" t="s">
        <v>6</v>
      </c>
      <c r="B323" s="19">
        <v>45814</v>
      </c>
      <c r="C323" s="23" t="s">
        <v>35</v>
      </c>
      <c r="D323" s="24">
        <v>0</v>
      </c>
      <c r="E323" s="27">
        <v>3447</v>
      </c>
      <c r="F323" s="22">
        <f t="shared" ref="F323" si="65">F322-D323+E323</f>
        <v>159875.653792</v>
      </c>
      <c r="G323" s="26"/>
    </row>
    <row r="324" spans="1:7" ht="15" customHeight="1">
      <c r="A324" s="19" t="s">
        <v>6</v>
      </c>
      <c r="B324" s="19">
        <v>45814</v>
      </c>
      <c r="C324" s="23" t="s">
        <v>28</v>
      </c>
      <c r="D324" s="24">
        <v>0</v>
      </c>
      <c r="E324" s="27">
        <v>7999.2</v>
      </c>
      <c r="F324" s="22">
        <f t="shared" ref="F324:F328" si="66">F323-D324+E324</f>
        <v>167874.85379200001</v>
      </c>
      <c r="G324" s="26"/>
    </row>
    <row r="325" spans="1:7" ht="15" customHeight="1">
      <c r="A325" s="13">
        <v>45812</v>
      </c>
      <c r="B325" s="13">
        <v>45814</v>
      </c>
      <c r="C325" s="14" t="s">
        <v>65</v>
      </c>
      <c r="D325" s="15">
        <v>22549.84</v>
      </c>
      <c r="E325" s="15">
        <v>0</v>
      </c>
      <c r="F325" s="22">
        <f t="shared" si="66"/>
        <v>145325.01379200001</v>
      </c>
    </row>
    <row r="326" spans="1:7" ht="15" customHeight="1">
      <c r="A326" s="13">
        <v>45812</v>
      </c>
      <c r="B326" s="13">
        <v>45814</v>
      </c>
      <c r="C326" s="20" t="s">
        <v>11</v>
      </c>
      <c r="D326" s="21">
        <v>14.98</v>
      </c>
      <c r="E326" s="21">
        <v>0</v>
      </c>
      <c r="F326" s="22">
        <f t="shared" si="66"/>
        <v>145310.033792</v>
      </c>
      <c r="G326" s="26"/>
    </row>
    <row r="327" spans="1:7" ht="15" customHeight="1">
      <c r="A327" s="19" t="s">
        <v>6</v>
      </c>
      <c r="B327" s="19">
        <v>45818</v>
      </c>
      <c r="C327" s="23" t="s">
        <v>9</v>
      </c>
      <c r="D327" s="24">
        <v>23000</v>
      </c>
      <c r="E327" s="27">
        <v>0</v>
      </c>
      <c r="F327" s="22">
        <f t="shared" si="66"/>
        <v>122310.033792</v>
      </c>
      <c r="G327" s="26"/>
    </row>
    <row r="328" spans="1:7" ht="15" customHeight="1">
      <c r="A328" s="19" t="s">
        <v>6</v>
      </c>
      <c r="B328" s="19">
        <v>45818</v>
      </c>
      <c r="C328" s="20" t="s">
        <v>16</v>
      </c>
      <c r="D328" s="21">
        <v>20</v>
      </c>
      <c r="E328" s="21">
        <v>0</v>
      </c>
      <c r="F328" s="22">
        <f t="shared" si="66"/>
        <v>122290.033792</v>
      </c>
    </row>
    <row r="329" spans="1:7" ht="15" customHeight="1">
      <c r="A329" s="13">
        <v>45817</v>
      </c>
      <c r="B329" s="13">
        <v>45819</v>
      </c>
      <c r="C329" s="14" t="s">
        <v>70</v>
      </c>
      <c r="D329" s="15">
        <v>36079.74</v>
      </c>
      <c r="E329" s="15">
        <v>0</v>
      </c>
      <c r="F329" s="22">
        <f t="shared" ref="F329:F346" si="67">F328-D329+E329</f>
        <v>86210.2937920002</v>
      </c>
    </row>
    <row r="330" spans="1:7" ht="15" customHeight="1">
      <c r="A330" s="13">
        <v>45817</v>
      </c>
      <c r="B330" s="13">
        <v>45819</v>
      </c>
      <c r="C330" s="20" t="s">
        <v>11</v>
      </c>
      <c r="D330" s="21">
        <v>14.98</v>
      </c>
      <c r="E330" s="21">
        <v>0</v>
      </c>
      <c r="F330" s="22">
        <f t="shared" si="67"/>
        <v>86195.313792000205</v>
      </c>
      <c r="G330" s="26"/>
    </row>
    <row r="331" spans="1:7" ht="15" customHeight="1">
      <c r="A331" s="19" t="s">
        <v>6</v>
      </c>
      <c r="B331" s="19">
        <v>45820</v>
      </c>
      <c r="C331" s="23" t="s">
        <v>30</v>
      </c>
      <c r="D331" s="24">
        <v>0</v>
      </c>
      <c r="E331" s="27">
        <v>13392</v>
      </c>
      <c r="F331" s="22">
        <f t="shared" si="67"/>
        <v>99587.313792000205</v>
      </c>
      <c r="G331" s="26"/>
    </row>
    <row r="332" spans="1:7" ht="15" customHeight="1">
      <c r="A332" s="19" t="s">
        <v>6</v>
      </c>
      <c r="B332" s="19">
        <v>45820</v>
      </c>
      <c r="C332" s="23" t="s">
        <v>56</v>
      </c>
      <c r="D332" s="24">
        <v>0</v>
      </c>
      <c r="E332" s="27">
        <v>1134</v>
      </c>
      <c r="F332" s="22">
        <f t="shared" si="67"/>
        <v>100721.313792</v>
      </c>
      <c r="G332" s="26"/>
    </row>
    <row r="333" spans="1:7" ht="15" customHeight="1">
      <c r="A333" s="19" t="s">
        <v>6</v>
      </c>
      <c r="B333" s="19">
        <v>45824</v>
      </c>
      <c r="C333" s="23" t="s">
        <v>34</v>
      </c>
      <c r="D333" s="24">
        <v>0</v>
      </c>
      <c r="E333" s="27">
        <v>2352</v>
      </c>
      <c r="F333" s="22">
        <f t="shared" si="67"/>
        <v>103073.313792</v>
      </c>
      <c r="G333" s="26"/>
    </row>
    <row r="334" spans="1:7" ht="15" customHeight="1">
      <c r="A334" s="19" t="s">
        <v>6</v>
      </c>
      <c r="B334" s="19">
        <v>45824</v>
      </c>
      <c r="C334" s="20" t="s">
        <v>18</v>
      </c>
      <c r="D334" s="21">
        <v>432</v>
      </c>
      <c r="E334" s="21">
        <v>0</v>
      </c>
      <c r="F334" s="22">
        <f t="shared" si="67"/>
        <v>102641.313792</v>
      </c>
    </row>
    <row r="335" spans="1:7" ht="15" customHeight="1">
      <c r="A335" s="19">
        <v>45824</v>
      </c>
      <c r="B335" s="19">
        <v>45826</v>
      </c>
      <c r="C335" s="23" t="s">
        <v>90</v>
      </c>
      <c r="D335" s="24">
        <v>0</v>
      </c>
      <c r="E335" s="15">
        <v>16563.22</v>
      </c>
      <c r="F335" s="22">
        <f t="shared" si="67"/>
        <v>119204.533792</v>
      </c>
      <c r="G335" s="26"/>
    </row>
    <row r="336" spans="1:7" ht="15" customHeight="1">
      <c r="A336" s="19">
        <v>45824</v>
      </c>
      <c r="B336" s="19">
        <v>45826</v>
      </c>
      <c r="C336" s="20" t="s">
        <v>11</v>
      </c>
      <c r="D336" s="21">
        <v>14.98</v>
      </c>
      <c r="E336" s="21">
        <v>0</v>
      </c>
      <c r="F336" s="22">
        <f t="shared" si="67"/>
        <v>119189.55379200001</v>
      </c>
      <c r="G336" s="26"/>
    </row>
    <row r="337" spans="1:7" ht="15" customHeight="1">
      <c r="A337" s="19">
        <v>45826</v>
      </c>
      <c r="B337" s="19">
        <v>45828</v>
      </c>
      <c r="C337" s="23" t="s">
        <v>90</v>
      </c>
      <c r="D337" s="24">
        <v>0</v>
      </c>
      <c r="E337" s="15">
        <v>16762.79</v>
      </c>
      <c r="F337" s="22">
        <f t="shared" si="67"/>
        <v>135952.343792</v>
      </c>
      <c r="G337" s="26"/>
    </row>
    <row r="338" spans="1:7" ht="15" customHeight="1">
      <c r="A338" s="19">
        <v>45826</v>
      </c>
      <c r="B338" s="19">
        <v>45828</v>
      </c>
      <c r="C338" s="20" t="s">
        <v>11</v>
      </c>
      <c r="D338" s="21">
        <v>14.98</v>
      </c>
      <c r="E338" s="21">
        <v>0</v>
      </c>
      <c r="F338" s="22">
        <f t="shared" si="67"/>
        <v>135937.36379199999</v>
      </c>
      <c r="G338" s="26"/>
    </row>
    <row r="339" spans="1:7" ht="15" customHeight="1">
      <c r="A339" s="19">
        <v>45828</v>
      </c>
      <c r="B339" s="19">
        <v>45832</v>
      </c>
      <c r="C339" s="23" t="s">
        <v>90</v>
      </c>
      <c r="D339" s="24">
        <v>0</v>
      </c>
      <c r="E339" s="15">
        <v>16762.79</v>
      </c>
      <c r="F339" s="22">
        <f t="shared" si="67"/>
        <v>152700.153792</v>
      </c>
      <c r="G339" s="26"/>
    </row>
    <row r="340" spans="1:7" ht="15" customHeight="1">
      <c r="A340" s="19">
        <v>45828</v>
      </c>
      <c r="B340" s="19">
        <v>45832</v>
      </c>
      <c r="C340" s="20" t="s">
        <v>11</v>
      </c>
      <c r="D340" s="21">
        <v>14.98</v>
      </c>
      <c r="E340" s="21">
        <v>0</v>
      </c>
      <c r="F340" s="22">
        <f t="shared" si="67"/>
        <v>152685.17379199999</v>
      </c>
      <c r="G340" s="26"/>
    </row>
    <row r="341" spans="1:7" ht="15" customHeight="1">
      <c r="A341" s="19" t="s">
        <v>6</v>
      </c>
      <c r="B341" s="19">
        <v>45833</v>
      </c>
      <c r="C341" s="23" t="s">
        <v>38</v>
      </c>
      <c r="D341" s="24">
        <v>0</v>
      </c>
      <c r="E341" s="27">
        <v>7155</v>
      </c>
      <c r="F341" s="22">
        <f t="shared" si="67"/>
        <v>159840.17379199999</v>
      </c>
      <c r="G341" s="26"/>
    </row>
    <row r="342" spans="1:7" ht="15" customHeight="1">
      <c r="A342" s="19">
        <v>45831</v>
      </c>
      <c r="B342" s="19">
        <v>45833</v>
      </c>
      <c r="C342" s="23" t="s">
        <v>98</v>
      </c>
      <c r="D342" s="24">
        <v>19543.2</v>
      </c>
      <c r="E342" s="15">
        <v>0</v>
      </c>
      <c r="F342" s="22">
        <f t="shared" si="67"/>
        <v>140296.973792</v>
      </c>
      <c r="G342" s="26"/>
    </row>
    <row r="343" spans="1:7" ht="15" customHeight="1">
      <c r="A343" s="19">
        <v>45831</v>
      </c>
      <c r="B343" s="19">
        <v>45833</v>
      </c>
      <c r="C343" s="20" t="s">
        <v>11</v>
      </c>
      <c r="D343" s="21">
        <v>14.98</v>
      </c>
      <c r="E343" s="21">
        <v>0</v>
      </c>
      <c r="F343" s="22">
        <f t="shared" si="67"/>
        <v>140281.99379199999</v>
      </c>
      <c r="G343" s="26"/>
    </row>
    <row r="344" spans="1:7" ht="15" customHeight="1">
      <c r="A344" s="19" t="s">
        <v>6</v>
      </c>
      <c r="B344" s="19">
        <v>45840</v>
      </c>
      <c r="C344" s="20" t="s">
        <v>7</v>
      </c>
      <c r="D344" s="21">
        <v>254.61</v>
      </c>
      <c r="E344" s="21">
        <v>0</v>
      </c>
      <c r="F344" s="22">
        <f t="shared" si="67"/>
        <v>140027.38379200001</v>
      </c>
    </row>
    <row r="345" spans="1:7" ht="15" customHeight="1">
      <c r="A345" s="19">
        <v>45840</v>
      </c>
      <c r="B345" s="19">
        <v>45842</v>
      </c>
      <c r="C345" s="23" t="s">
        <v>90</v>
      </c>
      <c r="D345" s="24">
        <v>0</v>
      </c>
      <c r="E345" s="15">
        <v>19556.59</v>
      </c>
      <c r="F345" s="22">
        <f t="shared" si="67"/>
        <v>159583.973792</v>
      </c>
      <c r="G345" s="26"/>
    </row>
    <row r="346" spans="1:7" ht="15" customHeight="1">
      <c r="A346" s="19">
        <v>45840</v>
      </c>
      <c r="B346" s="19">
        <v>45842</v>
      </c>
      <c r="C346" s="20" t="s">
        <v>11</v>
      </c>
      <c r="D346" s="21">
        <v>14.98</v>
      </c>
      <c r="E346" s="21">
        <v>0</v>
      </c>
      <c r="F346" s="22">
        <f t="shared" si="67"/>
        <v>159568.99379199999</v>
      </c>
      <c r="G346" s="26"/>
    </row>
    <row r="347" spans="1:7" ht="15" customHeight="1">
      <c r="A347" s="19">
        <v>45841</v>
      </c>
      <c r="B347" s="19">
        <v>45845</v>
      </c>
      <c r="C347" s="23" t="s">
        <v>65</v>
      </c>
      <c r="D347" s="24">
        <v>0</v>
      </c>
      <c r="E347" s="15">
        <v>25443.51</v>
      </c>
      <c r="F347" s="22">
        <f t="shared" ref="F347:F349" si="68">F346-D347+E347</f>
        <v>185012.503792</v>
      </c>
      <c r="G347" s="26"/>
    </row>
    <row r="348" spans="1:7" ht="15" customHeight="1">
      <c r="A348" s="19">
        <v>45841</v>
      </c>
      <c r="B348" s="19">
        <v>45845</v>
      </c>
      <c r="C348" s="23" t="s">
        <v>90</v>
      </c>
      <c r="D348" s="24">
        <v>0</v>
      </c>
      <c r="E348" s="15">
        <v>20953.490000000002</v>
      </c>
      <c r="F348" s="22">
        <f t="shared" si="68"/>
        <v>205965.99379199999</v>
      </c>
      <c r="G348" s="26"/>
    </row>
    <row r="349" spans="1:7" ht="15" customHeight="1">
      <c r="A349" s="19">
        <v>45841</v>
      </c>
      <c r="B349" s="19">
        <v>45845</v>
      </c>
      <c r="C349" s="20" t="s">
        <v>11</v>
      </c>
      <c r="D349" s="21">
        <v>14.98</v>
      </c>
      <c r="E349" s="21">
        <v>0</v>
      </c>
      <c r="F349" s="22">
        <f t="shared" si="68"/>
        <v>205951.01379200001</v>
      </c>
      <c r="G349" s="26"/>
    </row>
    <row r="350" spans="1:7" ht="15" customHeight="1">
      <c r="A350" s="19">
        <v>45846</v>
      </c>
      <c r="B350" s="19">
        <v>45848</v>
      </c>
      <c r="C350" s="23" t="s">
        <v>62</v>
      </c>
      <c r="D350" s="24">
        <v>44097.83</v>
      </c>
      <c r="E350" s="15">
        <v>0</v>
      </c>
      <c r="F350" s="22">
        <f t="shared" ref="F350:F352" si="69">F349-D350+E350</f>
        <v>161853.183792</v>
      </c>
      <c r="G350" s="26"/>
    </row>
    <row r="351" spans="1:7" ht="15" customHeight="1">
      <c r="A351" s="19">
        <v>45846</v>
      </c>
      <c r="B351" s="19">
        <v>45848</v>
      </c>
      <c r="C351" s="20" t="s">
        <v>11</v>
      </c>
      <c r="D351" s="21">
        <v>14.98</v>
      </c>
      <c r="E351" s="21">
        <v>0</v>
      </c>
      <c r="F351" s="22">
        <f t="shared" si="69"/>
        <v>161838.20379199999</v>
      </c>
      <c r="G351" s="26"/>
    </row>
    <row r="352" spans="1:7" ht="15" customHeight="1">
      <c r="A352" s="19" t="s">
        <v>6</v>
      </c>
      <c r="B352" s="19">
        <v>45850</v>
      </c>
      <c r="C352" s="20" t="s">
        <v>16</v>
      </c>
      <c r="D352" s="21">
        <v>20</v>
      </c>
      <c r="E352" s="21">
        <v>0</v>
      </c>
      <c r="F352" s="22">
        <f t="shared" si="69"/>
        <v>161818.20379199999</v>
      </c>
    </row>
    <row r="353" spans="1:7" ht="15" customHeight="1">
      <c r="A353" s="19" t="s">
        <v>6</v>
      </c>
      <c r="B353" s="19">
        <v>45853</v>
      </c>
      <c r="C353" s="20" t="s">
        <v>18</v>
      </c>
      <c r="D353" s="21">
        <v>432</v>
      </c>
      <c r="E353" s="21">
        <v>0</v>
      </c>
      <c r="F353" s="22">
        <f t="shared" ref="F353:F355" si="70">F352-D353+E353</f>
        <v>161386.20379199999</v>
      </c>
    </row>
    <row r="354" spans="1:7" ht="15" customHeight="1">
      <c r="A354" s="19">
        <v>45854</v>
      </c>
      <c r="B354" s="19">
        <v>45856</v>
      </c>
      <c r="C354" s="23" t="s">
        <v>90</v>
      </c>
      <c r="D354" s="24">
        <v>0</v>
      </c>
      <c r="E354" s="15">
        <v>21651.94</v>
      </c>
      <c r="F354" s="22">
        <f t="shared" si="70"/>
        <v>183038.14379199999</v>
      </c>
      <c r="G354" s="26"/>
    </row>
    <row r="355" spans="1:7" ht="15" customHeight="1">
      <c r="A355" s="19">
        <v>45854</v>
      </c>
      <c r="B355" s="19">
        <v>45856</v>
      </c>
      <c r="C355" s="20" t="s">
        <v>11</v>
      </c>
      <c r="D355" s="21">
        <v>14.98</v>
      </c>
      <c r="E355" s="21">
        <v>0</v>
      </c>
      <c r="F355" s="22">
        <f t="shared" si="70"/>
        <v>183023.16379200001</v>
      </c>
      <c r="G355" s="26"/>
    </row>
    <row r="356" spans="1:7" ht="15" customHeight="1">
      <c r="A356" s="19">
        <v>45856</v>
      </c>
      <c r="B356" s="19">
        <v>45860</v>
      </c>
      <c r="C356" s="23" t="s">
        <v>90</v>
      </c>
      <c r="D356" s="24">
        <v>0</v>
      </c>
      <c r="E356" s="15">
        <v>22150.83</v>
      </c>
      <c r="F356" s="22">
        <f t="shared" ref="F356:F388" si="71">F355-D356+E356</f>
        <v>205173.99379199999</v>
      </c>
      <c r="G356" s="26"/>
    </row>
    <row r="357" spans="1:7" ht="15" customHeight="1">
      <c r="A357" s="19">
        <v>45856</v>
      </c>
      <c r="B357" s="19">
        <v>45860</v>
      </c>
      <c r="C357" s="20" t="s">
        <v>11</v>
      </c>
      <c r="D357" s="21">
        <v>14.98</v>
      </c>
      <c r="E357" s="21">
        <v>0</v>
      </c>
      <c r="F357" s="22">
        <f t="shared" si="71"/>
        <v>205159.01379200001</v>
      </c>
      <c r="G357" s="26"/>
    </row>
    <row r="358" spans="1:7" ht="15" customHeight="1">
      <c r="A358" s="19">
        <v>45862</v>
      </c>
      <c r="B358" s="19">
        <v>45866</v>
      </c>
      <c r="C358" s="23" t="s">
        <v>90</v>
      </c>
      <c r="D358" s="24">
        <v>0</v>
      </c>
      <c r="E358" s="15">
        <v>22350.38</v>
      </c>
      <c r="F358" s="22">
        <f t="shared" si="71"/>
        <v>227509.39379199999</v>
      </c>
      <c r="G358" s="26"/>
    </row>
    <row r="359" spans="1:7" ht="15" customHeight="1">
      <c r="A359" s="19">
        <v>45862</v>
      </c>
      <c r="B359" s="19">
        <v>45866</v>
      </c>
      <c r="C359" s="20" t="s">
        <v>11</v>
      </c>
      <c r="D359" s="21">
        <v>14.98</v>
      </c>
      <c r="E359" s="21">
        <v>0</v>
      </c>
      <c r="F359" s="22">
        <f t="shared" si="71"/>
        <v>227494.41379200001</v>
      </c>
      <c r="G359" s="26"/>
    </row>
    <row r="360" spans="1:7" ht="15" customHeight="1">
      <c r="A360" s="19" t="s">
        <v>6</v>
      </c>
      <c r="B360" s="19">
        <v>45869</v>
      </c>
      <c r="C360" s="23" t="s">
        <v>8</v>
      </c>
      <c r="D360" s="24">
        <v>38000</v>
      </c>
      <c r="E360" s="27">
        <v>0</v>
      </c>
      <c r="F360" s="22">
        <f t="shared" si="71"/>
        <v>189494.41379200001</v>
      </c>
      <c r="G360" s="26"/>
    </row>
    <row r="361" spans="1:7" ht="15" customHeight="1">
      <c r="A361" s="19">
        <v>45867</v>
      </c>
      <c r="B361" s="19">
        <v>45869</v>
      </c>
      <c r="C361" s="23" t="s">
        <v>90</v>
      </c>
      <c r="D361" s="24">
        <v>0</v>
      </c>
      <c r="E361" s="15">
        <v>22849.279999999999</v>
      </c>
      <c r="F361" s="22">
        <f t="shared" si="71"/>
        <v>212343.69379200001</v>
      </c>
      <c r="G361" s="26"/>
    </row>
    <row r="362" spans="1:7" ht="15" customHeight="1">
      <c r="A362" s="19">
        <v>45867</v>
      </c>
      <c r="B362" s="19">
        <v>45869</v>
      </c>
      <c r="C362" s="20" t="s">
        <v>11</v>
      </c>
      <c r="D362" s="21">
        <v>14.98</v>
      </c>
      <c r="E362" s="21">
        <v>0</v>
      </c>
      <c r="F362" s="22">
        <f t="shared" si="71"/>
        <v>212328.713792</v>
      </c>
      <c r="G362" s="26"/>
    </row>
    <row r="363" spans="1:7" ht="15" customHeight="1">
      <c r="A363" s="19">
        <v>45868</v>
      </c>
      <c r="B363" s="19">
        <v>45870</v>
      </c>
      <c r="C363" s="23" t="s">
        <v>70</v>
      </c>
      <c r="D363" s="24">
        <v>0</v>
      </c>
      <c r="E363" s="15">
        <v>41128.699999999997</v>
      </c>
      <c r="F363" s="22">
        <f t="shared" si="71"/>
        <v>253457.41379200001</v>
      </c>
      <c r="G363" s="26"/>
    </row>
    <row r="364" spans="1:7" ht="15" customHeight="1">
      <c r="A364" s="19">
        <v>45868</v>
      </c>
      <c r="B364" s="19">
        <v>45870</v>
      </c>
      <c r="C364" s="23" t="s">
        <v>99</v>
      </c>
      <c r="D364" s="24">
        <v>0</v>
      </c>
      <c r="E364" s="15">
        <v>54878.18</v>
      </c>
      <c r="F364" s="22">
        <f t="shared" si="71"/>
        <v>308335.59379200003</v>
      </c>
      <c r="G364" s="26"/>
    </row>
    <row r="365" spans="1:7" ht="15" customHeight="1">
      <c r="A365" s="19">
        <v>45868</v>
      </c>
      <c r="B365" s="19">
        <v>45870</v>
      </c>
      <c r="C365" s="20" t="s">
        <v>11</v>
      </c>
      <c r="D365" s="21">
        <v>14.98</v>
      </c>
      <c r="E365" s="21">
        <v>0</v>
      </c>
      <c r="F365" s="22">
        <f t="shared" si="71"/>
        <v>308320.61379199999</v>
      </c>
      <c r="G365" s="26"/>
    </row>
    <row r="366" spans="1:7" ht="15" customHeight="1">
      <c r="A366" s="19" t="s">
        <v>6</v>
      </c>
      <c r="B366" s="19">
        <v>45870</v>
      </c>
      <c r="C366" s="20" t="s">
        <v>7</v>
      </c>
      <c r="D366" s="21">
        <v>2391.8000000000002</v>
      </c>
      <c r="E366" s="21">
        <v>0</v>
      </c>
      <c r="F366" s="22">
        <f t="shared" si="71"/>
        <v>305928.813792</v>
      </c>
      <c r="G366" s="26"/>
    </row>
    <row r="367" spans="1:7" ht="15" customHeight="1">
      <c r="A367" s="19">
        <v>45874</v>
      </c>
      <c r="B367" s="19">
        <v>45876</v>
      </c>
      <c r="C367" s="23" t="s">
        <v>72</v>
      </c>
      <c r="D367" s="24">
        <v>18841.64</v>
      </c>
      <c r="E367" s="15">
        <v>0</v>
      </c>
      <c r="F367" s="22">
        <f t="shared" si="71"/>
        <v>287087.17379199999</v>
      </c>
      <c r="G367" s="26"/>
    </row>
    <row r="368" spans="1:7" ht="15" customHeight="1">
      <c r="A368" s="19">
        <v>45874</v>
      </c>
      <c r="B368" s="19">
        <v>45876</v>
      </c>
      <c r="C368" s="23" t="s">
        <v>72</v>
      </c>
      <c r="D368" s="24">
        <v>0</v>
      </c>
      <c r="E368" s="15">
        <v>18957.919999999998</v>
      </c>
      <c r="F368" s="22">
        <f t="shared" si="71"/>
        <v>306045.09379200003</v>
      </c>
      <c r="G368" s="26"/>
    </row>
    <row r="369" spans="1:7" ht="15" customHeight="1">
      <c r="A369" s="19">
        <v>45874</v>
      </c>
      <c r="B369" s="19">
        <v>45876</v>
      </c>
      <c r="C369" s="20" t="s">
        <v>11</v>
      </c>
      <c r="D369" s="21">
        <v>14.98</v>
      </c>
      <c r="E369" s="21">
        <v>0</v>
      </c>
      <c r="F369" s="22">
        <f t="shared" si="71"/>
        <v>306030.11379199999</v>
      </c>
      <c r="G369" s="26"/>
    </row>
    <row r="370" spans="1:7" ht="15" customHeight="1">
      <c r="A370" s="19">
        <v>45875</v>
      </c>
      <c r="B370" s="19">
        <v>45877</v>
      </c>
      <c r="C370" s="23" t="s">
        <v>100</v>
      </c>
      <c r="D370" s="24">
        <v>0</v>
      </c>
      <c r="E370" s="15">
        <v>22549.95</v>
      </c>
      <c r="F370" s="22">
        <f t="shared" si="71"/>
        <v>328580.063792</v>
      </c>
      <c r="G370" s="26"/>
    </row>
    <row r="371" spans="1:7" ht="15" customHeight="1">
      <c r="A371" s="19">
        <v>45875</v>
      </c>
      <c r="B371" s="19">
        <v>45877</v>
      </c>
      <c r="C371" s="23" t="s">
        <v>65</v>
      </c>
      <c r="D371" s="24">
        <v>0</v>
      </c>
      <c r="E371" s="15">
        <v>32408.06</v>
      </c>
      <c r="F371" s="22">
        <f t="shared" si="71"/>
        <v>360988.123792</v>
      </c>
      <c r="G371" s="26"/>
    </row>
    <row r="372" spans="1:7" ht="15" customHeight="1">
      <c r="A372" s="19">
        <v>45875</v>
      </c>
      <c r="B372" s="19">
        <v>45877</v>
      </c>
      <c r="C372" s="23" t="s">
        <v>101</v>
      </c>
      <c r="D372" s="24">
        <v>31569.77</v>
      </c>
      <c r="E372" s="15">
        <v>0</v>
      </c>
      <c r="F372" s="22">
        <f t="shared" si="71"/>
        <v>329418.35379199998</v>
      </c>
      <c r="G372" s="26"/>
    </row>
    <row r="373" spans="1:7" ht="15" customHeight="1">
      <c r="A373" s="19">
        <v>45875</v>
      </c>
      <c r="B373" s="19">
        <v>45877</v>
      </c>
      <c r="C373" s="20" t="s">
        <v>11</v>
      </c>
      <c r="D373" s="21">
        <v>14.98</v>
      </c>
      <c r="E373" s="21">
        <v>0</v>
      </c>
      <c r="F373" s="22">
        <f t="shared" si="71"/>
        <v>329403.373792</v>
      </c>
      <c r="G373" s="26"/>
    </row>
    <row r="374" spans="1:7" ht="15" customHeight="1">
      <c r="A374" s="19" t="s">
        <v>6</v>
      </c>
      <c r="B374" s="19">
        <v>45878</v>
      </c>
      <c r="C374" s="20" t="s">
        <v>16</v>
      </c>
      <c r="D374" s="21">
        <v>20</v>
      </c>
      <c r="E374" s="21">
        <v>0</v>
      </c>
      <c r="F374" s="22">
        <f t="shared" si="71"/>
        <v>329383.373792</v>
      </c>
    </row>
    <row r="375" spans="1:7" ht="15" customHeight="1">
      <c r="A375" s="19">
        <v>45876</v>
      </c>
      <c r="B375" s="19">
        <v>45882</v>
      </c>
      <c r="C375" s="23" t="s">
        <v>72</v>
      </c>
      <c r="D375" s="24">
        <v>0</v>
      </c>
      <c r="E375" s="15">
        <v>20554.38</v>
      </c>
      <c r="F375" s="22">
        <f t="shared" si="71"/>
        <v>349937.753792</v>
      </c>
      <c r="G375" s="26"/>
    </row>
    <row r="376" spans="1:7" ht="15" customHeight="1">
      <c r="A376" s="19">
        <v>45876</v>
      </c>
      <c r="B376" s="19">
        <v>45882</v>
      </c>
      <c r="C376" s="23" t="s">
        <v>102</v>
      </c>
      <c r="D376" s="24">
        <v>29665.56</v>
      </c>
      <c r="E376" s="15">
        <v>0</v>
      </c>
      <c r="F376" s="22">
        <f t="shared" si="71"/>
        <v>320272.19379200001</v>
      </c>
      <c r="G376" s="26"/>
    </row>
    <row r="377" spans="1:7" ht="15" customHeight="1">
      <c r="A377" s="19">
        <v>45876</v>
      </c>
      <c r="B377" s="19">
        <v>45882</v>
      </c>
      <c r="C377" s="23" t="s">
        <v>102</v>
      </c>
      <c r="D377" s="24">
        <v>0</v>
      </c>
      <c r="E377" s="15">
        <v>30013.37</v>
      </c>
      <c r="F377" s="22">
        <f t="shared" si="71"/>
        <v>350285.563792</v>
      </c>
      <c r="G377" s="26"/>
    </row>
    <row r="378" spans="1:7" ht="15" customHeight="1">
      <c r="A378" s="19">
        <v>45876</v>
      </c>
      <c r="B378" s="19">
        <v>45882</v>
      </c>
      <c r="C378" s="20" t="s">
        <v>11</v>
      </c>
      <c r="D378" s="21">
        <v>14.98</v>
      </c>
      <c r="E378" s="21">
        <v>0</v>
      </c>
      <c r="F378" s="22">
        <f t="shared" si="71"/>
        <v>350270.58379200002</v>
      </c>
      <c r="G378" s="26"/>
    </row>
    <row r="379" spans="1:7" ht="15" customHeight="1">
      <c r="A379" s="19">
        <v>45877</v>
      </c>
      <c r="B379" s="19">
        <v>45883</v>
      </c>
      <c r="C379" s="23" t="s">
        <v>103</v>
      </c>
      <c r="D379" s="24">
        <v>24804.82</v>
      </c>
      <c r="E379" s="15">
        <v>0</v>
      </c>
      <c r="F379" s="22">
        <f t="shared" si="71"/>
        <v>325465.76379200001</v>
      </c>
      <c r="G379" s="26"/>
    </row>
    <row r="380" spans="1:7" ht="15" customHeight="1">
      <c r="A380" s="19">
        <v>45877</v>
      </c>
      <c r="B380" s="19">
        <v>45883</v>
      </c>
      <c r="C380" s="23" t="s">
        <v>104</v>
      </c>
      <c r="D380" s="24">
        <v>80177.19</v>
      </c>
      <c r="E380" s="15">
        <v>0</v>
      </c>
      <c r="F380" s="22">
        <f t="shared" si="71"/>
        <v>245288.57379200001</v>
      </c>
      <c r="G380" s="26"/>
    </row>
    <row r="381" spans="1:7" ht="15" customHeight="1">
      <c r="A381" s="19">
        <v>45877</v>
      </c>
      <c r="B381" s="19">
        <v>45883</v>
      </c>
      <c r="C381" s="23" t="s">
        <v>105</v>
      </c>
      <c r="D381" s="24">
        <v>0</v>
      </c>
      <c r="E381" s="15">
        <v>92794.01</v>
      </c>
      <c r="F381" s="22">
        <f t="shared" si="71"/>
        <v>338082.58379200002</v>
      </c>
      <c r="G381" s="26"/>
    </row>
    <row r="382" spans="1:7" ht="15" customHeight="1">
      <c r="A382" s="19">
        <v>45877</v>
      </c>
      <c r="B382" s="19">
        <v>45883</v>
      </c>
      <c r="C382" s="23" t="s">
        <v>26</v>
      </c>
      <c r="D382" s="24">
        <v>0</v>
      </c>
      <c r="E382" s="15">
        <v>40110.97</v>
      </c>
      <c r="F382" s="22">
        <f t="shared" si="71"/>
        <v>378193.55379199999</v>
      </c>
      <c r="G382" s="26"/>
    </row>
    <row r="383" spans="1:7" ht="15" customHeight="1">
      <c r="A383" s="19">
        <v>45877</v>
      </c>
      <c r="B383" s="19">
        <v>45883</v>
      </c>
      <c r="C383" s="20" t="s">
        <v>11</v>
      </c>
      <c r="D383" s="21">
        <v>14.98</v>
      </c>
      <c r="E383" s="21">
        <v>0</v>
      </c>
      <c r="F383" s="22">
        <f t="shared" si="71"/>
        <v>378178.57379200001</v>
      </c>
      <c r="G383" s="26"/>
    </row>
    <row r="384" spans="1:7" ht="15" customHeight="1">
      <c r="A384" s="19">
        <v>45882</v>
      </c>
      <c r="B384" s="19">
        <v>45884</v>
      </c>
      <c r="C384" s="23" t="s">
        <v>103</v>
      </c>
      <c r="D384" s="24">
        <v>24554.27</v>
      </c>
      <c r="E384" s="15">
        <v>0</v>
      </c>
      <c r="F384" s="22">
        <f t="shared" si="71"/>
        <v>353624.30379199999</v>
      </c>
      <c r="G384" s="26"/>
    </row>
    <row r="385" spans="1:7" ht="15" customHeight="1">
      <c r="A385" s="19">
        <v>45882</v>
      </c>
      <c r="B385" s="19">
        <v>45884</v>
      </c>
      <c r="C385" s="20" t="s">
        <v>11</v>
      </c>
      <c r="D385" s="21">
        <v>14.98</v>
      </c>
      <c r="E385" s="21">
        <v>0</v>
      </c>
      <c r="F385" s="22">
        <f t="shared" si="71"/>
        <v>353609.32379200001</v>
      </c>
      <c r="G385" s="26"/>
    </row>
    <row r="386" spans="1:7" ht="15" customHeight="1">
      <c r="A386" s="19" t="s">
        <v>6</v>
      </c>
      <c r="B386" s="19">
        <v>45884</v>
      </c>
      <c r="C386" s="20" t="s">
        <v>18</v>
      </c>
      <c r="D386" s="21">
        <v>432</v>
      </c>
      <c r="E386" s="21">
        <v>0</v>
      </c>
      <c r="F386" s="22">
        <f t="shared" si="71"/>
        <v>353177.32379200001</v>
      </c>
    </row>
    <row r="387" spans="1:7" ht="15" customHeight="1">
      <c r="A387" s="19">
        <v>45883</v>
      </c>
      <c r="B387" s="19">
        <v>45887</v>
      </c>
      <c r="C387" s="23" t="s">
        <v>25</v>
      </c>
      <c r="D387" s="24">
        <v>84687.16</v>
      </c>
      <c r="E387" s="15">
        <v>0</v>
      </c>
      <c r="F387" s="22">
        <f t="shared" si="71"/>
        <v>268490.16379199998</v>
      </c>
      <c r="G387" s="26"/>
    </row>
    <row r="388" spans="1:7" ht="15" customHeight="1">
      <c r="A388" s="19">
        <v>45883</v>
      </c>
      <c r="B388" s="19">
        <v>45887</v>
      </c>
      <c r="C388" s="20" t="s">
        <v>11</v>
      </c>
      <c r="D388" s="21">
        <v>14.98</v>
      </c>
      <c r="E388" s="21">
        <v>0</v>
      </c>
      <c r="F388" s="22">
        <f t="shared" si="71"/>
        <v>268475.183792</v>
      </c>
      <c r="G388" s="26"/>
    </row>
    <row r="389" spans="1:7" ht="15" customHeight="1">
      <c r="A389" s="19">
        <v>45887</v>
      </c>
      <c r="B389" s="19">
        <v>45889</v>
      </c>
      <c r="C389" s="23" t="s">
        <v>106</v>
      </c>
      <c r="D389" s="24">
        <v>84186.05</v>
      </c>
      <c r="E389" s="15">
        <v>0</v>
      </c>
      <c r="F389" s="22">
        <f t="shared" ref="F389" si="72">F388-D389+E389</f>
        <v>184289.13379200001</v>
      </c>
      <c r="G389" s="26"/>
    </row>
    <row r="390" spans="1:7" ht="15" customHeight="1">
      <c r="A390" s="19">
        <v>45887</v>
      </c>
      <c r="B390" s="19">
        <v>45889</v>
      </c>
      <c r="C390" s="23" t="s">
        <v>107</v>
      </c>
      <c r="D390" s="24">
        <v>96613.52</v>
      </c>
      <c r="E390" s="15">
        <v>0</v>
      </c>
      <c r="F390" s="22">
        <f t="shared" ref="F390" si="73">F389-D390+E390</f>
        <v>87675.613792000193</v>
      </c>
      <c r="G390" s="26"/>
    </row>
    <row r="391" spans="1:7" ht="15" customHeight="1">
      <c r="A391" s="19">
        <v>45887</v>
      </c>
      <c r="B391" s="19">
        <v>45889</v>
      </c>
      <c r="C391" s="23" t="s">
        <v>72</v>
      </c>
      <c r="D391" s="24">
        <v>0</v>
      </c>
      <c r="E391" s="15">
        <v>11474.43</v>
      </c>
      <c r="F391" s="22">
        <f t="shared" ref="F391" si="74">F390-D391+E391</f>
        <v>99150.0437920002</v>
      </c>
      <c r="G391" s="26"/>
    </row>
    <row r="392" spans="1:7" ht="15" customHeight="1">
      <c r="A392" s="19">
        <v>45887</v>
      </c>
      <c r="B392" s="19">
        <v>45889</v>
      </c>
      <c r="C392" s="23" t="s">
        <v>108</v>
      </c>
      <c r="D392" s="24">
        <v>0</v>
      </c>
      <c r="E392" s="15">
        <v>5687.33</v>
      </c>
      <c r="F392" s="22">
        <f t="shared" ref="F392:F394" si="75">F391-D392+E392</f>
        <v>104837.373792</v>
      </c>
      <c r="G392" s="26"/>
    </row>
    <row r="393" spans="1:7" ht="15" customHeight="1">
      <c r="A393" s="19">
        <v>45887</v>
      </c>
      <c r="B393" s="19">
        <v>45889</v>
      </c>
      <c r="C393" s="20" t="s">
        <v>11</v>
      </c>
      <c r="D393" s="21">
        <v>14.98</v>
      </c>
      <c r="E393" s="21">
        <v>0</v>
      </c>
      <c r="F393" s="22">
        <f t="shared" si="75"/>
        <v>104822.393792</v>
      </c>
      <c r="G393" s="26"/>
    </row>
    <row r="394" spans="1:7" ht="15" customHeight="1">
      <c r="A394" s="19">
        <v>45889</v>
      </c>
      <c r="B394" s="19">
        <v>45891</v>
      </c>
      <c r="C394" s="23" t="s">
        <v>107</v>
      </c>
      <c r="D394" s="24">
        <v>0</v>
      </c>
      <c r="E394" s="15">
        <v>96984.72</v>
      </c>
      <c r="F394" s="22">
        <f t="shared" si="75"/>
        <v>201807.11379199999</v>
      </c>
      <c r="G394" s="26"/>
    </row>
    <row r="395" spans="1:7" ht="15" customHeight="1">
      <c r="A395" s="19">
        <v>45889</v>
      </c>
      <c r="B395" s="19">
        <v>45891</v>
      </c>
      <c r="C395" s="20" t="s">
        <v>11</v>
      </c>
      <c r="D395" s="21">
        <v>14.98</v>
      </c>
      <c r="E395" s="21">
        <v>0</v>
      </c>
      <c r="F395" s="22">
        <f t="shared" ref="F395:F397" si="76">F394-D395+E395</f>
        <v>201792.13379200001</v>
      </c>
      <c r="G395" s="26"/>
    </row>
    <row r="396" spans="1:7" ht="15" customHeight="1">
      <c r="A396" s="19">
        <v>45890</v>
      </c>
      <c r="B396" s="19">
        <v>45894</v>
      </c>
      <c r="C396" s="23" t="s">
        <v>107</v>
      </c>
      <c r="D396" s="24">
        <v>96613.52</v>
      </c>
      <c r="E396" s="15">
        <v>0</v>
      </c>
      <c r="F396" s="22">
        <f t="shared" si="76"/>
        <v>105178.613792</v>
      </c>
      <c r="G396" s="26"/>
    </row>
    <row r="397" spans="1:7" ht="15" customHeight="1">
      <c r="A397" s="19">
        <v>45890</v>
      </c>
      <c r="B397" s="19">
        <v>45894</v>
      </c>
      <c r="C397" s="23" t="s">
        <v>107</v>
      </c>
      <c r="D397" s="24">
        <v>0</v>
      </c>
      <c r="E397" s="15">
        <v>96984.72</v>
      </c>
      <c r="F397" s="22">
        <f t="shared" si="76"/>
        <v>202163.33379199999</v>
      </c>
      <c r="G397" s="26"/>
    </row>
    <row r="398" spans="1:7" ht="15" customHeight="1">
      <c r="A398" s="19">
        <v>45890</v>
      </c>
      <c r="B398" s="19">
        <v>45894</v>
      </c>
      <c r="C398" s="20" t="s">
        <v>11</v>
      </c>
      <c r="D398" s="21">
        <v>14.98</v>
      </c>
      <c r="E398" s="21">
        <v>0</v>
      </c>
      <c r="F398" s="22">
        <f t="shared" ref="F398:F400" si="77">F397-D398+E398</f>
        <v>202148.35379200001</v>
      </c>
      <c r="G398" s="26"/>
    </row>
    <row r="399" spans="1:7" ht="15" customHeight="1">
      <c r="A399" s="19">
        <v>45890</v>
      </c>
      <c r="B399" s="19">
        <v>45894</v>
      </c>
      <c r="C399" s="23" t="s">
        <v>107</v>
      </c>
      <c r="D399" s="24">
        <v>120766.9</v>
      </c>
      <c r="E399" s="15">
        <v>0</v>
      </c>
      <c r="F399" s="22">
        <f t="shared" si="77"/>
        <v>81381.453792000204</v>
      </c>
      <c r="G399" s="26"/>
    </row>
    <row r="400" spans="1:7" ht="15" customHeight="1">
      <c r="A400" s="19">
        <v>45890</v>
      </c>
      <c r="B400" s="19">
        <v>45894</v>
      </c>
      <c r="C400" s="23" t="s">
        <v>107</v>
      </c>
      <c r="D400" s="24">
        <v>0</v>
      </c>
      <c r="E400" s="15">
        <v>121230.88</v>
      </c>
      <c r="F400" s="22">
        <f t="shared" si="77"/>
        <v>202612.33379199999</v>
      </c>
      <c r="G400" s="26"/>
    </row>
    <row r="401" spans="1:7" ht="15" customHeight="1">
      <c r="A401" s="19">
        <v>45890</v>
      </c>
      <c r="B401" s="19">
        <v>45894</v>
      </c>
      <c r="C401" s="20" t="s">
        <v>11</v>
      </c>
      <c r="D401" s="21">
        <v>14.98</v>
      </c>
      <c r="E401" s="21">
        <v>0</v>
      </c>
      <c r="F401" s="22">
        <f t="shared" ref="F401:F402" si="78">F400-D401+E401</f>
        <v>202597.35379200001</v>
      </c>
      <c r="G401" s="26"/>
    </row>
    <row r="402" spans="1:7" ht="15" customHeight="1">
      <c r="A402" s="19">
        <v>45895</v>
      </c>
      <c r="B402" s="19">
        <v>45897</v>
      </c>
      <c r="C402" s="23" t="s">
        <v>107</v>
      </c>
      <c r="D402" s="24">
        <v>120766.9</v>
      </c>
      <c r="E402" s="15">
        <v>0</v>
      </c>
      <c r="F402" s="22">
        <f t="shared" si="78"/>
        <v>81830.453792000204</v>
      </c>
      <c r="G402" s="26"/>
    </row>
    <row r="403" spans="1:7" ht="15" customHeight="1">
      <c r="A403" s="19">
        <v>45895</v>
      </c>
      <c r="B403" s="19">
        <v>45897</v>
      </c>
      <c r="C403" s="20" t="s">
        <v>11</v>
      </c>
      <c r="D403" s="21">
        <v>14.98</v>
      </c>
      <c r="E403" s="21">
        <v>0</v>
      </c>
      <c r="F403" s="22">
        <f t="shared" ref="F403:F411" si="79">F402-D403+E403</f>
        <v>81815.473792000193</v>
      </c>
      <c r="G403" s="26"/>
    </row>
    <row r="404" spans="1:7" ht="15" customHeight="1">
      <c r="A404" s="19"/>
      <c r="B404" s="19">
        <v>45897</v>
      </c>
      <c r="C404" s="20" t="s">
        <v>41</v>
      </c>
      <c r="D404" s="21"/>
      <c r="E404" s="21">
        <v>1350</v>
      </c>
      <c r="F404" s="22">
        <f t="shared" si="79"/>
        <v>83165.473792000193</v>
      </c>
      <c r="G404" s="26"/>
    </row>
    <row r="405" spans="1:7" ht="15" customHeight="1">
      <c r="A405" s="19">
        <v>45896</v>
      </c>
      <c r="B405" s="19">
        <v>45898</v>
      </c>
      <c r="C405" s="23" t="s">
        <v>109</v>
      </c>
      <c r="D405" s="24">
        <v>0</v>
      </c>
      <c r="E405" s="15">
        <v>50288.37</v>
      </c>
      <c r="F405" s="22">
        <f t="shared" si="79"/>
        <v>133453.843792</v>
      </c>
      <c r="G405" s="26"/>
    </row>
    <row r="406" spans="1:7" ht="15" customHeight="1">
      <c r="A406" s="19">
        <v>45890</v>
      </c>
      <c r="B406" s="19">
        <v>45894</v>
      </c>
      <c r="C406" s="20" t="s">
        <v>11</v>
      </c>
      <c r="D406" s="21">
        <v>14.98</v>
      </c>
      <c r="E406" s="21">
        <v>0</v>
      </c>
      <c r="F406" s="22">
        <f t="shared" si="79"/>
        <v>133438.86379199999</v>
      </c>
      <c r="G406" s="26"/>
    </row>
    <row r="407" spans="1:7" ht="15" customHeight="1">
      <c r="A407" s="19">
        <v>45897</v>
      </c>
      <c r="B407" s="19">
        <v>45901</v>
      </c>
      <c r="C407" s="23" t="s">
        <v>72</v>
      </c>
      <c r="D407" s="24">
        <v>11024.36</v>
      </c>
      <c r="E407" s="15">
        <v>0</v>
      </c>
      <c r="F407" s="22">
        <f t="shared" si="79"/>
        <v>122414.503792</v>
      </c>
      <c r="G407" s="26"/>
    </row>
    <row r="408" spans="1:7" ht="15" customHeight="1">
      <c r="A408" s="19">
        <v>45897</v>
      </c>
      <c r="B408" s="19">
        <v>45901</v>
      </c>
      <c r="C408" s="20" t="s">
        <v>11</v>
      </c>
      <c r="D408" s="21">
        <v>14.98</v>
      </c>
      <c r="E408" s="21">
        <v>0</v>
      </c>
      <c r="F408" s="22">
        <f t="shared" si="79"/>
        <v>122399.52379200001</v>
      </c>
      <c r="G408" s="26"/>
    </row>
    <row r="409" spans="1:7" ht="15" customHeight="1">
      <c r="A409" s="19" t="s">
        <v>6</v>
      </c>
      <c r="B409" s="19">
        <v>45901</v>
      </c>
      <c r="C409" s="20" t="s">
        <v>7</v>
      </c>
      <c r="D409" s="21">
        <v>222.14</v>
      </c>
      <c r="E409" s="21">
        <v>0</v>
      </c>
      <c r="F409" s="22">
        <f t="shared" si="79"/>
        <v>122177.38379199999</v>
      </c>
      <c r="G409" s="26"/>
    </row>
    <row r="410" spans="1:7" ht="15" customHeight="1">
      <c r="A410" s="19">
        <v>45901</v>
      </c>
      <c r="B410" s="19">
        <v>45903</v>
      </c>
      <c r="C410" s="23" t="s">
        <v>110</v>
      </c>
      <c r="D410" s="24">
        <v>77671.66</v>
      </c>
      <c r="E410" s="15">
        <v>0</v>
      </c>
      <c r="F410" s="22">
        <f t="shared" si="79"/>
        <v>44505.723792000201</v>
      </c>
      <c r="G410" s="26"/>
    </row>
    <row r="411" spans="1:7" ht="15" customHeight="1">
      <c r="A411" s="19">
        <v>45901</v>
      </c>
      <c r="B411" s="19">
        <v>45903</v>
      </c>
      <c r="C411" s="20" t="s">
        <v>11</v>
      </c>
      <c r="D411" s="21">
        <v>14.98</v>
      </c>
      <c r="E411" s="21">
        <v>0</v>
      </c>
      <c r="F411" s="22">
        <f t="shared" si="79"/>
        <v>44490.743792000198</v>
      </c>
      <c r="G411" s="26"/>
    </row>
    <row r="412" spans="1:7" ht="15" customHeight="1">
      <c r="A412" s="19"/>
      <c r="B412" s="19">
        <v>45903</v>
      </c>
      <c r="C412" s="20" t="s">
        <v>33</v>
      </c>
      <c r="D412" s="21"/>
      <c r="E412" s="21">
        <v>20864.25</v>
      </c>
      <c r="F412" s="22">
        <f t="shared" ref="F412" si="80">F411-D412+E412</f>
        <v>65354.993792000198</v>
      </c>
      <c r="G412" s="26"/>
    </row>
    <row r="413" spans="1:7" ht="15" customHeight="1">
      <c r="A413" s="19"/>
      <c r="B413" s="19">
        <v>45903</v>
      </c>
      <c r="C413" s="20" t="s">
        <v>21</v>
      </c>
      <c r="D413" s="21">
        <v>4172.8500000000004</v>
      </c>
      <c r="E413" s="21">
        <v>0</v>
      </c>
      <c r="F413" s="22">
        <f t="shared" ref="F413:F414" si="81">F412-D413+E413</f>
        <v>61182.143792000199</v>
      </c>
      <c r="G413" s="26"/>
    </row>
    <row r="414" spans="1:7" ht="15" customHeight="1">
      <c r="A414" s="19" t="s">
        <v>6</v>
      </c>
      <c r="B414" s="19">
        <v>45903</v>
      </c>
      <c r="C414" s="23" t="s">
        <v>111</v>
      </c>
      <c r="D414" s="24">
        <v>19000</v>
      </c>
      <c r="E414" s="27">
        <v>0</v>
      </c>
      <c r="F414" s="22">
        <f t="shared" si="81"/>
        <v>42182.143792000199</v>
      </c>
      <c r="G414" s="26"/>
    </row>
    <row r="415" spans="1:7" ht="15" customHeight="1">
      <c r="A415" s="19"/>
      <c r="B415" s="19">
        <v>45903</v>
      </c>
      <c r="C415" s="23" t="s">
        <v>78</v>
      </c>
      <c r="D415" s="24">
        <v>0</v>
      </c>
      <c r="E415" s="27">
        <v>0.51</v>
      </c>
      <c r="F415" s="22">
        <f t="shared" ref="F415:F430" si="82">F414-D415+E415</f>
        <v>42182.653792000201</v>
      </c>
      <c r="G415" s="26"/>
    </row>
    <row r="416" spans="1:7" ht="15" customHeight="1">
      <c r="B416" s="13">
        <v>45905</v>
      </c>
      <c r="C416" s="14" t="s">
        <v>37</v>
      </c>
      <c r="D416" s="21">
        <v>0</v>
      </c>
      <c r="E416" s="21">
        <v>3228.75</v>
      </c>
      <c r="F416" s="22">
        <f t="shared" si="82"/>
        <v>45411.403792000201</v>
      </c>
    </row>
    <row r="417" spans="1:7" ht="15" customHeight="1">
      <c r="B417" s="13">
        <v>45905</v>
      </c>
      <c r="C417" s="14" t="s">
        <v>35</v>
      </c>
      <c r="D417" s="21">
        <v>0</v>
      </c>
      <c r="E417" s="21">
        <v>3863.25</v>
      </c>
      <c r="F417" s="22">
        <f t="shared" si="82"/>
        <v>49274.653792000201</v>
      </c>
    </row>
    <row r="418" spans="1:7" ht="15" customHeight="1">
      <c r="B418" s="13">
        <v>45905</v>
      </c>
      <c r="C418" s="14" t="s">
        <v>94</v>
      </c>
      <c r="D418" s="21">
        <v>0</v>
      </c>
      <c r="E418" s="21">
        <v>5760</v>
      </c>
      <c r="F418" s="22">
        <f t="shared" si="82"/>
        <v>55034.653792000201</v>
      </c>
    </row>
    <row r="419" spans="1:7" ht="15" customHeight="1">
      <c r="B419" s="13">
        <v>45905</v>
      </c>
      <c r="C419" s="14" t="s">
        <v>50</v>
      </c>
      <c r="D419" s="21">
        <v>0</v>
      </c>
      <c r="E419" s="21">
        <v>1350</v>
      </c>
      <c r="F419" s="22">
        <f t="shared" si="82"/>
        <v>56384.653792000201</v>
      </c>
    </row>
    <row r="420" spans="1:7" ht="15" customHeight="1">
      <c r="B420" s="13">
        <v>45905</v>
      </c>
      <c r="C420" s="14" t="s">
        <v>53</v>
      </c>
      <c r="D420" s="21">
        <v>0</v>
      </c>
      <c r="E420" s="21">
        <v>12825</v>
      </c>
      <c r="F420" s="22">
        <f t="shared" si="82"/>
        <v>69209.653792000201</v>
      </c>
    </row>
    <row r="421" spans="1:7" ht="15" customHeight="1">
      <c r="B421" s="13">
        <v>45905</v>
      </c>
      <c r="C421" s="14" t="s">
        <v>112</v>
      </c>
      <c r="D421" s="21">
        <v>0</v>
      </c>
      <c r="E421" s="21">
        <v>532.5</v>
      </c>
      <c r="F421" s="22">
        <f t="shared" si="82"/>
        <v>69742.153792000201</v>
      </c>
    </row>
    <row r="422" spans="1:7" ht="15" customHeight="1">
      <c r="A422" s="19">
        <v>45903</v>
      </c>
      <c r="B422" s="19">
        <v>45905</v>
      </c>
      <c r="C422" s="23" t="s">
        <v>25</v>
      </c>
      <c r="D422" s="24">
        <v>0</v>
      </c>
      <c r="E422" s="15">
        <v>41407.730000000003</v>
      </c>
      <c r="F422" s="22">
        <f t="shared" si="82"/>
        <v>111149.88379199999</v>
      </c>
      <c r="G422" s="26"/>
    </row>
    <row r="423" spans="1:7" ht="15" customHeight="1">
      <c r="A423" s="19">
        <v>45903</v>
      </c>
      <c r="B423" s="19">
        <v>45905</v>
      </c>
      <c r="C423" s="20" t="s">
        <v>11</v>
      </c>
      <c r="D423" s="21">
        <v>14.98</v>
      </c>
      <c r="E423" s="21">
        <v>0</v>
      </c>
      <c r="F423" s="22">
        <f t="shared" si="82"/>
        <v>111134.903792</v>
      </c>
      <c r="G423" s="26"/>
    </row>
    <row r="424" spans="1:7" ht="15" customHeight="1">
      <c r="B424" s="13">
        <v>45909</v>
      </c>
      <c r="C424" s="14" t="s">
        <v>28</v>
      </c>
      <c r="D424" s="21">
        <v>0</v>
      </c>
      <c r="E424" s="21">
        <v>9999</v>
      </c>
      <c r="F424" s="22">
        <f t="shared" si="82"/>
        <v>121133.903792</v>
      </c>
    </row>
    <row r="425" spans="1:7" ht="15" customHeight="1">
      <c r="B425" s="13">
        <v>45910</v>
      </c>
      <c r="C425" s="14" t="s">
        <v>49</v>
      </c>
      <c r="D425" s="21">
        <v>0</v>
      </c>
      <c r="E425" s="21">
        <v>1575</v>
      </c>
      <c r="F425" s="22">
        <f t="shared" si="82"/>
        <v>122708.903792</v>
      </c>
    </row>
    <row r="426" spans="1:7" ht="15" customHeight="1">
      <c r="B426" s="13">
        <v>45910</v>
      </c>
      <c r="C426" s="14" t="s">
        <v>45</v>
      </c>
      <c r="D426" s="21">
        <v>0</v>
      </c>
      <c r="E426" s="21">
        <v>19926</v>
      </c>
      <c r="F426" s="22">
        <f t="shared" si="82"/>
        <v>142634.903792</v>
      </c>
    </row>
    <row r="427" spans="1:7" ht="15" customHeight="1">
      <c r="B427" s="13">
        <v>45910</v>
      </c>
      <c r="C427" s="14" t="s">
        <v>60</v>
      </c>
      <c r="D427" s="21">
        <v>0</v>
      </c>
      <c r="E427" s="21">
        <v>339.6</v>
      </c>
      <c r="F427" s="22">
        <f t="shared" si="82"/>
        <v>142974.503792</v>
      </c>
    </row>
    <row r="428" spans="1:7" ht="15" customHeight="1">
      <c r="A428" s="19">
        <v>45908</v>
      </c>
      <c r="B428" s="19">
        <v>45910</v>
      </c>
      <c r="C428" s="23" t="s">
        <v>107</v>
      </c>
      <c r="D428" s="24">
        <v>0</v>
      </c>
      <c r="E428" s="15">
        <v>116740.86</v>
      </c>
      <c r="F428" s="22">
        <f t="shared" si="82"/>
        <v>259715.36379199999</v>
      </c>
      <c r="G428" s="26"/>
    </row>
    <row r="429" spans="1:7" ht="15" customHeight="1">
      <c r="A429" s="19">
        <v>45908</v>
      </c>
      <c r="B429" s="19">
        <v>45910</v>
      </c>
      <c r="C429" s="23" t="s">
        <v>72</v>
      </c>
      <c r="D429" s="24">
        <v>0</v>
      </c>
      <c r="E429" s="15">
        <v>27139.52</v>
      </c>
      <c r="F429" s="22">
        <f t="shared" si="82"/>
        <v>286854.88379200001</v>
      </c>
      <c r="G429" s="26"/>
    </row>
    <row r="430" spans="1:7" ht="15" customHeight="1">
      <c r="A430" s="19">
        <v>45908</v>
      </c>
      <c r="B430" s="19">
        <v>45910</v>
      </c>
      <c r="C430" s="20" t="s">
        <v>11</v>
      </c>
      <c r="D430" s="21">
        <v>14.98</v>
      </c>
      <c r="E430" s="21">
        <v>0</v>
      </c>
      <c r="F430" s="22">
        <f t="shared" si="82"/>
        <v>286839.90379200003</v>
      </c>
      <c r="G430" s="26"/>
    </row>
    <row r="431" spans="1:7" ht="15" customHeight="1">
      <c r="A431" s="19"/>
      <c r="B431" s="19">
        <v>45910</v>
      </c>
      <c r="C431" s="23" t="s">
        <v>78</v>
      </c>
      <c r="D431" s="24">
        <v>0</v>
      </c>
      <c r="E431" s="27">
        <v>0.59</v>
      </c>
      <c r="F431" s="22">
        <f t="shared" ref="F431:F439" si="83">F430-D431+E431</f>
        <v>286840.49379199999</v>
      </c>
      <c r="G431" s="26"/>
    </row>
    <row r="432" spans="1:7" ht="15" customHeight="1">
      <c r="B432" s="13">
        <v>45911</v>
      </c>
      <c r="C432" s="14" t="s">
        <v>56</v>
      </c>
      <c r="D432" s="21">
        <v>0</v>
      </c>
      <c r="E432" s="21">
        <v>1134</v>
      </c>
      <c r="F432" s="22">
        <f t="shared" si="83"/>
        <v>287974.49379199999</v>
      </c>
    </row>
    <row r="433" spans="1:7" ht="15" customHeight="1">
      <c r="B433" s="13">
        <v>45911</v>
      </c>
      <c r="C433" s="14" t="s">
        <v>30</v>
      </c>
      <c r="D433" s="21">
        <v>0</v>
      </c>
      <c r="E433" s="21">
        <v>12202.65</v>
      </c>
      <c r="F433" s="22">
        <f t="shared" si="83"/>
        <v>300177.14379200002</v>
      </c>
    </row>
    <row r="434" spans="1:7" ht="15" customHeight="1">
      <c r="B434" s="13">
        <v>45911</v>
      </c>
      <c r="C434" s="14" t="s">
        <v>31</v>
      </c>
      <c r="D434" s="21">
        <v>0</v>
      </c>
      <c r="E434" s="21">
        <v>16075.71</v>
      </c>
      <c r="F434" s="22">
        <f t="shared" si="83"/>
        <v>316252.85379199998</v>
      </c>
    </row>
    <row r="435" spans="1:7" ht="15" customHeight="1">
      <c r="B435" s="13">
        <v>45911</v>
      </c>
      <c r="C435" s="14" t="s">
        <v>113</v>
      </c>
      <c r="D435" s="21">
        <v>0</v>
      </c>
      <c r="E435" s="21">
        <v>3468.1</v>
      </c>
      <c r="F435" s="22">
        <f t="shared" si="83"/>
        <v>319720.95379200001</v>
      </c>
    </row>
    <row r="436" spans="1:7" ht="15" customHeight="1">
      <c r="B436" s="13">
        <v>45911</v>
      </c>
      <c r="C436" s="14" t="s">
        <v>114</v>
      </c>
      <c r="D436" s="21">
        <v>5937.36</v>
      </c>
      <c r="E436" s="21">
        <v>0</v>
      </c>
      <c r="F436" s="22">
        <f t="shared" si="83"/>
        <v>313783.59379200003</v>
      </c>
    </row>
    <row r="437" spans="1:7" ht="15" customHeight="1">
      <c r="A437" s="19">
        <v>45909</v>
      </c>
      <c r="B437" s="19">
        <v>45911</v>
      </c>
      <c r="C437" s="23" t="s">
        <v>107</v>
      </c>
      <c r="D437" s="24">
        <v>116256.93</v>
      </c>
      <c r="E437" s="15">
        <v>0</v>
      </c>
      <c r="F437" s="22">
        <f t="shared" si="83"/>
        <v>197526.66379200001</v>
      </c>
      <c r="G437" s="26"/>
    </row>
    <row r="438" spans="1:7" ht="15" customHeight="1">
      <c r="A438" s="19">
        <v>45909</v>
      </c>
      <c r="B438" s="19">
        <v>45911</v>
      </c>
      <c r="C438" s="20" t="s">
        <v>11</v>
      </c>
      <c r="D438" s="21">
        <v>14.98</v>
      </c>
      <c r="E438" s="21">
        <v>0</v>
      </c>
      <c r="F438" s="22">
        <f t="shared" si="83"/>
        <v>197511.683792</v>
      </c>
      <c r="G438" s="26"/>
    </row>
    <row r="439" spans="1:7" ht="15" customHeight="1">
      <c r="A439" s="19"/>
      <c r="B439" s="19">
        <v>45911</v>
      </c>
      <c r="C439" s="23" t="s">
        <v>115</v>
      </c>
      <c r="D439" s="24">
        <v>1440</v>
      </c>
      <c r="E439" s="27">
        <v>0</v>
      </c>
      <c r="F439" s="22">
        <f t="shared" si="83"/>
        <v>196071.683792</v>
      </c>
      <c r="G439" s="26"/>
    </row>
    <row r="440" spans="1:7" ht="15" customHeight="1">
      <c r="B440" s="13">
        <v>45912</v>
      </c>
      <c r="C440" s="14" t="s">
        <v>55</v>
      </c>
      <c r="D440" s="21">
        <v>0</v>
      </c>
      <c r="E440" s="21">
        <v>540</v>
      </c>
      <c r="F440" s="22">
        <f t="shared" ref="F440:F442" si="84">F439-D440+E440</f>
        <v>196611.683792</v>
      </c>
    </row>
    <row r="441" spans="1:7" ht="15" customHeight="1">
      <c r="B441" s="13">
        <v>45912</v>
      </c>
      <c r="C441" s="14" t="s">
        <v>46</v>
      </c>
      <c r="D441" s="21">
        <v>0</v>
      </c>
      <c r="E441" s="21">
        <v>907.2</v>
      </c>
      <c r="F441" s="22">
        <f t="shared" si="84"/>
        <v>197518.88379200001</v>
      </c>
    </row>
    <row r="442" spans="1:7" ht="15" customHeight="1">
      <c r="B442" s="13">
        <v>45912</v>
      </c>
      <c r="C442" s="14" t="s">
        <v>116</v>
      </c>
      <c r="D442" s="21">
        <v>0</v>
      </c>
      <c r="E442" s="21">
        <v>4500</v>
      </c>
      <c r="F442" s="22">
        <f t="shared" si="84"/>
        <v>202018.88379200001</v>
      </c>
    </row>
    <row r="443" spans="1:7" ht="15" customHeight="1">
      <c r="B443" s="13">
        <v>45912</v>
      </c>
      <c r="C443" s="14" t="s">
        <v>61</v>
      </c>
      <c r="D443" s="21">
        <v>0</v>
      </c>
      <c r="E443" s="21">
        <v>324</v>
      </c>
      <c r="F443" s="22">
        <f t="shared" ref="F443:F445" si="85">F442-D443+E443</f>
        <v>202342.88379200001</v>
      </c>
    </row>
    <row r="444" spans="1:7" ht="15" customHeight="1">
      <c r="B444" s="19">
        <v>45913</v>
      </c>
      <c r="C444" s="20" t="s">
        <v>16</v>
      </c>
      <c r="D444" s="21">
        <v>20</v>
      </c>
      <c r="E444" s="21">
        <v>0</v>
      </c>
      <c r="F444" s="22">
        <f t="shared" si="85"/>
        <v>202322.88379200001</v>
      </c>
    </row>
    <row r="445" spans="1:7" ht="15" customHeight="1">
      <c r="B445" s="13">
        <v>45915</v>
      </c>
      <c r="C445" s="14" t="s">
        <v>38</v>
      </c>
      <c r="D445" s="21">
        <v>0</v>
      </c>
      <c r="E445" s="21">
        <v>5962.5</v>
      </c>
      <c r="F445" s="22">
        <f t="shared" si="85"/>
        <v>208285.38379200001</v>
      </c>
    </row>
    <row r="446" spans="1:7" ht="15" customHeight="1">
      <c r="B446" s="13">
        <v>45915</v>
      </c>
      <c r="C446" s="14" t="s">
        <v>34</v>
      </c>
      <c r="D446" s="21">
        <v>0</v>
      </c>
      <c r="E446" s="21">
        <v>2256</v>
      </c>
      <c r="F446" s="22">
        <f t="shared" ref="F446:F470" si="86">F445-D446+E446</f>
        <v>210541.38379200001</v>
      </c>
    </row>
    <row r="447" spans="1:7" ht="15" customHeight="1">
      <c r="A447" s="19">
        <v>45911</v>
      </c>
      <c r="B447" s="19">
        <v>45915</v>
      </c>
      <c r="C447" s="23" t="s">
        <v>107</v>
      </c>
      <c r="D447" s="24">
        <v>0</v>
      </c>
      <c r="E447" s="15">
        <v>116740.86</v>
      </c>
      <c r="F447" s="22">
        <f t="shared" si="86"/>
        <v>327282.24379199999</v>
      </c>
      <c r="G447" s="26"/>
    </row>
    <row r="448" spans="1:7" ht="15" customHeight="1">
      <c r="A448" s="19">
        <v>45911</v>
      </c>
      <c r="B448" s="19">
        <v>45915</v>
      </c>
      <c r="C448" s="20" t="s">
        <v>11</v>
      </c>
      <c r="D448" s="21">
        <v>14.98</v>
      </c>
      <c r="E448" s="21">
        <v>0</v>
      </c>
      <c r="F448" s="22">
        <f t="shared" si="86"/>
        <v>327267.26379200001</v>
      </c>
      <c r="G448" s="26"/>
    </row>
    <row r="449" spans="1:7" ht="15" customHeight="1">
      <c r="A449" s="19" t="s">
        <v>6</v>
      </c>
      <c r="B449" s="19">
        <v>45915</v>
      </c>
      <c r="C449" s="20" t="s">
        <v>18</v>
      </c>
      <c r="D449" s="21">
        <v>432</v>
      </c>
      <c r="E449" s="21">
        <v>0</v>
      </c>
      <c r="F449" s="22">
        <f t="shared" si="86"/>
        <v>326835.26379200001</v>
      </c>
    </row>
    <row r="450" spans="1:7" ht="15" customHeight="1">
      <c r="A450" s="19">
        <v>45915</v>
      </c>
      <c r="B450" s="19">
        <v>45917</v>
      </c>
      <c r="C450" s="23" t="s">
        <v>107</v>
      </c>
      <c r="D450" s="24">
        <v>0</v>
      </c>
      <c r="E450" s="15">
        <v>102771.87</v>
      </c>
      <c r="F450" s="22">
        <f t="shared" si="86"/>
        <v>429607.13379200001</v>
      </c>
      <c r="G450" s="26"/>
    </row>
    <row r="451" spans="1:7" ht="15" customHeight="1">
      <c r="A451" s="19">
        <v>45915</v>
      </c>
      <c r="B451" s="19">
        <v>45917</v>
      </c>
      <c r="C451" s="23" t="s">
        <v>62</v>
      </c>
      <c r="D451" s="24">
        <v>0</v>
      </c>
      <c r="E451" s="15">
        <v>48392.57</v>
      </c>
      <c r="F451" s="22">
        <f t="shared" si="86"/>
        <v>477999.70379200001</v>
      </c>
      <c r="G451" s="26"/>
    </row>
    <row r="452" spans="1:7" ht="15" customHeight="1">
      <c r="A452" s="19">
        <v>45915</v>
      </c>
      <c r="B452" s="19">
        <v>45917</v>
      </c>
      <c r="C452" s="20" t="s">
        <v>11</v>
      </c>
      <c r="D452" s="21">
        <v>14.98</v>
      </c>
      <c r="E452" s="21">
        <v>0</v>
      </c>
      <c r="F452" s="22">
        <f t="shared" si="86"/>
        <v>477984.72379199998</v>
      </c>
      <c r="G452" s="26"/>
    </row>
    <row r="453" spans="1:7" ht="15" customHeight="1">
      <c r="A453" s="19">
        <v>45916</v>
      </c>
      <c r="B453" s="19">
        <v>45918</v>
      </c>
      <c r="C453" s="23" t="s">
        <v>107</v>
      </c>
      <c r="D453" s="24">
        <v>117760.26</v>
      </c>
      <c r="E453" s="15">
        <v>0</v>
      </c>
      <c r="F453" s="22">
        <f t="shared" si="86"/>
        <v>360224.46379200002</v>
      </c>
      <c r="G453" s="26"/>
    </row>
    <row r="454" spans="1:7" ht="15" customHeight="1">
      <c r="A454" s="19">
        <v>45916</v>
      </c>
      <c r="B454" s="19">
        <v>45918</v>
      </c>
      <c r="C454" s="20" t="s">
        <v>11</v>
      </c>
      <c r="D454" s="21">
        <v>14.98</v>
      </c>
      <c r="E454" s="21">
        <v>0</v>
      </c>
      <c r="F454" s="22">
        <f t="shared" si="86"/>
        <v>360209.48379199998</v>
      </c>
      <c r="G454" s="26"/>
    </row>
    <row r="455" spans="1:7" ht="15" customHeight="1">
      <c r="A455" s="19">
        <v>45917</v>
      </c>
      <c r="B455" s="19">
        <v>45919</v>
      </c>
      <c r="C455" s="23" t="s">
        <v>107</v>
      </c>
      <c r="D455" s="24">
        <v>116758.04</v>
      </c>
      <c r="E455" s="15">
        <v>0</v>
      </c>
      <c r="F455" s="22">
        <f t="shared" si="86"/>
        <v>243451.44379200001</v>
      </c>
      <c r="G455" s="26"/>
    </row>
    <row r="456" spans="1:7" ht="15" customHeight="1">
      <c r="A456" s="19">
        <v>45917</v>
      </c>
      <c r="B456" s="19">
        <v>45919</v>
      </c>
      <c r="C456" s="20" t="s">
        <v>11</v>
      </c>
      <c r="D456" s="21">
        <v>14.98</v>
      </c>
      <c r="E456" s="21">
        <v>0</v>
      </c>
      <c r="F456" s="22">
        <f t="shared" si="86"/>
        <v>243436.463792</v>
      </c>
      <c r="G456" s="26"/>
    </row>
    <row r="457" spans="1:7" ht="15" customHeight="1">
      <c r="A457" s="19">
        <v>45919</v>
      </c>
      <c r="B457" s="19">
        <v>45923</v>
      </c>
      <c r="C457" s="23" t="s">
        <v>110</v>
      </c>
      <c r="D457" s="24">
        <v>82682.73</v>
      </c>
      <c r="E457" s="15">
        <v>0</v>
      </c>
      <c r="F457" s="22">
        <f t="shared" si="86"/>
        <v>160753.73379200001</v>
      </c>
      <c r="G457" s="26"/>
    </row>
    <row r="458" spans="1:7" ht="15" customHeight="1">
      <c r="A458" s="19">
        <v>45919</v>
      </c>
      <c r="B458" s="19">
        <v>45923</v>
      </c>
      <c r="C458" s="20" t="s">
        <v>11</v>
      </c>
      <c r="D458" s="21">
        <v>14.98</v>
      </c>
      <c r="E458" s="21">
        <v>0</v>
      </c>
      <c r="F458" s="22">
        <f t="shared" si="86"/>
        <v>160738.753792</v>
      </c>
      <c r="G458" s="26"/>
    </row>
    <row r="459" spans="1:7" ht="15" customHeight="1">
      <c r="A459" s="19" t="s">
        <v>6</v>
      </c>
      <c r="B459" s="19">
        <v>45932</v>
      </c>
      <c r="C459" s="20" t="s">
        <v>7</v>
      </c>
      <c r="D459" s="21">
        <v>2651.49</v>
      </c>
      <c r="E459" s="21">
        <v>0</v>
      </c>
      <c r="F459" s="22">
        <f t="shared" si="86"/>
        <v>158087.26379200001</v>
      </c>
      <c r="G459" s="26"/>
    </row>
    <row r="460" spans="1:7" ht="15" customHeight="1">
      <c r="A460" s="19">
        <v>45931</v>
      </c>
      <c r="B460" s="19">
        <v>45933</v>
      </c>
      <c r="C460" s="23" t="s">
        <v>72</v>
      </c>
      <c r="D460" s="24">
        <v>26258.03</v>
      </c>
      <c r="E460" s="15">
        <v>0</v>
      </c>
      <c r="F460" s="22">
        <f t="shared" si="86"/>
        <v>131829.23379200001</v>
      </c>
      <c r="G460" s="26"/>
    </row>
    <row r="461" spans="1:7" ht="15" customHeight="1">
      <c r="A461" s="19">
        <v>45931</v>
      </c>
      <c r="B461" s="19">
        <v>45933</v>
      </c>
      <c r="C461" s="20" t="s">
        <v>11</v>
      </c>
      <c r="D461" s="21">
        <v>14.98</v>
      </c>
      <c r="E461" s="21">
        <v>0</v>
      </c>
      <c r="F461" s="22">
        <f t="shared" si="86"/>
        <v>131814.253792</v>
      </c>
      <c r="G461" s="26"/>
    </row>
    <row r="462" spans="1:7" ht="15" customHeight="1">
      <c r="A462" s="19"/>
      <c r="B462" s="19">
        <v>45938</v>
      </c>
      <c r="C462" s="20" t="s">
        <v>21</v>
      </c>
      <c r="D462" s="21">
        <v>2564.5300000000002</v>
      </c>
      <c r="E462" s="21">
        <v>0</v>
      </c>
      <c r="F462" s="22">
        <f t="shared" si="86"/>
        <v>129249.723792</v>
      </c>
      <c r="G462" s="26"/>
    </row>
    <row r="463" spans="1:7" ht="15" customHeight="1">
      <c r="A463" s="19">
        <v>45936</v>
      </c>
      <c r="B463" s="19">
        <v>45938</v>
      </c>
      <c r="C463" s="23" t="s">
        <v>106</v>
      </c>
      <c r="D463" s="24">
        <v>78172.759999999995</v>
      </c>
      <c r="E463" s="15">
        <v>0</v>
      </c>
      <c r="F463" s="22">
        <f t="shared" si="86"/>
        <v>51076.963792000402</v>
      </c>
      <c r="G463" s="26"/>
    </row>
    <row r="464" spans="1:7" ht="15" customHeight="1">
      <c r="A464" s="19">
        <v>45936</v>
      </c>
      <c r="B464" s="19">
        <v>45938</v>
      </c>
      <c r="C464" s="20" t="s">
        <v>11</v>
      </c>
      <c r="D464" s="21">
        <v>14.98</v>
      </c>
      <c r="E464" s="21">
        <v>0</v>
      </c>
      <c r="F464" s="22">
        <f t="shared" si="86"/>
        <v>51061.983792000399</v>
      </c>
      <c r="G464" s="26"/>
    </row>
    <row r="465" spans="1:7" ht="15" customHeight="1">
      <c r="A465" s="19">
        <v>45937</v>
      </c>
      <c r="B465" s="19">
        <v>45939</v>
      </c>
      <c r="C465" s="23" t="s">
        <v>105</v>
      </c>
      <c r="D465" s="24">
        <v>0</v>
      </c>
      <c r="E465" s="15">
        <v>79323.91</v>
      </c>
      <c r="F465" s="22">
        <f t="shared" si="86"/>
        <v>130385.893792</v>
      </c>
      <c r="G465" s="26"/>
    </row>
    <row r="466" spans="1:7" ht="15" customHeight="1">
      <c r="A466" s="19">
        <v>45937</v>
      </c>
      <c r="B466" s="19">
        <v>45939</v>
      </c>
      <c r="C466" s="20" t="s">
        <v>11</v>
      </c>
      <c r="D466" s="21">
        <v>14.98</v>
      </c>
      <c r="E466" s="21">
        <v>0</v>
      </c>
      <c r="F466" s="22">
        <f t="shared" si="86"/>
        <v>130370.91379200001</v>
      </c>
      <c r="G466" s="26"/>
    </row>
    <row r="467" spans="1:7" ht="15" customHeight="1">
      <c r="B467" s="19">
        <v>45941</v>
      </c>
      <c r="C467" s="20" t="s">
        <v>16</v>
      </c>
      <c r="D467" s="21">
        <v>20</v>
      </c>
      <c r="E467" s="21">
        <v>0</v>
      </c>
      <c r="F467" s="22">
        <f t="shared" si="86"/>
        <v>130350.91379200001</v>
      </c>
    </row>
    <row r="468" spans="1:7" ht="15" customHeight="1">
      <c r="A468" s="19">
        <v>45944</v>
      </c>
      <c r="B468" s="19">
        <v>45946</v>
      </c>
      <c r="C468" s="23" t="s">
        <v>65</v>
      </c>
      <c r="D468" s="24">
        <v>30868.22</v>
      </c>
      <c r="E468" s="15">
        <v>0</v>
      </c>
      <c r="F468" s="22">
        <f t="shared" si="86"/>
        <v>99482.693792000398</v>
      </c>
      <c r="G468" s="26"/>
    </row>
    <row r="469" spans="1:7" ht="15" customHeight="1">
      <c r="A469" s="19">
        <v>45944</v>
      </c>
      <c r="B469" s="19">
        <v>45946</v>
      </c>
      <c r="C469" s="20" t="s">
        <v>11</v>
      </c>
      <c r="D469" s="21">
        <v>14.98</v>
      </c>
      <c r="E469" s="21">
        <v>0</v>
      </c>
      <c r="F469" s="22">
        <f t="shared" si="86"/>
        <v>99467.713792000402</v>
      </c>
      <c r="G469" s="26"/>
    </row>
    <row r="470" spans="1:7" ht="15" customHeight="1">
      <c r="B470" s="13">
        <v>45947</v>
      </c>
      <c r="C470" s="14" t="s">
        <v>117</v>
      </c>
      <c r="D470" s="21">
        <v>0</v>
      </c>
      <c r="E470" s="21">
        <v>6075</v>
      </c>
      <c r="F470" s="22">
        <f t="shared" si="86"/>
        <v>105542.713792</v>
      </c>
    </row>
    <row r="471" spans="1:7" ht="15" customHeight="1">
      <c r="A471" s="19" t="s">
        <v>6</v>
      </c>
      <c r="B471" s="19">
        <v>45947</v>
      </c>
      <c r="C471" s="20" t="s">
        <v>18</v>
      </c>
      <c r="D471" s="21">
        <v>432</v>
      </c>
      <c r="E471" s="21">
        <v>0</v>
      </c>
      <c r="F471" s="22">
        <f t="shared" ref="F471:F473" si="87">F470-D471+E471</f>
        <v>105110.713792</v>
      </c>
    </row>
    <row r="472" spans="1:7" ht="15" customHeight="1">
      <c r="A472" s="19">
        <v>45946</v>
      </c>
      <c r="B472" s="19">
        <v>45950</v>
      </c>
      <c r="C472" s="23" t="s">
        <v>110</v>
      </c>
      <c r="D472" s="24">
        <v>77671.66</v>
      </c>
      <c r="E472" s="15">
        <v>0</v>
      </c>
      <c r="F472" s="22">
        <f t="shared" si="87"/>
        <v>27439.053792000399</v>
      </c>
      <c r="G472" s="26"/>
    </row>
    <row r="473" spans="1:7" ht="15" customHeight="1">
      <c r="A473" s="19">
        <v>45946</v>
      </c>
      <c r="B473" s="19">
        <v>45950</v>
      </c>
      <c r="C473" s="20" t="s">
        <v>11</v>
      </c>
      <c r="D473" s="21">
        <v>14.98</v>
      </c>
      <c r="E473" s="21">
        <v>0</v>
      </c>
      <c r="F473" s="22">
        <f t="shared" si="87"/>
        <v>27424.073792000399</v>
      </c>
      <c r="G473" s="26"/>
    </row>
    <row r="474" spans="1:7" ht="15" customHeight="1">
      <c r="A474" s="19">
        <v>45953</v>
      </c>
      <c r="B474" s="19">
        <v>45955</v>
      </c>
      <c r="C474" s="23" t="s">
        <v>110</v>
      </c>
      <c r="D474" s="24">
        <v>0</v>
      </c>
      <c r="E474" s="15">
        <v>77936.98</v>
      </c>
      <c r="F474" s="22">
        <f t="shared" ref="F474:F476" si="88">F473-D474+E474</f>
        <v>105361.05379200001</v>
      </c>
      <c r="G474" s="26"/>
    </row>
    <row r="475" spans="1:7" ht="15" customHeight="1">
      <c r="A475" s="19"/>
      <c r="B475" s="19">
        <v>45962</v>
      </c>
      <c r="C475" s="20" t="s">
        <v>7</v>
      </c>
      <c r="D475" s="21">
        <v>1391.7</v>
      </c>
      <c r="E475" s="21">
        <v>0</v>
      </c>
      <c r="F475" s="22">
        <f t="shared" si="88"/>
        <v>103969.35379199999</v>
      </c>
      <c r="G475" s="26"/>
    </row>
    <row r="476" spans="1:7" ht="15" customHeight="1">
      <c r="A476" s="19" t="s">
        <v>6</v>
      </c>
      <c r="B476" s="19">
        <v>45966</v>
      </c>
      <c r="C476" s="23" t="s">
        <v>118</v>
      </c>
      <c r="D476" s="24">
        <v>30000</v>
      </c>
      <c r="E476" s="27">
        <v>0</v>
      </c>
      <c r="F476" s="22">
        <f t="shared" si="88"/>
        <v>73969.353792000402</v>
      </c>
      <c r="G476" s="26"/>
    </row>
    <row r="477" spans="1:7" ht="15" customHeight="1">
      <c r="A477" s="19" t="s">
        <v>6</v>
      </c>
      <c r="B477" s="19">
        <v>45967</v>
      </c>
      <c r="C477" s="23" t="s">
        <v>24</v>
      </c>
      <c r="D477" s="24">
        <v>1000</v>
      </c>
      <c r="E477" s="27">
        <v>0</v>
      </c>
      <c r="F477" s="22">
        <f t="shared" ref="F477:F508" si="89">F476-D477+E477</f>
        <v>72969.353792000402</v>
      </c>
      <c r="G477" s="26"/>
    </row>
    <row r="478" spans="1:7" ht="15" customHeight="1">
      <c r="B478" s="19">
        <v>45986</v>
      </c>
      <c r="C478" s="20" t="s">
        <v>16</v>
      </c>
      <c r="D478" s="21">
        <v>20</v>
      </c>
      <c r="E478" s="21">
        <v>0</v>
      </c>
      <c r="F478" s="22">
        <f t="shared" si="89"/>
        <v>72949.353792000402</v>
      </c>
    </row>
    <row r="479" spans="1:7" ht="15" customHeight="1">
      <c r="A479" s="19" t="s">
        <v>6</v>
      </c>
      <c r="B479" s="19">
        <v>45986</v>
      </c>
      <c r="C479" s="20" t="s">
        <v>18</v>
      </c>
      <c r="D479" s="21">
        <v>432</v>
      </c>
      <c r="E479" s="21">
        <v>0</v>
      </c>
      <c r="F479" s="22">
        <f t="shared" si="89"/>
        <v>72517.353792000402</v>
      </c>
    </row>
    <row r="480" spans="1:7" ht="15" customHeight="1">
      <c r="A480" s="19"/>
      <c r="B480" s="19">
        <v>46016</v>
      </c>
      <c r="C480" s="20" t="s">
        <v>7</v>
      </c>
      <c r="D480" s="21">
        <v>221.58</v>
      </c>
      <c r="E480" s="21">
        <v>0</v>
      </c>
      <c r="F480" s="22">
        <f t="shared" si="89"/>
        <v>72295.7737920004</v>
      </c>
      <c r="G480" s="26"/>
    </row>
    <row r="481" spans="1:7" ht="15" customHeight="1">
      <c r="A481" s="19" t="s">
        <v>6</v>
      </c>
      <c r="B481" s="19">
        <v>46016</v>
      </c>
      <c r="C481" s="23" t="s">
        <v>73</v>
      </c>
      <c r="D481" s="24">
        <v>41100</v>
      </c>
      <c r="E481" s="27">
        <v>0</v>
      </c>
      <c r="F481" s="29">
        <f t="shared" si="89"/>
        <v>31195.7737920004</v>
      </c>
      <c r="G481" s="26"/>
    </row>
    <row r="482" spans="1:7" ht="15" customHeight="1">
      <c r="A482" s="19" t="s">
        <v>6</v>
      </c>
      <c r="B482" s="19">
        <v>46016</v>
      </c>
      <c r="C482" s="23" t="s">
        <v>73</v>
      </c>
      <c r="D482" s="24">
        <v>2000</v>
      </c>
      <c r="E482" s="27">
        <v>0</v>
      </c>
      <c r="F482" s="22">
        <f t="shared" si="89"/>
        <v>29195.7737920004</v>
      </c>
      <c r="G482" s="26"/>
    </row>
    <row r="483" spans="1:7" ht="15" customHeight="1">
      <c r="B483" s="13">
        <v>45995</v>
      </c>
      <c r="C483" s="14" t="s">
        <v>53</v>
      </c>
      <c r="D483" s="21">
        <v>0</v>
      </c>
      <c r="E483" s="21">
        <v>12825</v>
      </c>
      <c r="F483" s="22">
        <f t="shared" si="89"/>
        <v>42020.7737920004</v>
      </c>
    </row>
    <row r="484" spans="1:7" ht="15" customHeight="1">
      <c r="B484" s="13">
        <v>45995</v>
      </c>
      <c r="C484" s="14" t="s">
        <v>37</v>
      </c>
      <c r="D484" s="21">
        <v>0</v>
      </c>
      <c r="E484" s="21">
        <v>3228.75</v>
      </c>
      <c r="F484" s="22">
        <f t="shared" si="89"/>
        <v>45249.5237920004</v>
      </c>
    </row>
    <row r="485" spans="1:7" ht="15" customHeight="1">
      <c r="B485" s="13">
        <v>45999</v>
      </c>
      <c r="C485" s="14" t="s">
        <v>28</v>
      </c>
      <c r="D485" s="21">
        <v>0</v>
      </c>
      <c r="E485" s="21">
        <v>8999.1</v>
      </c>
      <c r="F485" s="22">
        <f t="shared" si="89"/>
        <v>54248.623792000399</v>
      </c>
    </row>
    <row r="486" spans="1:7" ht="15" customHeight="1">
      <c r="B486" s="13">
        <v>46002</v>
      </c>
      <c r="C486" s="14" t="s">
        <v>56</v>
      </c>
      <c r="D486" s="21">
        <v>0</v>
      </c>
      <c r="E486" s="21">
        <v>1134</v>
      </c>
      <c r="F486" s="22">
        <f t="shared" si="89"/>
        <v>55382.623792000399</v>
      </c>
    </row>
    <row r="487" spans="1:7" ht="15" customHeight="1">
      <c r="B487" s="13">
        <v>46002</v>
      </c>
      <c r="C487" s="14" t="s">
        <v>31</v>
      </c>
      <c r="D487" s="21">
        <v>0</v>
      </c>
      <c r="E487" s="21">
        <v>16266.1</v>
      </c>
      <c r="F487" s="22">
        <f t="shared" si="89"/>
        <v>71648.723792000397</v>
      </c>
    </row>
    <row r="488" spans="1:7" ht="15" customHeight="1">
      <c r="B488" s="13">
        <v>46002</v>
      </c>
      <c r="C488" s="14" t="s">
        <v>35</v>
      </c>
      <c r="D488" s="21">
        <v>0</v>
      </c>
      <c r="E488" s="21">
        <v>3474</v>
      </c>
      <c r="F488" s="22">
        <f t="shared" si="89"/>
        <v>75122.723792000397</v>
      </c>
    </row>
    <row r="489" spans="1:7" ht="15" customHeight="1">
      <c r="B489" s="13">
        <v>46002</v>
      </c>
      <c r="C489" s="14" t="s">
        <v>79</v>
      </c>
      <c r="D489" s="21">
        <v>0</v>
      </c>
      <c r="E489" s="21">
        <v>795.6</v>
      </c>
      <c r="F489" s="22">
        <f t="shared" si="89"/>
        <v>75918.323792000403</v>
      </c>
    </row>
    <row r="490" spans="1:7" ht="15" customHeight="1">
      <c r="B490" s="13">
        <v>46002</v>
      </c>
      <c r="C490" s="14" t="s">
        <v>31</v>
      </c>
      <c r="D490" s="21">
        <v>0</v>
      </c>
      <c r="E490" s="21">
        <v>4913.01</v>
      </c>
      <c r="F490" s="22">
        <f t="shared" si="89"/>
        <v>80831.333792000398</v>
      </c>
    </row>
    <row r="491" spans="1:7" ht="15" customHeight="1">
      <c r="B491" s="13">
        <v>46002</v>
      </c>
      <c r="C491" s="14" t="s">
        <v>32</v>
      </c>
      <c r="D491" s="21">
        <v>6434.16</v>
      </c>
      <c r="E491" s="21">
        <v>0</v>
      </c>
      <c r="F491" s="22">
        <f t="shared" si="89"/>
        <v>74397.173792000394</v>
      </c>
    </row>
    <row r="492" spans="1:7" ht="15" customHeight="1">
      <c r="B492" s="19">
        <v>46004</v>
      </c>
      <c r="C492" s="20" t="s">
        <v>16</v>
      </c>
      <c r="D492" s="21">
        <v>20</v>
      </c>
      <c r="E492" s="21">
        <v>0</v>
      </c>
      <c r="F492" s="22">
        <f t="shared" si="89"/>
        <v>74377.173792000394</v>
      </c>
    </row>
    <row r="493" spans="1:7" ht="15" customHeight="1">
      <c r="B493" s="13">
        <v>46006</v>
      </c>
      <c r="C493" s="14" t="s">
        <v>57</v>
      </c>
      <c r="D493" s="21">
        <v>0</v>
      </c>
      <c r="E493" s="21">
        <v>945</v>
      </c>
      <c r="F493" s="22">
        <f t="shared" si="89"/>
        <v>75322.173792000394</v>
      </c>
    </row>
    <row r="494" spans="1:7" ht="15" customHeight="1">
      <c r="A494" s="19" t="s">
        <v>6</v>
      </c>
      <c r="B494" s="19">
        <v>46006</v>
      </c>
      <c r="C494" s="20" t="s">
        <v>18</v>
      </c>
      <c r="D494" s="21">
        <v>432</v>
      </c>
      <c r="E494" s="21">
        <v>0</v>
      </c>
      <c r="F494" s="22">
        <f t="shared" si="89"/>
        <v>74890.173792000394</v>
      </c>
    </row>
    <row r="495" spans="1:7" ht="15" customHeight="1">
      <c r="B495" s="13">
        <v>46008</v>
      </c>
      <c r="C495" s="14" t="s">
        <v>119</v>
      </c>
      <c r="D495" s="15">
        <v>0</v>
      </c>
      <c r="E495" s="21">
        <v>4840</v>
      </c>
      <c r="F495" s="22">
        <f t="shared" si="89"/>
        <v>79730.173792000394</v>
      </c>
    </row>
    <row r="496" spans="1:7" ht="15" customHeight="1">
      <c r="B496" s="13">
        <v>46013</v>
      </c>
      <c r="C496" s="14" t="s">
        <v>38</v>
      </c>
      <c r="D496" s="21">
        <v>0</v>
      </c>
      <c r="E496" s="21">
        <v>5962.5</v>
      </c>
      <c r="F496" s="22">
        <f t="shared" si="89"/>
        <v>85692.673792000394</v>
      </c>
    </row>
    <row r="497" spans="1:8" ht="15" customHeight="1">
      <c r="B497" s="13">
        <v>46013</v>
      </c>
      <c r="C497" s="14" t="s">
        <v>33</v>
      </c>
      <c r="D497" s="21">
        <v>0</v>
      </c>
      <c r="E497" s="21">
        <v>18525.240000000002</v>
      </c>
      <c r="F497" s="22">
        <f t="shared" si="89"/>
        <v>104217.91379200001</v>
      </c>
    </row>
    <row r="498" spans="1:8" ht="15" customHeight="1">
      <c r="B498" s="13">
        <v>46013</v>
      </c>
      <c r="C498" s="14" t="s">
        <v>21</v>
      </c>
      <c r="D498" s="21">
        <v>3705.05</v>
      </c>
      <c r="E498" s="21">
        <v>0</v>
      </c>
      <c r="F498" s="22">
        <f t="shared" si="89"/>
        <v>100512.863792</v>
      </c>
    </row>
    <row r="499" spans="1:8" ht="15" customHeight="1">
      <c r="B499" s="13">
        <v>46380</v>
      </c>
      <c r="C499" s="14" t="s">
        <v>30</v>
      </c>
      <c r="D499" s="21">
        <v>0</v>
      </c>
      <c r="E499" s="21">
        <v>11333.25</v>
      </c>
      <c r="F499" s="22">
        <f t="shared" si="89"/>
        <v>111846.113792</v>
      </c>
    </row>
    <row r="500" spans="1:8" ht="15" customHeight="1">
      <c r="B500" s="13">
        <v>46381</v>
      </c>
      <c r="C500" s="14" t="s">
        <v>34</v>
      </c>
      <c r="D500" s="21">
        <v>0</v>
      </c>
      <c r="E500" s="21">
        <v>2280</v>
      </c>
      <c r="F500" s="22">
        <f t="shared" si="89"/>
        <v>114126.113792</v>
      </c>
    </row>
    <row r="501" spans="1:8" ht="15" customHeight="1">
      <c r="A501" s="19"/>
      <c r="B501" s="19">
        <v>46023</v>
      </c>
      <c r="C501" s="20" t="s">
        <v>7</v>
      </c>
      <c r="D501" s="21">
        <v>1516.74</v>
      </c>
      <c r="E501" s="21">
        <v>0</v>
      </c>
      <c r="F501" s="22">
        <f t="shared" si="89"/>
        <v>112609.373792</v>
      </c>
      <c r="G501" s="26"/>
    </row>
    <row r="502" spans="1:8" ht="15" customHeight="1">
      <c r="B502" s="13">
        <v>46028</v>
      </c>
      <c r="C502" s="14" t="s">
        <v>24</v>
      </c>
      <c r="D502" s="15">
        <v>1000</v>
      </c>
      <c r="E502" s="21">
        <v>0</v>
      </c>
      <c r="F502" s="22">
        <f t="shared" si="89"/>
        <v>111609.373792</v>
      </c>
    </row>
    <row r="503" spans="1:8" ht="15" customHeight="1">
      <c r="B503" s="13">
        <v>46028</v>
      </c>
      <c r="C503" s="14" t="s">
        <v>120</v>
      </c>
      <c r="D503" s="21">
        <v>3170</v>
      </c>
      <c r="E503" s="21">
        <v>0</v>
      </c>
      <c r="F503" s="22">
        <f t="shared" si="89"/>
        <v>108439.373792</v>
      </c>
      <c r="H503" s="30"/>
    </row>
    <row r="504" spans="1:8" ht="15" customHeight="1">
      <c r="B504" s="19" t="s">
        <v>121</v>
      </c>
      <c r="C504" s="20" t="s">
        <v>16</v>
      </c>
      <c r="D504" s="21">
        <v>20</v>
      </c>
      <c r="E504" s="21">
        <v>0</v>
      </c>
      <c r="F504" s="22">
        <f t="shared" si="89"/>
        <v>108419.373792</v>
      </c>
    </row>
    <row r="505" spans="1:8" ht="15" customHeight="1">
      <c r="B505" s="13">
        <v>46033</v>
      </c>
      <c r="C505" s="14" t="s">
        <v>122</v>
      </c>
      <c r="D505" s="15">
        <v>250</v>
      </c>
      <c r="E505" s="21">
        <v>0</v>
      </c>
      <c r="F505" s="22">
        <f t="shared" si="89"/>
        <v>108169.373792</v>
      </c>
    </row>
    <row r="506" spans="1:8" ht="15" customHeight="1">
      <c r="B506" s="13">
        <v>46035</v>
      </c>
      <c r="C506" s="14" t="s">
        <v>123</v>
      </c>
      <c r="D506" s="15">
        <v>0</v>
      </c>
      <c r="E506" s="21">
        <v>59946.18</v>
      </c>
      <c r="F506" s="22">
        <f t="shared" si="89"/>
        <v>168115.55379199999</v>
      </c>
    </row>
    <row r="507" spans="1:8" ht="15" customHeight="1">
      <c r="A507" s="19" t="s">
        <v>6</v>
      </c>
      <c r="B507" s="19">
        <v>46037</v>
      </c>
      <c r="C507" s="20" t="s">
        <v>18</v>
      </c>
      <c r="D507" s="21">
        <v>432</v>
      </c>
      <c r="E507" s="21">
        <v>0</v>
      </c>
      <c r="F507" s="22">
        <f t="shared" si="89"/>
        <v>167683.55379199999</v>
      </c>
    </row>
    <row r="508" spans="1:8" ht="15" customHeight="1">
      <c r="B508" s="13">
        <v>46053</v>
      </c>
      <c r="C508" s="14" t="s">
        <v>73</v>
      </c>
      <c r="D508" s="21">
        <v>35300</v>
      </c>
      <c r="E508" s="21">
        <v>0</v>
      </c>
      <c r="F508" s="22">
        <f t="shared" si="89"/>
        <v>132383.55379199999</v>
      </c>
      <c r="H508" s="30"/>
    </row>
    <row r="509" spans="1:8" ht="15" customHeight="1">
      <c r="A509" s="19"/>
      <c r="B509" s="19">
        <v>46054</v>
      </c>
      <c r="C509" s="20" t="s">
        <v>7</v>
      </c>
      <c r="D509" s="21">
        <v>1052.76</v>
      </c>
      <c r="E509" s="21">
        <v>0</v>
      </c>
      <c r="F509" s="22">
        <f t="shared" ref="F509:F515" si="90">F508-D509+E509</f>
        <v>131330.79379200001</v>
      </c>
      <c r="G509" s="26"/>
    </row>
    <row r="510" spans="1:8" ht="15" customHeight="1">
      <c r="B510" s="19">
        <v>46067</v>
      </c>
      <c r="C510" s="20" t="s">
        <v>16</v>
      </c>
      <c r="D510" s="21">
        <v>20</v>
      </c>
      <c r="E510" s="21">
        <v>0</v>
      </c>
      <c r="F510" s="22">
        <f t="shared" si="90"/>
        <v>131310.79379200001</v>
      </c>
    </row>
    <row r="511" spans="1:8" ht="15" customHeight="1">
      <c r="A511" s="19" t="s">
        <v>6</v>
      </c>
      <c r="B511" s="19">
        <v>46068</v>
      </c>
      <c r="C511" s="20" t="s">
        <v>18</v>
      </c>
      <c r="D511" s="21">
        <v>432</v>
      </c>
      <c r="E511" s="21">
        <v>0</v>
      </c>
      <c r="F511" s="22">
        <f t="shared" si="90"/>
        <v>130878.793792</v>
      </c>
    </row>
    <row r="512" spans="1:8" ht="15" customHeight="1">
      <c r="B512" s="19">
        <v>46067</v>
      </c>
      <c r="C512" s="20" t="s">
        <v>24</v>
      </c>
      <c r="D512" s="21">
        <v>5000</v>
      </c>
      <c r="E512" s="21">
        <v>0</v>
      </c>
      <c r="F512" s="22">
        <f t="shared" si="90"/>
        <v>125878.793792</v>
      </c>
    </row>
    <row r="513" spans="1:7" ht="15" customHeight="1">
      <c r="B513" s="19">
        <v>46070</v>
      </c>
      <c r="C513" s="20" t="s">
        <v>24</v>
      </c>
      <c r="D513" s="21">
        <v>5000</v>
      </c>
      <c r="E513" s="21">
        <v>0</v>
      </c>
      <c r="F513" s="22">
        <f t="shared" si="90"/>
        <v>120878.793792</v>
      </c>
    </row>
    <row r="514" spans="1:7" ht="15" customHeight="1">
      <c r="B514" s="19">
        <v>46079</v>
      </c>
      <c r="C514" s="20" t="s">
        <v>124</v>
      </c>
      <c r="D514" s="21">
        <v>11600</v>
      </c>
      <c r="E514" s="21">
        <v>0</v>
      </c>
      <c r="F514" s="22">
        <f t="shared" si="90"/>
        <v>109278.793792</v>
      </c>
    </row>
    <row r="515" spans="1:7" ht="15" customHeight="1">
      <c r="B515" s="13">
        <v>46080</v>
      </c>
      <c r="C515" s="14" t="s">
        <v>125</v>
      </c>
      <c r="D515" s="15">
        <v>0</v>
      </c>
      <c r="E515" s="21">
        <v>14313.6</v>
      </c>
      <c r="F515" s="29">
        <f t="shared" si="90"/>
        <v>123592.393792</v>
      </c>
    </row>
    <row r="516" spans="1:7" ht="15" customHeight="1">
      <c r="B516" s="13">
        <v>46080</v>
      </c>
      <c r="C516" s="14" t="s">
        <v>125</v>
      </c>
      <c r="D516" s="15">
        <v>14313.6</v>
      </c>
      <c r="E516" s="21">
        <v>0</v>
      </c>
      <c r="F516" s="29">
        <f t="shared" ref="F516:F526" si="91">F515-D516+E516</f>
        <v>109278.793792</v>
      </c>
    </row>
    <row r="517" spans="1:7" ht="15" customHeight="1">
      <c r="B517" s="13">
        <v>46083</v>
      </c>
      <c r="C517" s="14" t="s">
        <v>119</v>
      </c>
      <c r="D517" s="15">
        <v>4840</v>
      </c>
      <c r="E517" s="21">
        <v>0</v>
      </c>
      <c r="F517" s="22">
        <f t="shared" si="91"/>
        <v>104438.793792</v>
      </c>
    </row>
    <row r="518" spans="1:7" ht="15" customHeight="1">
      <c r="B518" s="13">
        <v>46085</v>
      </c>
      <c r="C518" s="14" t="s">
        <v>33</v>
      </c>
      <c r="D518" s="21">
        <v>0</v>
      </c>
      <c r="E518" s="21">
        <v>30256.6</v>
      </c>
      <c r="F518" s="22">
        <f t="shared" si="91"/>
        <v>134695.39379199999</v>
      </c>
    </row>
    <row r="519" spans="1:7" ht="15" customHeight="1">
      <c r="B519" s="13">
        <v>46085</v>
      </c>
      <c r="C519" s="14" t="s">
        <v>21</v>
      </c>
      <c r="D519" s="21">
        <v>6051.32</v>
      </c>
      <c r="E519" s="21">
        <v>0</v>
      </c>
      <c r="F519" s="22">
        <f t="shared" si="91"/>
        <v>128644.073792</v>
      </c>
    </row>
    <row r="520" spans="1:7" ht="15" customHeight="1">
      <c r="A520" s="19">
        <v>46080</v>
      </c>
      <c r="B520" s="19">
        <v>46083</v>
      </c>
      <c r="C520" s="23" t="s">
        <v>126</v>
      </c>
      <c r="D520" s="31">
        <v>38084.17</v>
      </c>
      <c r="E520" s="15">
        <v>0</v>
      </c>
      <c r="F520" s="22">
        <f t="shared" si="91"/>
        <v>90559.903792000405</v>
      </c>
      <c r="G520" s="26"/>
    </row>
    <row r="521" spans="1:7" ht="15" customHeight="1">
      <c r="A521" s="19">
        <v>46080</v>
      </c>
      <c r="B521" s="19">
        <v>46083</v>
      </c>
      <c r="C521" s="20" t="s">
        <v>11</v>
      </c>
      <c r="D521" s="21">
        <v>14.98</v>
      </c>
      <c r="E521" s="21">
        <v>0</v>
      </c>
      <c r="F521" s="22">
        <f t="shared" si="91"/>
        <v>90544.923792000394</v>
      </c>
      <c r="G521" s="26"/>
    </row>
    <row r="522" spans="1:7" ht="15" customHeight="1">
      <c r="A522" s="19"/>
      <c r="B522" s="19">
        <v>46085</v>
      </c>
      <c r="C522" s="20" t="s">
        <v>7</v>
      </c>
      <c r="D522" s="21">
        <v>1436.61</v>
      </c>
      <c r="E522" s="21">
        <v>0</v>
      </c>
      <c r="F522" s="22">
        <f t="shared" si="91"/>
        <v>89108.313792000394</v>
      </c>
      <c r="G522" s="26"/>
    </row>
    <row r="523" spans="1:7" ht="15" customHeight="1">
      <c r="A523" s="19">
        <v>46085</v>
      </c>
      <c r="B523" s="19">
        <v>46087</v>
      </c>
      <c r="C523" s="23" t="s">
        <v>71</v>
      </c>
      <c r="D523" s="31">
        <v>0</v>
      </c>
      <c r="E523" s="15">
        <v>193819.76</v>
      </c>
      <c r="F523" s="22">
        <f t="shared" si="91"/>
        <v>282928.07379200001</v>
      </c>
      <c r="G523" s="26"/>
    </row>
    <row r="524" spans="1:7" ht="15" customHeight="1">
      <c r="A524" s="19">
        <v>46085</v>
      </c>
      <c r="B524" s="19">
        <v>46087</v>
      </c>
      <c r="C524" s="23" t="s">
        <v>102</v>
      </c>
      <c r="D524" s="31">
        <v>0</v>
      </c>
      <c r="E524" s="15">
        <v>42405.86</v>
      </c>
      <c r="F524" s="22">
        <f t="shared" si="91"/>
        <v>325333.933792</v>
      </c>
      <c r="G524" s="26"/>
    </row>
    <row r="525" spans="1:7" ht="15" customHeight="1">
      <c r="A525" s="19">
        <v>46085</v>
      </c>
      <c r="B525" s="19">
        <v>46087</v>
      </c>
      <c r="C525" s="23" t="s">
        <v>127</v>
      </c>
      <c r="D525" s="31">
        <v>32571.99</v>
      </c>
      <c r="E525" s="15">
        <v>0</v>
      </c>
      <c r="F525" s="22">
        <f t="shared" si="91"/>
        <v>292761.94379200001</v>
      </c>
      <c r="G525" s="26"/>
    </row>
    <row r="526" spans="1:7" ht="15" customHeight="1">
      <c r="A526" s="19">
        <v>46085</v>
      </c>
      <c r="B526" s="19">
        <v>46087</v>
      </c>
      <c r="C526" s="20" t="s">
        <v>11</v>
      </c>
      <c r="D526" s="21">
        <v>14.98</v>
      </c>
      <c r="E526" s="21">
        <v>0</v>
      </c>
      <c r="F526" s="22">
        <f t="shared" si="91"/>
        <v>292746.96379200002</v>
      </c>
      <c r="G526" s="26"/>
    </row>
    <row r="527" spans="1:7" ht="15" customHeight="1">
      <c r="B527" s="19">
        <v>46090</v>
      </c>
      <c r="C527" s="14" t="s">
        <v>28</v>
      </c>
      <c r="D527" s="21">
        <v>0</v>
      </c>
      <c r="E527" s="21">
        <v>8999.1</v>
      </c>
      <c r="F527" s="22">
        <f t="shared" ref="F527:F531" si="92">F526-D527+E527</f>
        <v>301746.063792</v>
      </c>
    </row>
    <row r="528" spans="1:7" ht="15" customHeight="1">
      <c r="B528" s="19">
        <v>46090</v>
      </c>
      <c r="C528" s="20" t="s">
        <v>73</v>
      </c>
      <c r="D528" s="21">
        <v>12000</v>
      </c>
      <c r="E528" s="21">
        <v>0</v>
      </c>
      <c r="F528" s="22">
        <f t="shared" si="92"/>
        <v>289746.063792</v>
      </c>
    </row>
    <row r="529" spans="1:7" ht="15" customHeight="1">
      <c r="B529" s="19">
        <v>46090</v>
      </c>
      <c r="C529" s="14" t="s">
        <v>97</v>
      </c>
      <c r="D529" s="15">
        <v>12600</v>
      </c>
      <c r="E529" s="21">
        <v>0</v>
      </c>
      <c r="F529" s="29">
        <f t="shared" si="92"/>
        <v>277146.063792</v>
      </c>
    </row>
    <row r="530" spans="1:7" ht="15" customHeight="1">
      <c r="A530" s="19">
        <v>46090</v>
      </c>
      <c r="B530" s="19">
        <v>46092</v>
      </c>
      <c r="C530" s="23" t="s">
        <v>128</v>
      </c>
      <c r="D530" s="31">
        <v>0</v>
      </c>
      <c r="E530" s="15">
        <v>102971.43</v>
      </c>
      <c r="F530" s="22">
        <f t="shared" si="92"/>
        <v>380117.49379199999</v>
      </c>
      <c r="G530" s="26"/>
    </row>
    <row r="531" spans="1:7" ht="15" customHeight="1">
      <c r="A531" s="19">
        <v>46090</v>
      </c>
      <c r="B531" s="19">
        <v>46092</v>
      </c>
      <c r="C531" s="20" t="s">
        <v>11</v>
      </c>
      <c r="D531" s="21">
        <v>14.98</v>
      </c>
      <c r="E531" s="21">
        <v>0</v>
      </c>
      <c r="F531" s="22">
        <f t="shared" si="92"/>
        <v>380102.51379200001</v>
      </c>
      <c r="G531" s="26"/>
    </row>
    <row r="532" spans="1:7" ht="15" customHeight="1">
      <c r="B532" s="19">
        <v>46093</v>
      </c>
      <c r="C532" s="14" t="s">
        <v>30</v>
      </c>
      <c r="D532" s="21">
        <v>0</v>
      </c>
      <c r="E532" s="21">
        <v>11072.43</v>
      </c>
      <c r="F532" s="22">
        <f t="shared" ref="F532:F538" si="93">F531-D532+E532</f>
        <v>391174.94379200001</v>
      </c>
    </row>
    <row r="533" spans="1:7" ht="15" customHeight="1">
      <c r="B533" s="19">
        <v>46095</v>
      </c>
      <c r="C533" s="20" t="s">
        <v>16</v>
      </c>
      <c r="D533" s="21">
        <v>20</v>
      </c>
      <c r="E533" s="21">
        <v>0</v>
      </c>
      <c r="F533" s="22">
        <f t="shared" si="93"/>
        <v>391154.94379200001</v>
      </c>
    </row>
    <row r="534" spans="1:7" ht="15" customHeight="1">
      <c r="A534" s="19" t="s">
        <v>6</v>
      </c>
      <c r="B534" s="19">
        <v>46097</v>
      </c>
      <c r="C534" s="20" t="s">
        <v>18</v>
      </c>
      <c r="D534" s="21">
        <v>432</v>
      </c>
      <c r="E534" s="21">
        <v>0</v>
      </c>
      <c r="F534" s="22">
        <f t="shared" si="93"/>
        <v>390722.94379200001</v>
      </c>
    </row>
    <row r="535" spans="1:7" ht="15" customHeight="1">
      <c r="B535" s="19">
        <v>46099</v>
      </c>
      <c r="C535" s="14" t="s">
        <v>34</v>
      </c>
      <c r="D535" s="21">
        <v>0</v>
      </c>
      <c r="E535" s="21">
        <v>2194.1999999999998</v>
      </c>
      <c r="F535" s="22">
        <f t="shared" si="93"/>
        <v>392917.14379200002</v>
      </c>
    </row>
    <row r="536" spans="1:7" ht="15" customHeight="1">
      <c r="B536" s="19">
        <v>46101</v>
      </c>
      <c r="C536" s="14" t="s">
        <v>35</v>
      </c>
      <c r="D536" s="21">
        <v>0</v>
      </c>
      <c r="E536" s="21">
        <v>2181.6</v>
      </c>
      <c r="F536" s="22">
        <f t="shared" si="93"/>
        <v>395098.74379199999</v>
      </c>
    </row>
    <row r="537" spans="1:7" ht="15" customHeight="1">
      <c r="B537" s="19">
        <v>46101</v>
      </c>
      <c r="C537" s="14" t="s">
        <v>35</v>
      </c>
      <c r="D537" s="21">
        <v>0</v>
      </c>
      <c r="E537" s="21">
        <v>1496</v>
      </c>
      <c r="F537" s="22">
        <f t="shared" si="93"/>
        <v>396594.74379199999</v>
      </c>
      <c r="G537" s="32"/>
    </row>
    <row r="538" spans="1:7" ht="15" customHeight="1">
      <c r="B538" s="19">
        <v>46101</v>
      </c>
      <c r="C538" s="20" t="s">
        <v>91</v>
      </c>
      <c r="D538" s="21">
        <v>10000</v>
      </c>
      <c r="E538" s="21">
        <v>0</v>
      </c>
      <c r="F538" s="29">
        <f t="shared" si="93"/>
        <v>386594.74379199999</v>
      </c>
    </row>
    <row r="539" spans="1:7" ht="15" customHeight="1">
      <c r="B539" s="19">
        <v>46108</v>
      </c>
      <c r="C539" s="14" t="s">
        <v>31</v>
      </c>
      <c r="D539" s="21">
        <v>0</v>
      </c>
      <c r="E539" s="21">
        <v>19865.34</v>
      </c>
      <c r="F539" s="22">
        <f t="shared" ref="F539" si="94">F538-D539+E539</f>
        <v>406460.08379200002</v>
      </c>
    </row>
    <row r="540" spans="1:7" ht="15" customHeight="1">
      <c r="B540" s="19">
        <v>46108</v>
      </c>
      <c r="C540" s="14" t="s">
        <v>32</v>
      </c>
      <c r="D540" s="21">
        <v>6035.04</v>
      </c>
      <c r="E540" s="21">
        <v>0</v>
      </c>
      <c r="F540" s="22">
        <f t="shared" ref="F540:F542" si="95">F539-D540+E540</f>
        <v>400425.04379199998</v>
      </c>
    </row>
    <row r="541" spans="1:7" ht="15" customHeight="1">
      <c r="B541" s="19">
        <v>46108</v>
      </c>
      <c r="C541" s="14" t="s">
        <v>38</v>
      </c>
      <c r="D541" s="21">
        <v>0</v>
      </c>
      <c r="E541" s="21">
        <v>7897.5</v>
      </c>
      <c r="F541" s="29">
        <f t="shared" si="95"/>
        <v>408322.54379199998</v>
      </c>
    </row>
    <row r="542" spans="1:7" ht="15" customHeight="1">
      <c r="A542" s="19" t="s">
        <v>6</v>
      </c>
      <c r="B542" s="19">
        <v>46113</v>
      </c>
      <c r="C542" s="20" t="s">
        <v>7</v>
      </c>
      <c r="D542" s="21">
        <v>1057.6300000000001</v>
      </c>
      <c r="E542" s="21">
        <v>0</v>
      </c>
      <c r="F542" s="22">
        <f t="shared" si="95"/>
        <v>407264.91379199998</v>
      </c>
    </row>
    <row r="543" spans="1:7" ht="15" customHeight="1">
      <c r="A543" s="19" t="s">
        <v>6</v>
      </c>
      <c r="B543" s="19">
        <v>46115</v>
      </c>
      <c r="C543" s="20" t="s">
        <v>129</v>
      </c>
      <c r="D543" s="21">
        <v>14900</v>
      </c>
      <c r="E543" s="21">
        <v>0</v>
      </c>
      <c r="F543" s="22">
        <f t="shared" ref="F543:F561" si="96">F542-D543+E543</f>
        <v>392364.91379199998</v>
      </c>
    </row>
    <row r="544" spans="1:7" ht="15" customHeight="1">
      <c r="B544" s="19">
        <v>46121</v>
      </c>
      <c r="C544" s="20" t="s">
        <v>16</v>
      </c>
      <c r="D544" s="21">
        <v>20</v>
      </c>
      <c r="E544" s="21">
        <v>0</v>
      </c>
      <c r="F544" s="22">
        <f t="shared" si="96"/>
        <v>392344.91379199998</v>
      </c>
    </row>
    <row r="545" spans="1:8" ht="15" customHeight="1">
      <c r="A545" s="19" t="s">
        <v>6</v>
      </c>
      <c r="B545" s="19">
        <v>46128</v>
      </c>
      <c r="C545" s="20" t="s">
        <v>18</v>
      </c>
      <c r="D545" s="21">
        <v>331.78</v>
      </c>
      <c r="E545" s="21">
        <v>0</v>
      </c>
      <c r="F545" s="22">
        <f t="shared" si="96"/>
        <v>392013.13379200001</v>
      </c>
    </row>
    <row r="546" spans="1:8" ht="15" customHeight="1">
      <c r="A546" s="19">
        <v>46134</v>
      </c>
      <c r="B546" s="19">
        <v>46136</v>
      </c>
      <c r="C546" s="23" t="s">
        <v>126</v>
      </c>
      <c r="D546" s="31">
        <v>70155.039999999994</v>
      </c>
      <c r="E546" s="15">
        <v>0</v>
      </c>
      <c r="F546" s="22">
        <f t="shared" si="96"/>
        <v>321858.09379200003</v>
      </c>
      <c r="G546" s="26"/>
    </row>
    <row r="547" spans="1:8" ht="15" customHeight="1">
      <c r="A547" s="19">
        <v>46134</v>
      </c>
      <c r="B547" s="19">
        <v>46136</v>
      </c>
      <c r="C547" s="20" t="s">
        <v>11</v>
      </c>
      <c r="D547" s="21">
        <v>14.98</v>
      </c>
      <c r="E547" s="21">
        <v>0</v>
      </c>
      <c r="F547" s="22">
        <f t="shared" si="96"/>
        <v>321843.11379199999</v>
      </c>
      <c r="G547" s="26"/>
    </row>
    <row r="548" spans="1:8" ht="15" customHeight="1">
      <c r="B548" s="19">
        <v>46136</v>
      </c>
      <c r="C548" s="14" t="s">
        <v>42</v>
      </c>
      <c r="D548" s="21">
        <v>0</v>
      </c>
      <c r="E548" s="21">
        <v>2700</v>
      </c>
      <c r="F548" s="22">
        <f t="shared" si="96"/>
        <v>324543.11379199999</v>
      </c>
    </row>
    <row r="549" spans="1:8" ht="15" customHeight="1">
      <c r="B549" s="19">
        <v>46140</v>
      </c>
      <c r="C549" s="14" t="s">
        <v>117</v>
      </c>
      <c r="D549" s="21">
        <v>0</v>
      </c>
      <c r="E549" s="21">
        <v>9472.5</v>
      </c>
      <c r="F549" s="22">
        <f t="shared" si="96"/>
        <v>334015.61379199999</v>
      </c>
    </row>
    <row r="550" spans="1:8" ht="15" customHeight="1">
      <c r="A550" s="19">
        <v>46139</v>
      </c>
      <c r="B550" s="19">
        <v>46141</v>
      </c>
      <c r="C550" s="23" t="s">
        <v>109</v>
      </c>
      <c r="D550" s="31">
        <v>40088.6</v>
      </c>
      <c r="E550" s="15">
        <v>0</v>
      </c>
      <c r="F550" s="22">
        <f t="shared" si="96"/>
        <v>293927.01379200001</v>
      </c>
      <c r="G550" s="26"/>
    </row>
    <row r="551" spans="1:8" ht="15" customHeight="1">
      <c r="A551" s="19">
        <v>46139</v>
      </c>
      <c r="B551" s="19">
        <v>46141</v>
      </c>
      <c r="C551" s="20" t="s">
        <v>11</v>
      </c>
      <c r="D551" s="21">
        <v>14.98</v>
      </c>
      <c r="E551" s="21">
        <v>0</v>
      </c>
      <c r="F551" s="22">
        <f t="shared" si="96"/>
        <v>293912.03379199997</v>
      </c>
      <c r="G551" s="26"/>
    </row>
    <row r="552" spans="1:8" ht="15" customHeight="1">
      <c r="B552" s="19">
        <v>46143</v>
      </c>
      <c r="C552" s="20" t="s">
        <v>73</v>
      </c>
      <c r="D552" s="21">
        <v>23000</v>
      </c>
      <c r="E552" s="21">
        <v>0</v>
      </c>
      <c r="F552" s="22">
        <f t="shared" si="96"/>
        <v>270912.03379199997</v>
      </c>
      <c r="H552" s="33"/>
    </row>
    <row r="553" spans="1:8" ht="15" customHeight="1">
      <c r="A553" s="19" t="s">
        <v>6</v>
      </c>
      <c r="B553" s="19">
        <v>46144</v>
      </c>
      <c r="C553" s="20" t="s">
        <v>7</v>
      </c>
      <c r="D553" s="34">
        <v>1978.79</v>
      </c>
      <c r="E553" s="21">
        <v>0</v>
      </c>
      <c r="F553" s="22">
        <f t="shared" si="96"/>
        <v>268933.24379200098</v>
      </c>
    </row>
    <row r="554" spans="1:8" ht="15" customHeight="1">
      <c r="B554" s="19">
        <v>46148</v>
      </c>
      <c r="C554" s="14" t="s">
        <v>46</v>
      </c>
      <c r="D554" s="21">
        <v>0</v>
      </c>
      <c r="E554" s="34">
        <v>2709</v>
      </c>
      <c r="F554" s="22">
        <f t="shared" si="96"/>
        <v>271642.24379200098</v>
      </c>
    </row>
    <row r="555" spans="1:8" ht="15" customHeight="1">
      <c r="A555" s="19">
        <v>46142</v>
      </c>
      <c r="B555" s="19">
        <v>46148</v>
      </c>
      <c r="C555" s="23" t="s">
        <v>126</v>
      </c>
      <c r="D555" s="35">
        <v>34075.306600000004</v>
      </c>
      <c r="E555" s="15">
        <v>0</v>
      </c>
      <c r="F555" s="22">
        <f t="shared" si="96"/>
        <v>237566.937192001</v>
      </c>
      <c r="G555" s="26"/>
    </row>
    <row r="556" spans="1:8" ht="15" customHeight="1">
      <c r="A556" s="19">
        <v>46142</v>
      </c>
      <c r="B556" s="19">
        <v>46148</v>
      </c>
      <c r="C556" s="20" t="s">
        <v>11</v>
      </c>
      <c r="D556" s="34">
        <v>14.98</v>
      </c>
      <c r="E556" s="21">
        <v>0</v>
      </c>
      <c r="F556" s="22">
        <f t="shared" si="96"/>
        <v>237551.957192</v>
      </c>
      <c r="G556" s="26"/>
    </row>
    <row r="557" spans="1:8" ht="15" customHeight="1">
      <c r="B557" s="19">
        <v>46149</v>
      </c>
      <c r="C557" s="14" t="s">
        <v>45</v>
      </c>
      <c r="D557" s="21">
        <v>0</v>
      </c>
      <c r="E557" s="34">
        <v>51975</v>
      </c>
      <c r="F557" s="22">
        <f t="shared" si="96"/>
        <v>289526.957192</v>
      </c>
    </row>
    <row r="558" spans="1:8" ht="15" customHeight="1">
      <c r="B558" s="19">
        <v>46149</v>
      </c>
      <c r="C558" s="14" t="s">
        <v>50</v>
      </c>
      <c r="D558" s="21">
        <v>0</v>
      </c>
      <c r="E558" s="34">
        <v>7020</v>
      </c>
      <c r="F558" s="22">
        <f t="shared" si="96"/>
        <v>296546.957192</v>
      </c>
    </row>
    <row r="559" spans="1:8" ht="15" customHeight="1">
      <c r="B559" s="19">
        <v>46150</v>
      </c>
      <c r="C559" s="14" t="s">
        <v>48</v>
      </c>
      <c r="D559" s="21">
        <v>0</v>
      </c>
      <c r="E559" s="34">
        <v>4500</v>
      </c>
      <c r="F559" s="22">
        <f t="shared" si="96"/>
        <v>301046.957192</v>
      </c>
      <c r="H559" s="33"/>
    </row>
    <row r="560" spans="1:8" ht="15" customHeight="1">
      <c r="B560" s="19">
        <v>46151</v>
      </c>
      <c r="C560" s="20" t="s">
        <v>16</v>
      </c>
      <c r="D560" s="21">
        <v>20</v>
      </c>
      <c r="E560" s="21">
        <v>0</v>
      </c>
      <c r="F560" s="22">
        <f t="shared" si="96"/>
        <v>301026.957192</v>
      </c>
      <c r="H560" s="33"/>
    </row>
    <row r="561" spans="1:8" ht="15" customHeight="1">
      <c r="B561" s="19">
        <v>46153</v>
      </c>
      <c r="C561" s="20" t="s">
        <v>73</v>
      </c>
      <c r="D561" s="21">
        <v>15000</v>
      </c>
      <c r="E561" s="21">
        <v>0</v>
      </c>
      <c r="F561" s="22">
        <f t="shared" si="96"/>
        <v>286026.957192</v>
      </c>
    </row>
    <row r="562" spans="1:8" ht="15" customHeight="1">
      <c r="B562" s="19">
        <v>46154</v>
      </c>
      <c r="C562" s="14" t="s">
        <v>49</v>
      </c>
      <c r="D562" s="21">
        <v>0</v>
      </c>
      <c r="E562" s="21">
        <v>5985</v>
      </c>
      <c r="F562" s="22">
        <f t="shared" ref="F562:F568" si="97">F561-D562+E562</f>
        <v>292011.957192</v>
      </c>
      <c r="H562" s="33"/>
    </row>
    <row r="563" spans="1:8" ht="15" customHeight="1">
      <c r="B563" s="19">
        <v>46155</v>
      </c>
      <c r="C563" s="14" t="s">
        <v>77</v>
      </c>
      <c r="D563" s="21">
        <v>0</v>
      </c>
      <c r="E563" s="21">
        <v>38898.639999999999</v>
      </c>
      <c r="F563" s="22">
        <f t="shared" si="97"/>
        <v>330910.59719200002</v>
      </c>
      <c r="H563" s="33"/>
    </row>
    <row r="564" spans="1:8" ht="15" customHeight="1">
      <c r="B564" s="19">
        <v>46156</v>
      </c>
      <c r="C564" s="14" t="s">
        <v>24</v>
      </c>
      <c r="D564" s="21">
        <v>3360</v>
      </c>
      <c r="E564" s="21">
        <v>0</v>
      </c>
      <c r="F564" s="22">
        <f t="shared" si="97"/>
        <v>327550.59719200002</v>
      </c>
      <c r="H564" s="33"/>
    </row>
    <row r="565" spans="1:8" ht="15" customHeight="1">
      <c r="B565" s="19">
        <v>46157</v>
      </c>
      <c r="C565" s="14" t="s">
        <v>54</v>
      </c>
      <c r="D565" s="21">
        <v>0</v>
      </c>
      <c r="E565" s="21">
        <v>1134</v>
      </c>
      <c r="F565" s="22">
        <f t="shared" si="97"/>
        <v>328684.59719200002</v>
      </c>
      <c r="H565" s="33"/>
    </row>
    <row r="566" spans="1:8" ht="15" customHeight="1">
      <c r="B566" s="19">
        <v>46157</v>
      </c>
      <c r="C566" s="14" t="s">
        <v>53</v>
      </c>
      <c r="D566" s="21">
        <v>0</v>
      </c>
      <c r="E566" s="21">
        <v>38340</v>
      </c>
      <c r="F566" s="22">
        <f t="shared" si="97"/>
        <v>367024.59719200002</v>
      </c>
      <c r="H566" s="33"/>
    </row>
    <row r="567" spans="1:8" ht="15" customHeight="1">
      <c r="B567" s="19">
        <v>46157</v>
      </c>
      <c r="C567" s="14" t="s">
        <v>94</v>
      </c>
      <c r="D567" s="21">
        <v>0</v>
      </c>
      <c r="E567" s="21">
        <v>4272</v>
      </c>
      <c r="F567" s="22">
        <f t="shared" si="97"/>
        <v>371296.59719200002</v>
      </c>
      <c r="H567" s="33"/>
    </row>
    <row r="568" spans="1:8" ht="15" customHeight="1">
      <c r="A568" s="19" t="s">
        <v>6</v>
      </c>
      <c r="B568" s="19">
        <v>46157</v>
      </c>
      <c r="C568" s="20" t="s">
        <v>18</v>
      </c>
      <c r="D568" s="21">
        <v>432</v>
      </c>
      <c r="E568" s="21">
        <v>0</v>
      </c>
      <c r="F568" s="22">
        <f t="shared" si="97"/>
        <v>370864.59719200002</v>
      </c>
    </row>
    <row r="569" spans="1:8" ht="15" customHeight="1">
      <c r="B569" s="19">
        <v>46164</v>
      </c>
      <c r="C569" s="14" t="s">
        <v>60</v>
      </c>
      <c r="D569" s="21">
        <v>0</v>
      </c>
      <c r="E569" s="21">
        <v>526.79999999999995</v>
      </c>
      <c r="F569" s="22">
        <f t="shared" ref="F569" si="98">F568-D569+E569</f>
        <v>371391.397192</v>
      </c>
      <c r="H569" s="33"/>
    </row>
    <row r="570" spans="1:8" ht="15" customHeight="1">
      <c r="B570" s="19">
        <v>46164</v>
      </c>
      <c r="C570" s="14" t="s">
        <v>55</v>
      </c>
      <c r="D570" s="21">
        <v>0</v>
      </c>
      <c r="E570" s="21">
        <v>1080</v>
      </c>
      <c r="F570" s="22">
        <f t="shared" ref="F570:F572" si="99">F569-D570+E570</f>
        <v>372471.397192</v>
      </c>
      <c r="H570" s="33"/>
    </row>
    <row r="571" spans="1:8" ht="15" customHeight="1">
      <c r="B571" s="19">
        <v>46164</v>
      </c>
      <c r="C571" s="14" t="s">
        <v>116</v>
      </c>
      <c r="D571" s="21">
        <v>0</v>
      </c>
      <c r="E571" s="21">
        <v>2250</v>
      </c>
      <c r="F571" s="22">
        <f t="shared" si="99"/>
        <v>374721.397192</v>
      </c>
      <c r="H571" s="33"/>
    </row>
    <row r="572" spans="1:8" ht="15" customHeight="1">
      <c r="B572" s="19">
        <v>46164</v>
      </c>
      <c r="C572" s="14" t="s">
        <v>56</v>
      </c>
      <c r="D572" s="21">
        <v>0</v>
      </c>
      <c r="E572" s="21">
        <v>1134</v>
      </c>
      <c r="F572" s="22">
        <f t="shared" si="99"/>
        <v>375855.397192</v>
      </c>
      <c r="H572" s="33"/>
    </row>
    <row r="573" spans="1:8" ht="15" customHeight="1">
      <c r="B573" s="19">
        <v>46167</v>
      </c>
      <c r="C573" s="14" t="s">
        <v>59</v>
      </c>
      <c r="D573" s="21">
        <v>0</v>
      </c>
      <c r="E573" s="21">
        <v>13068.88</v>
      </c>
      <c r="F573" s="22">
        <f t="shared" ref="F573:F578" si="100">F572-D573+E573</f>
        <v>388924.27719200001</v>
      </c>
      <c r="H573" s="33"/>
    </row>
    <row r="574" spans="1:8" ht="15" customHeight="1">
      <c r="A574" s="19">
        <v>46163</v>
      </c>
      <c r="B574" s="19">
        <v>46167</v>
      </c>
      <c r="C574" s="23" t="s">
        <v>71</v>
      </c>
      <c r="D574" s="31">
        <v>10282.73</v>
      </c>
      <c r="E574" s="15">
        <v>0</v>
      </c>
      <c r="F574" s="22">
        <f t="shared" si="100"/>
        <v>378641.54719200003</v>
      </c>
      <c r="G574" s="26"/>
    </row>
    <row r="575" spans="1:8" ht="15" customHeight="1">
      <c r="A575" s="19">
        <v>46163</v>
      </c>
      <c r="B575" s="19">
        <v>46167</v>
      </c>
      <c r="C575" s="20" t="s">
        <v>11</v>
      </c>
      <c r="D575" s="21">
        <v>14.98</v>
      </c>
      <c r="E575" s="21">
        <v>0</v>
      </c>
      <c r="F575" s="22">
        <f t="shared" si="100"/>
        <v>378626.56719200098</v>
      </c>
      <c r="G575" s="26"/>
    </row>
    <row r="576" spans="1:8" ht="15" customHeight="1">
      <c r="B576" s="19">
        <v>46168</v>
      </c>
      <c r="C576" s="14" t="s">
        <v>61</v>
      </c>
      <c r="D576" s="21">
        <v>0</v>
      </c>
      <c r="E576" s="21">
        <v>351</v>
      </c>
      <c r="F576" s="22">
        <f t="shared" si="100"/>
        <v>378977.56719200098</v>
      </c>
      <c r="H576" s="33"/>
    </row>
    <row r="577" spans="1:8" ht="15" customHeight="1">
      <c r="A577" s="19">
        <v>46164</v>
      </c>
      <c r="B577" s="19">
        <v>46168</v>
      </c>
      <c r="C577" s="23" t="s">
        <v>71</v>
      </c>
      <c r="D577" s="31">
        <v>103057.76</v>
      </c>
      <c r="E577" s="15">
        <v>0</v>
      </c>
      <c r="F577" s="22">
        <f t="shared" si="100"/>
        <v>275919.80719200103</v>
      </c>
      <c r="G577" s="26"/>
    </row>
    <row r="578" spans="1:8" ht="15" customHeight="1">
      <c r="A578" s="19">
        <v>46164</v>
      </c>
      <c r="B578" s="19">
        <v>46168</v>
      </c>
      <c r="C578" s="20" t="s">
        <v>11</v>
      </c>
      <c r="D578" s="21">
        <v>14.98</v>
      </c>
      <c r="E578" s="21">
        <v>0</v>
      </c>
      <c r="F578" s="22">
        <f t="shared" si="100"/>
        <v>275904.82719200099</v>
      </c>
      <c r="G578" s="26"/>
    </row>
    <row r="579" spans="1:8" ht="15" customHeight="1">
      <c r="B579" s="19">
        <v>46170</v>
      </c>
      <c r="C579" s="14" t="s">
        <v>58</v>
      </c>
      <c r="D579" s="21">
        <v>0</v>
      </c>
      <c r="E579" s="21">
        <v>648</v>
      </c>
      <c r="F579" s="22">
        <f t="shared" ref="F579" si="101">F578-D579+E579</f>
        <v>276552.82719200099</v>
      </c>
      <c r="H579" s="33"/>
    </row>
    <row r="580" spans="1:8" ht="15" customHeight="1">
      <c r="B580" s="19">
        <v>46170</v>
      </c>
      <c r="C580" s="14" t="s">
        <v>57</v>
      </c>
      <c r="D580" s="21">
        <v>0</v>
      </c>
      <c r="E580" s="21">
        <v>2205</v>
      </c>
      <c r="F580" s="22">
        <f t="shared" ref="F580" si="102">F579-D580+E580</f>
        <v>278757.82719200099</v>
      </c>
      <c r="H580" s="33"/>
    </row>
    <row r="581" spans="1:8" ht="15" customHeight="1">
      <c r="B581" s="19">
        <v>46173</v>
      </c>
      <c r="C581" s="14" t="s">
        <v>97</v>
      </c>
      <c r="D581" s="21">
        <v>24400</v>
      </c>
      <c r="E581" s="21">
        <v>0</v>
      </c>
      <c r="F581" s="22">
        <f t="shared" ref="F581:F584" si="103">F580-D581+E581</f>
        <v>254357.82719200099</v>
      </c>
      <c r="H581" s="33"/>
    </row>
    <row r="582" spans="1:8" ht="15" customHeight="1">
      <c r="A582" s="19" t="s">
        <v>6</v>
      </c>
      <c r="B582" s="19">
        <v>46175</v>
      </c>
      <c r="C582" s="20" t="s">
        <v>7</v>
      </c>
      <c r="D582" s="34">
        <v>1372.91</v>
      </c>
      <c r="E582" s="21">
        <v>0</v>
      </c>
      <c r="F582" s="22">
        <f t="shared" si="103"/>
        <v>252984.91719200101</v>
      </c>
    </row>
    <row r="583" spans="1:8" ht="15" customHeight="1">
      <c r="B583" s="19">
        <v>46176</v>
      </c>
      <c r="C583" s="14" t="s">
        <v>24</v>
      </c>
      <c r="D583" s="21">
        <v>1900</v>
      </c>
      <c r="E583" s="21">
        <v>0</v>
      </c>
      <c r="F583" s="22">
        <f t="shared" si="103"/>
        <v>251084.91719200101</v>
      </c>
      <c r="H583" s="33"/>
    </row>
    <row r="584" spans="1:8" ht="15" customHeight="1">
      <c r="B584" s="19">
        <v>46177</v>
      </c>
      <c r="C584" s="14" t="s">
        <v>33</v>
      </c>
      <c r="D584" s="21">
        <v>0</v>
      </c>
      <c r="E584" s="21">
        <v>21000</v>
      </c>
      <c r="F584" s="22">
        <f t="shared" si="103"/>
        <v>272084.91719200101</v>
      </c>
      <c r="H584" s="33"/>
    </row>
    <row r="585" spans="1:8" ht="15" customHeight="1">
      <c r="B585" s="19">
        <v>46178</v>
      </c>
      <c r="C585" s="14" t="s">
        <v>21</v>
      </c>
      <c r="D585" s="21">
        <v>4200</v>
      </c>
      <c r="E585" s="21">
        <v>0</v>
      </c>
      <c r="F585" s="29">
        <f t="shared" ref="F585:F586" si="104">F584-D585+E585</f>
        <v>267884.91719200101</v>
      </c>
      <c r="H585" s="33"/>
    </row>
    <row r="586" spans="1:8" ht="15" customHeight="1">
      <c r="B586" s="19">
        <v>46178</v>
      </c>
      <c r="C586" s="14" t="s">
        <v>35</v>
      </c>
      <c r="D586" s="21">
        <v>0</v>
      </c>
      <c r="E586" s="21">
        <v>3447</v>
      </c>
      <c r="F586" s="22">
        <f t="shared" si="104"/>
        <v>271331.91719200101</v>
      </c>
      <c r="H586" s="33"/>
    </row>
    <row r="587" spans="1:8" ht="15" customHeight="1">
      <c r="B587" s="19">
        <v>46183</v>
      </c>
      <c r="C587" s="14" t="s">
        <v>37</v>
      </c>
      <c r="D587" s="21">
        <v>0</v>
      </c>
      <c r="E587" s="21">
        <v>166.05</v>
      </c>
      <c r="F587" s="22">
        <f t="shared" ref="F587" si="105">F586-D587+E587</f>
        <v>271497.967192001</v>
      </c>
      <c r="H587" s="33"/>
    </row>
    <row r="588" spans="1:8" ht="15" customHeight="1">
      <c r="B588" s="19">
        <v>46183</v>
      </c>
      <c r="C588" s="14" t="s">
        <v>28</v>
      </c>
      <c r="D588" s="21">
        <v>0</v>
      </c>
      <c r="E588" s="21">
        <v>8999.1</v>
      </c>
      <c r="F588" s="22">
        <f t="shared" ref="F588" si="106">F587-D588+E588</f>
        <v>280497.06719200098</v>
      </c>
      <c r="H588" s="33"/>
    </row>
    <row r="589" spans="1:8" ht="15" customHeight="1">
      <c r="B589" s="19">
        <v>46184</v>
      </c>
      <c r="C589" s="14" t="s">
        <v>30</v>
      </c>
      <c r="D589" s="21">
        <v>0</v>
      </c>
      <c r="E589" s="21">
        <v>12084.66</v>
      </c>
      <c r="F589" s="22">
        <f t="shared" ref="F589" si="107">F588-D589+E589</f>
        <v>292581.72719200002</v>
      </c>
      <c r="H589" s="33"/>
    </row>
    <row r="590" spans="1:8" ht="15" customHeight="1">
      <c r="B590" s="19">
        <v>46184</v>
      </c>
      <c r="C590" s="14" t="s">
        <v>31</v>
      </c>
      <c r="D590" s="21">
        <v>0</v>
      </c>
      <c r="E590" s="21">
        <v>19908</v>
      </c>
      <c r="F590" s="22">
        <f t="shared" ref="F590" si="108">F589-D590+E590</f>
        <v>312489.72719200002</v>
      </c>
      <c r="H590" s="33"/>
    </row>
    <row r="591" spans="1:8" ht="15" customHeight="1">
      <c r="B591" s="19">
        <v>46184</v>
      </c>
      <c r="C591" s="14" t="s">
        <v>32</v>
      </c>
      <c r="D591" s="21">
        <v>6048</v>
      </c>
      <c r="E591" s="21">
        <v>0</v>
      </c>
      <c r="F591" s="29">
        <f t="shared" ref="F591:F600" si="109">F590-D591+E591</f>
        <v>306441.72719200002</v>
      </c>
      <c r="H591" s="33"/>
    </row>
    <row r="592" spans="1:8" ht="15" customHeight="1">
      <c r="B592" s="19">
        <v>46185</v>
      </c>
      <c r="C592" s="14" t="s">
        <v>56</v>
      </c>
      <c r="D592" s="21">
        <v>0</v>
      </c>
      <c r="E592" s="21">
        <v>1134</v>
      </c>
      <c r="F592" s="22">
        <f t="shared" si="109"/>
        <v>307575.72719200002</v>
      </c>
      <c r="H592" s="33"/>
    </row>
    <row r="593" spans="1:8" ht="15" customHeight="1">
      <c r="A593" s="19">
        <v>46183</v>
      </c>
      <c r="B593" s="19">
        <v>46185</v>
      </c>
      <c r="C593" s="23" t="s">
        <v>130</v>
      </c>
      <c r="D593" s="31">
        <v>188416.4</v>
      </c>
      <c r="E593" s="15">
        <v>0</v>
      </c>
      <c r="F593" s="22">
        <f t="shared" si="109"/>
        <v>119159.327192</v>
      </c>
      <c r="G593" s="26"/>
    </row>
    <row r="594" spans="1:8" ht="15" customHeight="1">
      <c r="A594" s="19">
        <v>46183</v>
      </c>
      <c r="B594" s="19">
        <v>46185</v>
      </c>
      <c r="C594" s="20" t="s">
        <v>11</v>
      </c>
      <c r="D594" s="21">
        <v>14.98</v>
      </c>
      <c r="E594" s="21">
        <v>0</v>
      </c>
      <c r="F594" s="22">
        <f t="shared" si="109"/>
        <v>119144.347192</v>
      </c>
      <c r="G594" s="26"/>
    </row>
    <row r="595" spans="1:8" ht="15" customHeight="1">
      <c r="B595" s="19">
        <v>46186</v>
      </c>
      <c r="C595" s="20" t="s">
        <v>16</v>
      </c>
      <c r="D595" s="21">
        <v>20</v>
      </c>
      <c r="E595" s="21">
        <v>0</v>
      </c>
      <c r="F595" s="22">
        <f t="shared" si="109"/>
        <v>119124.347192</v>
      </c>
      <c r="H595" s="33"/>
    </row>
    <row r="596" spans="1:8" ht="15" customHeight="1">
      <c r="A596" s="19" t="s">
        <v>6</v>
      </c>
      <c r="B596" s="19">
        <v>46188</v>
      </c>
      <c r="C596" s="20" t="s">
        <v>18</v>
      </c>
      <c r="D596" s="21">
        <v>432</v>
      </c>
      <c r="E596" s="21">
        <v>0</v>
      </c>
      <c r="F596" s="22">
        <f t="shared" si="109"/>
        <v>118692.347192</v>
      </c>
    </row>
    <row r="597" spans="1:8" ht="15" customHeight="1">
      <c r="B597" s="19">
        <v>46189</v>
      </c>
      <c r="C597" s="14" t="s">
        <v>34</v>
      </c>
      <c r="D597" s="21">
        <v>0</v>
      </c>
      <c r="E597" s="21">
        <v>2709</v>
      </c>
      <c r="F597" s="22">
        <f t="shared" si="109"/>
        <v>121401.347192</v>
      </c>
      <c r="H597" s="33"/>
    </row>
    <row r="598" spans="1:8" ht="15" customHeight="1">
      <c r="B598" s="19">
        <v>46191</v>
      </c>
      <c r="C598" s="14" t="s">
        <v>38</v>
      </c>
      <c r="D598" s="21">
        <v>0</v>
      </c>
      <c r="E598" s="21">
        <v>6453</v>
      </c>
      <c r="F598" s="29">
        <f t="shared" si="109"/>
        <v>127854.347192</v>
      </c>
      <c r="H598" s="33"/>
    </row>
    <row r="599" spans="1:8" ht="15" customHeight="1">
      <c r="A599" s="19" t="s">
        <v>6</v>
      </c>
      <c r="B599" s="19">
        <v>46205</v>
      </c>
      <c r="C599" s="20" t="s">
        <v>7</v>
      </c>
      <c r="D599" s="34">
        <v>357.35</v>
      </c>
      <c r="E599" s="21">
        <v>0</v>
      </c>
      <c r="F599" s="22">
        <f t="shared" si="109"/>
        <v>127496.997192</v>
      </c>
    </row>
    <row r="600" spans="1:8" ht="15" customHeight="1">
      <c r="B600" s="19">
        <v>46210</v>
      </c>
      <c r="C600" s="14" t="s">
        <v>73</v>
      </c>
      <c r="D600" s="21">
        <v>26000</v>
      </c>
      <c r="E600" s="21">
        <v>0</v>
      </c>
      <c r="F600" s="22">
        <f t="shared" si="109"/>
        <v>101496.997192</v>
      </c>
      <c r="H600" s="33"/>
    </row>
    <row r="601" spans="1:8" ht="15" customHeight="1">
      <c r="B601" s="19">
        <v>46214</v>
      </c>
      <c r="C601" s="20" t="s">
        <v>16</v>
      </c>
      <c r="D601" s="21">
        <v>20</v>
      </c>
      <c r="E601" s="21">
        <v>0</v>
      </c>
      <c r="F601" s="22">
        <f t="shared" ref="F601:F642" si="110">F600-D601+E601</f>
        <v>101476.997192</v>
      </c>
      <c r="H601" s="33"/>
    </row>
    <row r="602" spans="1:8" ht="15" customHeight="1">
      <c r="B602" s="19">
        <v>46214</v>
      </c>
      <c r="C602" s="14" t="s">
        <v>131</v>
      </c>
      <c r="D602" s="21">
        <v>20000</v>
      </c>
      <c r="E602" s="21">
        <v>0</v>
      </c>
      <c r="F602" s="22">
        <f t="shared" si="110"/>
        <v>81476.997192000505</v>
      </c>
      <c r="H602" s="33"/>
    </row>
    <row r="603" spans="1:8" ht="15" customHeight="1">
      <c r="A603" s="19" t="s">
        <v>6</v>
      </c>
      <c r="B603" s="19">
        <v>46218</v>
      </c>
      <c r="C603" s="20" t="s">
        <v>18</v>
      </c>
      <c r="D603" s="21">
        <v>432</v>
      </c>
      <c r="E603" s="21">
        <v>0</v>
      </c>
      <c r="F603" s="22">
        <f t="shared" si="110"/>
        <v>81044.997192000505</v>
      </c>
    </row>
    <row r="604" spans="1:8" ht="15" customHeight="1">
      <c r="B604" s="19">
        <v>46218</v>
      </c>
      <c r="C604" s="14" t="s">
        <v>132</v>
      </c>
      <c r="D604" s="21">
        <v>0</v>
      </c>
      <c r="E604" s="21">
        <v>1278</v>
      </c>
      <c r="F604" s="29">
        <f t="shared" si="110"/>
        <v>82322.997192000505</v>
      </c>
      <c r="H604" s="33"/>
    </row>
    <row r="605" spans="1:8" ht="15" customHeight="1">
      <c r="B605" s="19">
        <v>46234</v>
      </c>
      <c r="C605" s="14" t="s">
        <v>133</v>
      </c>
      <c r="D605" s="21">
        <v>5000</v>
      </c>
      <c r="E605" s="21">
        <v>0</v>
      </c>
      <c r="F605" s="29">
        <f t="shared" si="110"/>
        <v>77322.997192000505</v>
      </c>
      <c r="H605" s="33"/>
    </row>
    <row r="606" spans="1:8" ht="15" customHeight="1">
      <c r="A606" s="19" t="s">
        <v>6</v>
      </c>
      <c r="B606" s="19">
        <v>46235</v>
      </c>
      <c r="C606" s="20" t="s">
        <v>7</v>
      </c>
      <c r="D606" s="34">
        <v>3226.17</v>
      </c>
      <c r="E606" s="21">
        <v>0</v>
      </c>
      <c r="F606" s="22">
        <f t="shared" si="110"/>
        <v>74096.827192000506</v>
      </c>
    </row>
    <row r="607" spans="1:8" ht="15" customHeight="1">
      <c r="B607" s="19">
        <v>46242</v>
      </c>
      <c r="C607" s="20" t="s">
        <v>16</v>
      </c>
      <c r="D607" s="21">
        <v>20</v>
      </c>
      <c r="E607" s="21">
        <v>0</v>
      </c>
      <c r="F607" s="22">
        <f t="shared" si="110"/>
        <v>74076.827192000506</v>
      </c>
      <c r="H607" s="33"/>
    </row>
    <row r="608" spans="1:8" ht="15" customHeight="1">
      <c r="A608" s="19" t="s">
        <v>6</v>
      </c>
      <c r="B608" s="19">
        <v>46251</v>
      </c>
      <c r="C608" s="20" t="s">
        <v>18</v>
      </c>
      <c r="D608" s="21">
        <v>432</v>
      </c>
      <c r="E608" s="21">
        <v>0</v>
      </c>
      <c r="F608" s="22">
        <f t="shared" si="110"/>
        <v>73644.827192000506</v>
      </c>
    </row>
    <row r="609" spans="1:8" ht="15" customHeight="1">
      <c r="B609" s="19">
        <v>46254</v>
      </c>
      <c r="C609" s="14" t="s">
        <v>132</v>
      </c>
      <c r="D609" s="21">
        <v>0</v>
      </c>
      <c r="E609" s="21">
        <v>1269</v>
      </c>
      <c r="F609" s="22">
        <f t="shared" si="110"/>
        <v>74913.827192000506</v>
      </c>
      <c r="H609" s="33"/>
    </row>
    <row r="610" spans="1:8" ht="15" customHeight="1">
      <c r="A610" s="19">
        <v>46254</v>
      </c>
      <c r="B610" s="19">
        <v>46258</v>
      </c>
      <c r="C610" s="23" t="s">
        <v>105</v>
      </c>
      <c r="D610" s="31">
        <v>0</v>
      </c>
      <c r="E610" s="15">
        <v>134699.82999999999</v>
      </c>
      <c r="F610" s="22">
        <f t="shared" si="110"/>
        <v>209613.65719200001</v>
      </c>
      <c r="G610" s="26"/>
    </row>
    <row r="611" spans="1:8" ht="15" customHeight="1">
      <c r="A611" s="19">
        <v>46254</v>
      </c>
      <c r="B611" s="19">
        <v>46258</v>
      </c>
      <c r="C611" s="20" t="s">
        <v>11</v>
      </c>
      <c r="D611" s="21">
        <v>14.98</v>
      </c>
      <c r="E611" s="21">
        <v>0</v>
      </c>
      <c r="F611" s="22">
        <f t="shared" si="110"/>
        <v>209598.677192</v>
      </c>
      <c r="G611" s="26"/>
    </row>
    <row r="612" spans="1:8" ht="15" customHeight="1">
      <c r="A612" s="19">
        <v>46255</v>
      </c>
      <c r="B612" s="19">
        <v>46259</v>
      </c>
      <c r="C612" s="23" t="s">
        <v>134</v>
      </c>
      <c r="D612" s="31">
        <v>103228.13</v>
      </c>
      <c r="E612" s="15">
        <v>0</v>
      </c>
      <c r="F612" s="22">
        <f t="shared" si="110"/>
        <v>106370.547192</v>
      </c>
      <c r="G612" s="26"/>
    </row>
    <row r="613" spans="1:8" ht="15" customHeight="1">
      <c r="A613" s="19">
        <v>46255</v>
      </c>
      <c r="B613" s="19">
        <v>46259</v>
      </c>
      <c r="C613" s="20" t="s">
        <v>11</v>
      </c>
      <c r="D613" s="21">
        <v>14.98</v>
      </c>
      <c r="E613" s="21">
        <v>0</v>
      </c>
      <c r="F613" s="22">
        <f t="shared" si="110"/>
        <v>106355.567192</v>
      </c>
      <c r="G613" s="26"/>
    </row>
    <row r="614" spans="1:8" ht="15" customHeight="1">
      <c r="A614" s="19"/>
      <c r="B614" s="19">
        <v>46259</v>
      </c>
      <c r="C614" s="23" t="s">
        <v>78</v>
      </c>
      <c r="D614" s="24">
        <v>0</v>
      </c>
      <c r="E614" s="27">
        <v>1.1499999999999999</v>
      </c>
      <c r="F614" s="29">
        <f t="shared" si="110"/>
        <v>106356.717192</v>
      </c>
      <c r="G614" s="26"/>
    </row>
    <row r="615" spans="1:8" ht="15" customHeight="1">
      <c r="A615" s="19" t="s">
        <v>6</v>
      </c>
      <c r="B615" s="19">
        <v>46266</v>
      </c>
      <c r="C615" s="20" t="s">
        <v>7</v>
      </c>
      <c r="D615" s="34">
        <v>1280.2</v>
      </c>
      <c r="E615" s="21">
        <v>0</v>
      </c>
      <c r="F615" s="22">
        <f t="shared" si="110"/>
        <v>105076.517192</v>
      </c>
    </row>
    <row r="616" spans="1:8" ht="15" customHeight="1">
      <c r="B616" s="19">
        <v>46267</v>
      </c>
      <c r="C616" s="14" t="s">
        <v>135</v>
      </c>
      <c r="D616" s="21">
        <v>0</v>
      </c>
      <c r="E616" s="21">
        <v>1575</v>
      </c>
      <c r="F616" s="22">
        <f t="shared" si="110"/>
        <v>106651.517192</v>
      </c>
      <c r="H616" s="33"/>
    </row>
    <row r="617" spans="1:8" ht="15" customHeight="1">
      <c r="B617" s="19">
        <v>46267</v>
      </c>
      <c r="C617" s="14" t="s">
        <v>136</v>
      </c>
      <c r="D617" s="21">
        <v>0</v>
      </c>
      <c r="E617" s="21">
        <v>18900</v>
      </c>
      <c r="F617" s="22">
        <f t="shared" si="110"/>
        <v>125551.517192</v>
      </c>
      <c r="H617" s="33"/>
    </row>
    <row r="618" spans="1:8" ht="15" customHeight="1">
      <c r="B618" s="19">
        <v>46267</v>
      </c>
      <c r="C618" s="14" t="s">
        <v>137</v>
      </c>
      <c r="D618" s="21">
        <v>3780</v>
      </c>
      <c r="E618" s="21">
        <v>0</v>
      </c>
      <c r="F618" s="22">
        <f t="shared" si="110"/>
        <v>121771.517192</v>
      </c>
      <c r="H618" s="33"/>
    </row>
    <row r="619" spans="1:8" ht="15" customHeight="1">
      <c r="A619" s="19">
        <v>46265</v>
      </c>
      <c r="B619" s="19">
        <v>46267</v>
      </c>
      <c r="C619" s="23" t="s">
        <v>12</v>
      </c>
      <c r="D619" s="31">
        <v>35077.519999999997</v>
      </c>
      <c r="E619" s="15">
        <v>0</v>
      </c>
      <c r="F619" s="22">
        <f t="shared" si="110"/>
        <v>86693.997192000505</v>
      </c>
      <c r="G619" s="26"/>
    </row>
    <row r="620" spans="1:8" ht="15" customHeight="1">
      <c r="A620" s="19">
        <v>46265</v>
      </c>
      <c r="B620" s="19">
        <v>46267</v>
      </c>
      <c r="C620" s="20" t="s">
        <v>11</v>
      </c>
      <c r="D620" s="21">
        <v>14.98</v>
      </c>
      <c r="E620" s="21">
        <v>0</v>
      </c>
      <c r="F620" s="22">
        <f t="shared" si="110"/>
        <v>86679.017192000494</v>
      </c>
      <c r="G620" s="26"/>
    </row>
    <row r="621" spans="1:8" ht="15" customHeight="1">
      <c r="B621" s="19">
        <v>46268</v>
      </c>
      <c r="C621" s="14" t="s">
        <v>138</v>
      </c>
      <c r="D621" s="21">
        <v>0</v>
      </c>
      <c r="E621" s="21">
        <v>3128.4</v>
      </c>
      <c r="F621" s="22">
        <f t="shared" si="110"/>
        <v>89807.417192000503</v>
      </c>
      <c r="H621" s="33"/>
    </row>
    <row r="622" spans="1:8" ht="15" customHeight="1">
      <c r="B622" s="19">
        <v>46269</v>
      </c>
      <c r="C622" s="14" t="s">
        <v>139</v>
      </c>
      <c r="D622" s="21">
        <v>0</v>
      </c>
      <c r="E622" s="21">
        <v>1350</v>
      </c>
      <c r="F622" s="22">
        <f t="shared" si="110"/>
        <v>91157.417192000503</v>
      </c>
      <c r="H622" s="33"/>
    </row>
    <row r="623" spans="1:8" ht="15" customHeight="1">
      <c r="B623" s="19">
        <v>46269</v>
      </c>
      <c r="C623" s="14" t="s">
        <v>140</v>
      </c>
      <c r="D623" s="21">
        <v>0</v>
      </c>
      <c r="E623" s="21">
        <v>12000</v>
      </c>
      <c r="F623" s="22">
        <f t="shared" si="110"/>
        <v>103157.41719199999</v>
      </c>
      <c r="H623" s="33"/>
    </row>
    <row r="624" spans="1:8" ht="15" customHeight="1">
      <c r="B624" s="19">
        <v>46269</v>
      </c>
      <c r="C624" s="14" t="s">
        <v>141</v>
      </c>
      <c r="D624" s="21">
        <v>0</v>
      </c>
      <c r="E624" s="21">
        <v>3474</v>
      </c>
      <c r="F624" s="22">
        <f t="shared" si="110"/>
        <v>106631.41719199999</v>
      </c>
      <c r="H624" s="33"/>
    </row>
    <row r="625" spans="2:8" ht="15" customHeight="1">
      <c r="B625" s="19">
        <v>46273</v>
      </c>
      <c r="C625" s="14" t="s">
        <v>142</v>
      </c>
      <c r="D625" s="21">
        <v>0</v>
      </c>
      <c r="E625" s="21">
        <v>11643.75</v>
      </c>
      <c r="F625" s="22">
        <f t="shared" si="110"/>
        <v>118275.16719199999</v>
      </c>
      <c r="H625" s="33"/>
    </row>
    <row r="626" spans="2:8" ht="15" customHeight="1">
      <c r="B626" s="19">
        <v>46273</v>
      </c>
      <c r="C626" s="14" t="s">
        <v>143</v>
      </c>
      <c r="D626" s="21">
        <v>0</v>
      </c>
      <c r="E626" s="21">
        <v>1903.5</v>
      </c>
      <c r="F626" s="22">
        <f t="shared" si="110"/>
        <v>120178.66719199999</v>
      </c>
      <c r="H626" s="33"/>
    </row>
    <row r="627" spans="2:8" ht="15" customHeight="1">
      <c r="B627" s="19">
        <v>46273</v>
      </c>
      <c r="C627" s="14" t="s">
        <v>144</v>
      </c>
      <c r="D627" s="21">
        <v>0</v>
      </c>
      <c r="E627" s="21">
        <v>19908</v>
      </c>
      <c r="F627" s="22">
        <f t="shared" si="110"/>
        <v>140086.66719199999</v>
      </c>
      <c r="H627" s="33"/>
    </row>
    <row r="628" spans="2:8" ht="15" customHeight="1">
      <c r="B628" s="19">
        <v>46273</v>
      </c>
      <c r="C628" s="14" t="s">
        <v>32</v>
      </c>
      <c r="D628" s="21">
        <v>6048</v>
      </c>
      <c r="E628" s="21">
        <v>0</v>
      </c>
      <c r="F628" s="22">
        <f t="shared" si="110"/>
        <v>134038.66719199999</v>
      </c>
      <c r="H628" s="33"/>
    </row>
    <row r="629" spans="2:8" ht="15" customHeight="1">
      <c r="B629" s="19">
        <v>46273</v>
      </c>
      <c r="C629" s="14" t="s">
        <v>118</v>
      </c>
      <c r="D629" s="21">
        <v>30000</v>
      </c>
      <c r="E629" s="21">
        <v>0</v>
      </c>
      <c r="F629" s="22">
        <f t="shared" si="110"/>
        <v>104038.66719199999</v>
      </c>
      <c r="H629" s="33"/>
    </row>
    <row r="630" spans="2:8" ht="15" customHeight="1">
      <c r="B630" s="19">
        <v>46274</v>
      </c>
      <c r="C630" s="14" t="s">
        <v>145</v>
      </c>
      <c r="D630" s="21">
        <v>0</v>
      </c>
      <c r="E630" s="21">
        <v>1845</v>
      </c>
      <c r="F630" s="22">
        <f t="shared" si="110"/>
        <v>105883.66719199999</v>
      </c>
      <c r="H630" s="33"/>
    </row>
    <row r="631" spans="2:8" ht="15" customHeight="1">
      <c r="B631" s="19">
        <v>46274</v>
      </c>
      <c r="C631" s="14" t="s">
        <v>146</v>
      </c>
      <c r="D631" s="21">
        <v>0</v>
      </c>
      <c r="E631" s="21">
        <v>8999.1</v>
      </c>
      <c r="F631" s="22">
        <f t="shared" si="110"/>
        <v>114882.767192</v>
      </c>
      <c r="H631" s="33"/>
    </row>
    <row r="632" spans="2:8" ht="15" customHeight="1">
      <c r="B632" s="19">
        <v>46274</v>
      </c>
      <c r="C632" s="14" t="s">
        <v>73</v>
      </c>
      <c r="D632" s="21">
        <v>14882.77</v>
      </c>
      <c r="E632" s="21">
        <v>0</v>
      </c>
      <c r="F632" s="22">
        <f t="shared" si="110"/>
        <v>99999.997192000505</v>
      </c>
      <c r="H632" s="33"/>
    </row>
    <row r="633" spans="2:8" ht="15" customHeight="1">
      <c r="B633" s="19">
        <v>46275</v>
      </c>
      <c r="C633" s="14" t="s">
        <v>147</v>
      </c>
      <c r="D633" s="21">
        <v>0</v>
      </c>
      <c r="E633" s="21">
        <v>410.4</v>
      </c>
      <c r="F633" s="22">
        <f t="shared" si="110"/>
        <v>100410.397192</v>
      </c>
      <c r="H633" s="33"/>
    </row>
    <row r="634" spans="2:8" ht="15" customHeight="1">
      <c r="B634" s="19">
        <v>46275</v>
      </c>
      <c r="C634" s="14" t="s">
        <v>148</v>
      </c>
      <c r="D634" s="21">
        <v>0</v>
      </c>
      <c r="E634" s="21">
        <v>1296</v>
      </c>
      <c r="F634" s="22">
        <f t="shared" si="110"/>
        <v>101706.397192</v>
      </c>
      <c r="H634" s="33"/>
    </row>
    <row r="635" spans="2:8" ht="15" customHeight="1">
      <c r="B635" s="19">
        <v>46276</v>
      </c>
      <c r="C635" s="14" t="s">
        <v>149</v>
      </c>
      <c r="D635" s="21">
        <v>0</v>
      </c>
      <c r="E635" s="21">
        <v>1260</v>
      </c>
      <c r="F635" s="22">
        <f t="shared" si="110"/>
        <v>102966.397192</v>
      </c>
      <c r="H635" s="33"/>
    </row>
    <row r="636" spans="2:8" ht="15" customHeight="1">
      <c r="B636" s="19">
        <v>46276</v>
      </c>
      <c r="C636" s="14" t="s">
        <v>150</v>
      </c>
      <c r="D636" s="21">
        <v>0</v>
      </c>
      <c r="E636" s="21">
        <v>4050</v>
      </c>
      <c r="F636" s="22">
        <f t="shared" si="110"/>
        <v>107016.397192</v>
      </c>
      <c r="H636" s="33"/>
    </row>
    <row r="637" spans="2:8" ht="15" customHeight="1">
      <c r="B637" s="19">
        <v>46276</v>
      </c>
      <c r="C637" s="14" t="s">
        <v>151</v>
      </c>
      <c r="D637" s="21">
        <v>0</v>
      </c>
      <c r="E637" s="21">
        <v>1701</v>
      </c>
      <c r="F637" s="22">
        <f t="shared" si="110"/>
        <v>108717.397192</v>
      </c>
      <c r="H637" s="33"/>
    </row>
    <row r="638" spans="2:8" ht="15" customHeight="1">
      <c r="B638" s="19">
        <v>46276</v>
      </c>
      <c r="C638" s="14" t="s">
        <v>152</v>
      </c>
      <c r="D638" s="21">
        <v>0</v>
      </c>
      <c r="E638" s="21">
        <v>4500</v>
      </c>
      <c r="F638" s="22">
        <f t="shared" si="110"/>
        <v>113217.397192</v>
      </c>
      <c r="H638" s="33"/>
    </row>
    <row r="639" spans="2:8" ht="15" customHeight="1">
      <c r="B639" s="19">
        <v>46276</v>
      </c>
      <c r="C639" s="14" t="s">
        <v>153</v>
      </c>
      <c r="D639" s="21">
        <v>0</v>
      </c>
      <c r="E639" s="21">
        <v>2549.25</v>
      </c>
      <c r="F639" s="22">
        <f t="shared" si="110"/>
        <v>115766.647192</v>
      </c>
      <c r="H639" s="33"/>
    </row>
    <row r="640" spans="2:8" ht="15" customHeight="1">
      <c r="B640" s="19">
        <v>46276</v>
      </c>
      <c r="C640" s="14" t="s">
        <v>154</v>
      </c>
      <c r="D640" s="21">
        <v>0</v>
      </c>
      <c r="E640" s="21">
        <v>342</v>
      </c>
      <c r="F640" s="22">
        <f t="shared" si="110"/>
        <v>116108.647192</v>
      </c>
      <c r="H640" s="33"/>
    </row>
    <row r="641" spans="1:8" ht="15" customHeight="1">
      <c r="B641" s="19">
        <v>46276</v>
      </c>
      <c r="C641" s="14" t="s">
        <v>155</v>
      </c>
      <c r="D641" s="21">
        <v>0</v>
      </c>
      <c r="E641" s="21">
        <v>3472</v>
      </c>
      <c r="F641" s="22">
        <f t="shared" si="110"/>
        <v>119580.647192</v>
      </c>
      <c r="H641" s="33"/>
    </row>
    <row r="642" spans="1:8" ht="15" customHeight="1">
      <c r="B642" s="19">
        <v>46276</v>
      </c>
      <c r="C642" s="14" t="s">
        <v>73</v>
      </c>
      <c r="D642" s="21">
        <v>19580.650000000001</v>
      </c>
      <c r="E642" s="21">
        <v>0</v>
      </c>
      <c r="F642" s="22">
        <f t="shared" si="110"/>
        <v>99999.997192000505</v>
      </c>
      <c r="H642" s="33"/>
    </row>
    <row r="643" spans="1:8" ht="15" customHeight="1">
      <c r="B643" s="19">
        <v>46277</v>
      </c>
      <c r="C643" s="20" t="s">
        <v>16</v>
      </c>
      <c r="D643" s="21">
        <v>20</v>
      </c>
      <c r="E643" s="21">
        <v>0</v>
      </c>
      <c r="F643" s="22">
        <f t="shared" ref="F643:F645" si="111">F642-D643+E643</f>
        <v>99979.997192000505</v>
      </c>
      <c r="H643" s="33"/>
    </row>
    <row r="644" spans="1:8" ht="15" customHeight="1">
      <c r="A644" s="19" t="s">
        <v>6</v>
      </c>
      <c r="B644" s="19">
        <v>46280</v>
      </c>
      <c r="C644" s="20" t="s">
        <v>18</v>
      </c>
      <c r="D644" s="21">
        <v>432</v>
      </c>
      <c r="E644" s="21">
        <v>0</v>
      </c>
      <c r="F644" s="22">
        <f t="shared" si="111"/>
        <v>99547.997192000505</v>
      </c>
    </row>
    <row r="645" spans="1:8" ht="15" customHeight="1">
      <c r="B645" s="19">
        <v>46287</v>
      </c>
      <c r="C645" s="14" t="s">
        <v>156</v>
      </c>
      <c r="D645" s="21">
        <v>0</v>
      </c>
      <c r="E645" s="21">
        <v>3240</v>
      </c>
      <c r="F645" s="22">
        <f t="shared" si="111"/>
        <v>102787.997192</v>
      </c>
      <c r="H645" s="33"/>
    </row>
    <row r="646" spans="1:8" ht="15" customHeight="1">
      <c r="B646" s="19">
        <v>46288</v>
      </c>
      <c r="C646" s="14" t="s">
        <v>157</v>
      </c>
      <c r="D646" s="21">
        <v>0</v>
      </c>
      <c r="E646" s="21">
        <v>6453</v>
      </c>
      <c r="F646" s="22">
        <f t="shared" ref="F646:F673" si="112">F645-D646+E646</f>
        <v>109240.997192</v>
      </c>
      <c r="H646" s="33"/>
    </row>
    <row r="647" spans="1:8" ht="15" customHeight="1">
      <c r="A647" s="19">
        <v>46286</v>
      </c>
      <c r="B647" s="19">
        <v>46288</v>
      </c>
      <c r="C647" s="23" t="s">
        <v>105</v>
      </c>
      <c r="D647" s="31">
        <v>0</v>
      </c>
      <c r="E647" s="15">
        <v>147422.74</v>
      </c>
      <c r="F647" s="22">
        <f t="shared" si="112"/>
        <v>256663.737192</v>
      </c>
      <c r="G647" s="26"/>
    </row>
    <row r="648" spans="1:8" ht="15" customHeight="1">
      <c r="A648" s="19">
        <v>46286</v>
      </c>
      <c r="B648" s="19">
        <v>46288</v>
      </c>
      <c r="C648" s="20" t="s">
        <v>11</v>
      </c>
      <c r="D648" s="21">
        <v>14.98</v>
      </c>
      <c r="E648" s="21">
        <v>0</v>
      </c>
      <c r="F648" s="22">
        <f t="shared" si="112"/>
        <v>256648.75719199999</v>
      </c>
      <c r="G648" s="26"/>
    </row>
    <row r="649" spans="1:8" ht="15" customHeight="1">
      <c r="A649" s="19" t="s">
        <v>6</v>
      </c>
      <c r="B649" s="19">
        <v>46297</v>
      </c>
      <c r="C649" s="20" t="s">
        <v>7</v>
      </c>
      <c r="D649" s="34">
        <v>1319.67</v>
      </c>
      <c r="E649" s="21">
        <v>0</v>
      </c>
      <c r="F649" s="22">
        <f t="shared" si="112"/>
        <v>255329.08719200001</v>
      </c>
    </row>
    <row r="650" spans="1:8" ht="15" customHeight="1">
      <c r="A650" s="19">
        <v>46295</v>
      </c>
      <c r="B650" s="19">
        <v>46297</v>
      </c>
      <c r="C650" s="23" t="s">
        <v>130</v>
      </c>
      <c r="D650" s="31">
        <v>46352.44</v>
      </c>
      <c r="E650" s="15">
        <v>0</v>
      </c>
      <c r="F650" s="22">
        <f t="shared" si="112"/>
        <v>208976.647192</v>
      </c>
      <c r="G650" s="26"/>
    </row>
    <row r="651" spans="1:8" ht="15" customHeight="1">
      <c r="A651" s="19">
        <v>46295</v>
      </c>
      <c r="B651" s="19">
        <v>46297</v>
      </c>
      <c r="C651" s="23" t="s">
        <v>130</v>
      </c>
      <c r="D651" s="31">
        <v>22800.39</v>
      </c>
      <c r="E651" s="15">
        <v>0</v>
      </c>
      <c r="F651" s="22">
        <f t="shared" si="112"/>
        <v>186176.25719199999</v>
      </c>
      <c r="G651" s="26"/>
    </row>
    <row r="652" spans="1:8" ht="15" customHeight="1">
      <c r="A652" s="19">
        <v>46295</v>
      </c>
      <c r="B652" s="19">
        <v>46297</v>
      </c>
      <c r="C652" s="23" t="s">
        <v>106</v>
      </c>
      <c r="D652" s="31">
        <v>136051.82999999999</v>
      </c>
      <c r="E652" s="15">
        <v>0</v>
      </c>
      <c r="F652" s="22">
        <f t="shared" si="112"/>
        <v>50124.427191999901</v>
      </c>
      <c r="G652" s="26"/>
    </row>
    <row r="653" spans="1:8" ht="15" customHeight="1">
      <c r="A653" s="19">
        <v>46295</v>
      </c>
      <c r="B653" s="19">
        <v>46297</v>
      </c>
      <c r="C653" s="20" t="s">
        <v>11</v>
      </c>
      <c r="D653" s="21">
        <v>14.98</v>
      </c>
      <c r="E653" s="21">
        <v>0</v>
      </c>
      <c r="F653" s="22">
        <f t="shared" si="112"/>
        <v>50109.447191999898</v>
      </c>
      <c r="G653" s="26"/>
    </row>
    <row r="654" spans="1:8" ht="15" customHeight="1">
      <c r="A654" s="19">
        <v>46302</v>
      </c>
      <c r="B654" s="19">
        <v>46304</v>
      </c>
      <c r="C654" s="23" t="s">
        <v>14</v>
      </c>
      <c r="D654" s="31">
        <v>0</v>
      </c>
      <c r="E654" s="15">
        <v>58370.42</v>
      </c>
      <c r="F654" s="22">
        <f t="shared" si="112"/>
        <v>108479.86719200001</v>
      </c>
      <c r="G654" s="26"/>
    </row>
    <row r="655" spans="1:8" ht="15" customHeight="1">
      <c r="A655" s="19">
        <v>46302</v>
      </c>
      <c r="B655" s="19">
        <v>46304</v>
      </c>
      <c r="C655" s="20" t="s">
        <v>11</v>
      </c>
      <c r="D655" s="21">
        <v>14.98</v>
      </c>
      <c r="E655" s="21">
        <v>0</v>
      </c>
      <c r="F655" s="22">
        <f t="shared" si="112"/>
        <v>108464.88719199999</v>
      </c>
      <c r="G655" s="26"/>
    </row>
    <row r="656" spans="1:8" ht="15" customHeight="1">
      <c r="B656" s="19">
        <v>46305</v>
      </c>
      <c r="C656" s="20" t="s">
        <v>16</v>
      </c>
      <c r="D656" s="21">
        <v>20</v>
      </c>
      <c r="E656" s="21">
        <v>0</v>
      </c>
      <c r="F656" s="22">
        <f t="shared" si="112"/>
        <v>108444.88719199999</v>
      </c>
      <c r="H656" s="33"/>
    </row>
    <row r="657" spans="1:9" ht="15" customHeight="1">
      <c r="B657" s="19">
        <v>46307</v>
      </c>
      <c r="C657" s="14" t="s">
        <v>143</v>
      </c>
      <c r="D657" s="21">
        <v>0</v>
      </c>
      <c r="E657" s="21">
        <v>3780</v>
      </c>
      <c r="F657" s="22">
        <f t="shared" si="112"/>
        <v>112224.88719199999</v>
      </c>
      <c r="H657" s="33"/>
    </row>
    <row r="658" spans="1:9" ht="15" customHeight="1">
      <c r="A658" s="19">
        <v>46307</v>
      </c>
      <c r="B658" s="19">
        <v>46310</v>
      </c>
      <c r="C658" s="23" t="s">
        <v>26</v>
      </c>
      <c r="D658" s="31">
        <v>21647.85</v>
      </c>
      <c r="E658" s="15">
        <v>0</v>
      </c>
      <c r="F658" s="22">
        <f t="shared" si="112"/>
        <v>90577.037192000003</v>
      </c>
      <c r="G658" s="26"/>
    </row>
    <row r="659" spans="1:9" ht="15" customHeight="1">
      <c r="A659" s="19">
        <v>46307</v>
      </c>
      <c r="B659" s="19">
        <v>46310</v>
      </c>
      <c r="C659" s="20" t="s">
        <v>11</v>
      </c>
      <c r="D659" s="21">
        <v>14.98</v>
      </c>
      <c r="E659" s="21">
        <v>0</v>
      </c>
      <c r="F659" s="22">
        <f t="shared" si="112"/>
        <v>90562.057191999993</v>
      </c>
      <c r="G659" s="26"/>
    </row>
    <row r="660" spans="1:9" ht="15" customHeight="1">
      <c r="A660" s="19" t="s">
        <v>6</v>
      </c>
      <c r="B660" s="19">
        <v>46310</v>
      </c>
      <c r="C660" s="20" t="s">
        <v>18</v>
      </c>
      <c r="D660" s="21">
        <v>432</v>
      </c>
      <c r="E660" s="21">
        <v>0</v>
      </c>
      <c r="F660" s="22">
        <f t="shared" si="112"/>
        <v>90130.057191999993</v>
      </c>
    </row>
    <row r="661" spans="1:9" ht="15" customHeight="1">
      <c r="A661" s="19">
        <v>46309</v>
      </c>
      <c r="B661" s="19">
        <v>46314</v>
      </c>
      <c r="C661" s="23" t="s">
        <v>25</v>
      </c>
      <c r="D661" s="36">
        <v>46603.390890000002</v>
      </c>
      <c r="E661" s="15">
        <v>0</v>
      </c>
      <c r="F661" s="22">
        <f t="shared" si="112"/>
        <v>43526.666301999998</v>
      </c>
    </row>
    <row r="662" spans="1:9" ht="15" customHeight="1">
      <c r="A662" s="19">
        <v>46309</v>
      </c>
      <c r="B662" s="19">
        <v>46314</v>
      </c>
      <c r="C662" s="23" t="s">
        <v>12</v>
      </c>
      <c r="D662" s="36">
        <v>34576.71</v>
      </c>
      <c r="E662" s="15">
        <v>0</v>
      </c>
      <c r="F662" s="22">
        <f t="shared" si="112"/>
        <v>8949.9563019999605</v>
      </c>
    </row>
    <row r="663" spans="1:9" ht="15" customHeight="1">
      <c r="A663" s="19">
        <v>46309</v>
      </c>
      <c r="B663" s="19">
        <v>46314</v>
      </c>
      <c r="C663" s="23" t="s">
        <v>105</v>
      </c>
      <c r="D663" s="31">
        <v>0</v>
      </c>
      <c r="E663" s="15">
        <v>139940.04999999999</v>
      </c>
      <c r="F663" s="22">
        <f t="shared" si="112"/>
        <v>148890.00630199999</v>
      </c>
    </row>
    <row r="664" spans="1:9" ht="15" customHeight="1">
      <c r="A664" s="19">
        <v>46309</v>
      </c>
      <c r="B664" s="19">
        <v>46314</v>
      </c>
      <c r="C664" s="20" t="s">
        <v>11</v>
      </c>
      <c r="D664" s="21">
        <v>14.98</v>
      </c>
      <c r="E664" s="21">
        <v>0</v>
      </c>
      <c r="F664" s="22">
        <f t="shared" si="112"/>
        <v>148875.02630200001</v>
      </c>
      <c r="G664" s="26"/>
      <c r="H664" s="37"/>
      <c r="I664" s="37"/>
    </row>
    <row r="665" spans="1:9" ht="15" customHeight="1">
      <c r="A665" s="19">
        <v>46310</v>
      </c>
      <c r="B665" s="19">
        <v>46315</v>
      </c>
      <c r="C665" s="23" t="s">
        <v>14</v>
      </c>
      <c r="D665" s="36">
        <v>56374.59</v>
      </c>
      <c r="E665" s="15">
        <v>0</v>
      </c>
      <c r="F665" s="22">
        <f t="shared" si="112"/>
        <v>92500.436302000002</v>
      </c>
    </row>
    <row r="666" spans="1:9" ht="15" customHeight="1">
      <c r="A666" s="19">
        <v>46310</v>
      </c>
      <c r="B666" s="19">
        <v>46315</v>
      </c>
      <c r="C666" s="20" t="s">
        <v>11</v>
      </c>
      <c r="D666" s="21">
        <v>14.98</v>
      </c>
      <c r="E666" s="21">
        <v>0</v>
      </c>
      <c r="F666" s="22">
        <f t="shared" si="112"/>
        <v>92485.456302000006</v>
      </c>
      <c r="G666" s="26"/>
    </row>
    <row r="667" spans="1:9" ht="15" customHeight="1">
      <c r="B667" s="19">
        <v>46315</v>
      </c>
      <c r="C667" s="14" t="s">
        <v>118</v>
      </c>
      <c r="D667" s="21">
        <v>30000</v>
      </c>
      <c r="E667" s="21">
        <v>0</v>
      </c>
      <c r="F667" s="22">
        <f t="shared" si="112"/>
        <v>62485.456301999999</v>
      </c>
      <c r="H667" s="33"/>
    </row>
    <row r="668" spans="1:9" ht="15" customHeight="1">
      <c r="A668" s="19">
        <v>46314</v>
      </c>
      <c r="B668" s="19">
        <v>46316</v>
      </c>
      <c r="C668" s="23" t="s">
        <v>14</v>
      </c>
      <c r="D668" s="31">
        <v>0</v>
      </c>
      <c r="E668" s="15">
        <v>58370.42</v>
      </c>
      <c r="F668" s="22">
        <f t="shared" si="112"/>
        <v>120855.876302</v>
      </c>
    </row>
    <row r="669" spans="1:9" ht="15" customHeight="1">
      <c r="A669" s="19">
        <v>46314</v>
      </c>
      <c r="B669" s="19">
        <v>46316</v>
      </c>
      <c r="C669" s="20" t="s">
        <v>11</v>
      </c>
      <c r="D669" s="21">
        <v>14.98</v>
      </c>
      <c r="E669" s="21">
        <v>0</v>
      </c>
      <c r="F669" s="22">
        <f t="shared" si="112"/>
        <v>120840.89630199999</v>
      </c>
      <c r="G669" s="26"/>
      <c r="H669" s="37"/>
      <c r="I669" s="37"/>
    </row>
    <row r="670" spans="1:9" ht="15" customHeight="1">
      <c r="B670" s="19">
        <v>46317</v>
      </c>
      <c r="C670" s="14" t="s">
        <v>158</v>
      </c>
      <c r="D670" s="21">
        <v>0</v>
      </c>
      <c r="E670" s="21">
        <v>9450</v>
      </c>
      <c r="F670" s="22">
        <f t="shared" si="112"/>
        <v>130290.89630199999</v>
      </c>
      <c r="H670" s="33"/>
    </row>
    <row r="671" spans="1:9" ht="15" customHeight="1">
      <c r="A671" s="19">
        <v>46315</v>
      </c>
      <c r="B671" s="19">
        <v>46317</v>
      </c>
      <c r="C671" s="23" t="s">
        <v>10</v>
      </c>
      <c r="D671" s="36">
        <v>21848.29</v>
      </c>
      <c r="E671" s="15">
        <v>0</v>
      </c>
      <c r="F671" s="22">
        <f t="shared" si="112"/>
        <v>108442.606302</v>
      </c>
    </row>
    <row r="672" spans="1:9" ht="15" customHeight="1">
      <c r="A672" s="19">
        <v>46315</v>
      </c>
      <c r="B672" s="19">
        <v>46317</v>
      </c>
      <c r="C672" s="23" t="s">
        <v>159</v>
      </c>
      <c r="D672" s="36">
        <v>18881.73</v>
      </c>
      <c r="E672" s="15">
        <v>0</v>
      </c>
      <c r="F672" s="22">
        <f t="shared" si="112"/>
        <v>89560.876302000004</v>
      </c>
    </row>
    <row r="673" spans="1:7" ht="15" customHeight="1">
      <c r="A673" s="19">
        <v>46315</v>
      </c>
      <c r="B673" s="19">
        <v>46317</v>
      </c>
      <c r="C673" s="20" t="s">
        <v>11</v>
      </c>
      <c r="D673" s="21">
        <v>14.98</v>
      </c>
      <c r="E673" s="21">
        <v>0</v>
      </c>
      <c r="F673" s="22">
        <f t="shared" si="112"/>
        <v>89545.896302000008</v>
      </c>
      <c r="G673" s="26"/>
    </row>
    <row r="674" spans="1:7" ht="15" customHeight="1">
      <c r="A674" s="19" t="s">
        <v>6</v>
      </c>
      <c r="B674" s="19">
        <v>46323</v>
      </c>
      <c r="C674" s="20" t="s">
        <v>191</v>
      </c>
      <c r="D674" s="21">
        <v>0</v>
      </c>
      <c r="E674" s="21">
        <v>1.1499999999999999</v>
      </c>
      <c r="F674" s="22">
        <f t="shared" ref="F674" si="113">F673-D674+E674</f>
        <v>89547.046302000002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sqref="A1:F10"/>
    </sheetView>
  </sheetViews>
  <sheetFormatPr defaultColWidth="9" defaultRowHeight="21"/>
  <cols>
    <col min="1" max="1" width="12.75" style="11" customWidth="1"/>
    <col min="2" max="2" width="17.875" customWidth="1"/>
    <col min="3" max="3" width="11.125" style="1" customWidth="1"/>
    <col min="4" max="4" width="12" style="1" customWidth="1"/>
    <col min="5" max="5" width="12.25" style="1" customWidth="1"/>
    <col min="6" max="6" width="10.875" customWidth="1"/>
    <col min="7" max="7" width="10.125" customWidth="1"/>
  </cols>
  <sheetData>
    <row r="1" spans="1:7">
      <c r="A1" s="1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7">
      <c r="A2" s="12">
        <v>45839</v>
      </c>
      <c r="B2" s="2" t="s">
        <v>166</v>
      </c>
      <c r="C2" s="3">
        <v>0</v>
      </c>
      <c r="D2" s="3">
        <v>0</v>
      </c>
      <c r="E2" s="3">
        <v>26953.45</v>
      </c>
      <c r="F2" s="2"/>
      <c r="G2" s="11"/>
    </row>
    <row r="3" spans="1:7">
      <c r="A3" s="12">
        <v>45848</v>
      </c>
      <c r="B3" s="2" t="s">
        <v>167</v>
      </c>
      <c r="C3" s="3">
        <v>1555.86</v>
      </c>
      <c r="D3" s="3">
        <v>0</v>
      </c>
      <c r="E3" s="3">
        <f>E2-C3+D3</f>
        <v>25397.59</v>
      </c>
      <c r="F3" s="2" t="s">
        <v>7</v>
      </c>
      <c r="G3" s="11"/>
    </row>
    <row r="4" spans="1:7">
      <c r="A4" s="12">
        <v>45848</v>
      </c>
      <c r="B4" s="2" t="s">
        <v>167</v>
      </c>
      <c r="C4" s="3">
        <v>8790.08</v>
      </c>
      <c r="D4" s="3">
        <v>0</v>
      </c>
      <c r="E4" s="3">
        <f t="shared" ref="E4:E7" si="0">E3-C4+D4</f>
        <v>16607.509999999998</v>
      </c>
      <c r="F4" s="2" t="s">
        <v>7</v>
      </c>
      <c r="G4" s="11"/>
    </row>
    <row r="5" spans="1:7">
      <c r="A5" s="12">
        <v>45849</v>
      </c>
      <c r="B5" s="2" t="s">
        <v>168</v>
      </c>
      <c r="C5" s="3">
        <v>0</v>
      </c>
      <c r="D5" s="3">
        <v>1300</v>
      </c>
      <c r="E5" s="3">
        <f t="shared" si="0"/>
        <v>17907.509999999998</v>
      </c>
      <c r="F5" s="2" t="s">
        <v>169</v>
      </c>
    </row>
    <row r="6" spans="1:7">
      <c r="A6" s="12">
        <v>45851</v>
      </c>
      <c r="B6" s="2" t="s">
        <v>170</v>
      </c>
      <c r="C6" s="3">
        <v>60</v>
      </c>
      <c r="D6" s="3">
        <v>0</v>
      </c>
      <c r="E6" s="3">
        <f t="shared" si="0"/>
        <v>17847.509999999998</v>
      </c>
      <c r="F6" s="2" t="s">
        <v>169</v>
      </c>
      <c r="G6" s="11"/>
    </row>
    <row r="7" spans="1:7">
      <c r="A7" s="12">
        <v>45859</v>
      </c>
      <c r="B7" s="2" t="s">
        <v>171</v>
      </c>
      <c r="C7" s="3">
        <v>837.93</v>
      </c>
      <c r="D7" s="3">
        <v>0</v>
      </c>
      <c r="E7" s="3">
        <f t="shared" si="0"/>
        <v>17009.580000000002</v>
      </c>
      <c r="F7" s="2" t="s">
        <v>169</v>
      </c>
      <c r="G7" s="11"/>
    </row>
    <row r="8" spans="1:7">
      <c r="A8" s="12">
        <v>45869</v>
      </c>
      <c r="B8" s="2" t="s">
        <v>172</v>
      </c>
      <c r="C8" s="3">
        <v>5000</v>
      </c>
      <c r="D8" s="3">
        <v>0</v>
      </c>
      <c r="E8" s="3">
        <f t="shared" ref="E8:E9" si="1">E7-C8+D8</f>
        <v>12009.58</v>
      </c>
      <c r="F8" s="2" t="s">
        <v>169</v>
      </c>
    </row>
    <row r="9" spans="1:7">
      <c r="A9" s="12">
        <v>45869</v>
      </c>
      <c r="B9" s="2" t="s">
        <v>168</v>
      </c>
      <c r="C9" s="3">
        <v>0</v>
      </c>
      <c r="D9" s="3">
        <v>38000</v>
      </c>
      <c r="E9" s="3">
        <f t="shared" si="1"/>
        <v>50009.58</v>
      </c>
      <c r="F9" s="2" t="s">
        <v>169</v>
      </c>
    </row>
    <row r="10" spans="1:7">
      <c r="C10" s="1">
        <f>SUM(C2:C9)</f>
        <v>16243.87</v>
      </c>
      <c r="D10" s="1">
        <f>SUM(D2:D9)</f>
        <v>39300</v>
      </c>
      <c r="E10" s="1">
        <f>D10-C10</f>
        <v>23056.13</v>
      </c>
    </row>
  </sheetData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E12" sqref="E12"/>
    </sheetView>
  </sheetViews>
  <sheetFormatPr defaultColWidth="9" defaultRowHeight="21"/>
  <cols>
    <col min="1" max="1" width="12.75" style="11" customWidth="1"/>
    <col min="2" max="2" width="17.875" customWidth="1"/>
    <col min="3" max="3" width="11.125" style="1" customWidth="1"/>
    <col min="4" max="4" width="12" style="1" customWidth="1"/>
    <col min="5" max="5" width="12.25" style="1" customWidth="1"/>
    <col min="7" max="7" width="10.125" customWidth="1"/>
  </cols>
  <sheetData>
    <row r="1" spans="1:7">
      <c r="A1" s="1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7">
      <c r="A2" s="12">
        <v>45778</v>
      </c>
      <c r="B2" s="2" t="s">
        <v>166</v>
      </c>
      <c r="C2" s="3">
        <v>0</v>
      </c>
      <c r="D2" s="3">
        <v>0</v>
      </c>
      <c r="E2" s="3">
        <v>51362.28</v>
      </c>
      <c r="F2" s="2"/>
      <c r="G2" s="11"/>
    </row>
    <row r="3" spans="1:7">
      <c r="A3" s="12">
        <v>45787</v>
      </c>
      <c r="B3" s="2" t="s">
        <v>167</v>
      </c>
      <c r="C3" s="3">
        <v>914.93</v>
      </c>
      <c r="D3" s="3">
        <v>0</v>
      </c>
      <c r="E3" s="3">
        <f>E2-C3+D3</f>
        <v>50447.35</v>
      </c>
      <c r="F3" s="2" t="s">
        <v>7</v>
      </c>
      <c r="G3" s="11"/>
    </row>
    <row r="4" spans="1:7">
      <c r="A4" s="12">
        <v>45787</v>
      </c>
      <c r="B4" s="2" t="s">
        <v>167</v>
      </c>
      <c r="C4" s="3">
        <v>10319.040000000001</v>
      </c>
      <c r="D4" s="3">
        <v>0</v>
      </c>
      <c r="E4" s="3">
        <f t="shared" ref="E4:E11" si="0">E3-C4+D4</f>
        <v>40128.31</v>
      </c>
      <c r="F4" s="2" t="s">
        <v>7</v>
      </c>
      <c r="G4" s="11"/>
    </row>
    <row r="5" spans="1:7">
      <c r="A5" s="12">
        <v>45789</v>
      </c>
      <c r="B5" s="2" t="s">
        <v>171</v>
      </c>
      <c r="C5" s="3">
        <v>192</v>
      </c>
      <c r="D5" s="3">
        <v>0</v>
      </c>
      <c r="E5" s="3">
        <f t="shared" si="0"/>
        <v>39936.31</v>
      </c>
      <c r="F5" s="2" t="s">
        <v>169</v>
      </c>
      <c r="G5" s="11"/>
    </row>
    <row r="6" spans="1:7">
      <c r="A6" s="12">
        <v>45795</v>
      </c>
      <c r="B6" s="2" t="s">
        <v>170</v>
      </c>
      <c r="C6" s="3">
        <v>60</v>
      </c>
      <c r="D6" s="3">
        <v>0</v>
      </c>
      <c r="E6" s="3">
        <f t="shared" si="0"/>
        <v>39876.31</v>
      </c>
      <c r="F6" s="2" t="s">
        <v>169</v>
      </c>
      <c r="G6" s="11"/>
    </row>
    <row r="7" spans="1:7">
      <c r="A7" s="12">
        <v>45793</v>
      </c>
      <c r="B7" s="2" t="s">
        <v>168</v>
      </c>
      <c r="C7" s="3">
        <v>0</v>
      </c>
      <c r="D7" s="3">
        <v>1300</v>
      </c>
      <c r="E7" s="3">
        <f t="shared" si="0"/>
        <v>41176.31</v>
      </c>
      <c r="F7" s="2" t="s">
        <v>169</v>
      </c>
    </row>
    <row r="8" spans="1:7">
      <c r="A8" s="12">
        <v>45800</v>
      </c>
      <c r="B8" s="2" t="s">
        <v>171</v>
      </c>
      <c r="C8" s="3">
        <v>837.93</v>
      </c>
      <c r="D8" s="3">
        <v>0</v>
      </c>
      <c r="E8" s="3">
        <f t="shared" si="0"/>
        <v>40338.379999999997</v>
      </c>
      <c r="F8" s="2" t="s">
        <v>169</v>
      </c>
      <c r="G8" s="11"/>
    </row>
    <row r="9" spans="1:7">
      <c r="A9" s="12">
        <v>45800</v>
      </c>
      <c r="B9" s="2" t="s">
        <v>170</v>
      </c>
      <c r="C9" s="3">
        <v>70</v>
      </c>
      <c r="D9" s="3">
        <v>0</v>
      </c>
      <c r="E9" s="3">
        <f t="shared" si="0"/>
        <v>40268.379999999997</v>
      </c>
      <c r="F9" s="2" t="s">
        <v>169</v>
      </c>
      <c r="G9" s="11"/>
    </row>
    <row r="10" spans="1:7">
      <c r="A10" s="12">
        <v>45800</v>
      </c>
      <c r="B10" s="2" t="s">
        <v>170</v>
      </c>
      <c r="C10" s="3">
        <v>1000</v>
      </c>
      <c r="D10" s="3">
        <v>0</v>
      </c>
      <c r="E10" s="3">
        <f t="shared" si="0"/>
        <v>39268.379999999997</v>
      </c>
      <c r="F10" s="2" t="s">
        <v>169</v>
      </c>
      <c r="G10" s="11"/>
    </row>
    <row r="11" spans="1:7">
      <c r="A11" s="12">
        <v>45802</v>
      </c>
      <c r="B11" s="2" t="s">
        <v>170</v>
      </c>
      <c r="C11" s="3">
        <v>245</v>
      </c>
      <c r="D11" s="3">
        <v>0</v>
      </c>
      <c r="E11" s="3">
        <f t="shared" si="0"/>
        <v>39023.379999999997</v>
      </c>
      <c r="F11" s="2" t="s">
        <v>169</v>
      </c>
      <c r="G11" s="11"/>
    </row>
    <row r="12" spans="1:7">
      <c r="A12" s="12">
        <v>45807</v>
      </c>
      <c r="B12" s="2" t="s">
        <v>172</v>
      </c>
      <c r="C12" s="3">
        <v>5000</v>
      </c>
      <c r="D12" s="3">
        <v>0</v>
      </c>
      <c r="E12" s="1">
        <f>SUM(E1:E11)</f>
        <v>421825.39</v>
      </c>
      <c r="F12" s="2" t="s">
        <v>169</v>
      </c>
      <c r="G12" s="11"/>
    </row>
    <row r="13" spans="1:7">
      <c r="C13" s="1">
        <f>SUM(C2:C12)</f>
        <v>18638.900000000001</v>
      </c>
      <c r="D13" s="1">
        <f>SUM(D2:D12)</f>
        <v>1300</v>
      </c>
      <c r="E13" s="1">
        <f>D13-C13</f>
        <v>-17338.900000000001</v>
      </c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E12" sqref="E12"/>
    </sheetView>
  </sheetViews>
  <sheetFormatPr defaultColWidth="9" defaultRowHeight="21"/>
  <cols>
    <col min="1" max="1" width="12.75" style="11" customWidth="1"/>
    <col min="2" max="2" width="17.875" customWidth="1"/>
    <col min="3" max="3" width="11.125" style="1" customWidth="1"/>
    <col min="4" max="4" width="12" style="1" customWidth="1"/>
    <col min="5" max="5" width="12.25" style="1" customWidth="1"/>
    <col min="7" max="7" width="10.125" customWidth="1"/>
  </cols>
  <sheetData>
    <row r="1" spans="1:7">
      <c r="A1" s="1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7">
      <c r="A2" s="12">
        <v>45778</v>
      </c>
      <c r="B2" s="2" t="s">
        <v>166</v>
      </c>
      <c r="C2" s="3">
        <v>0</v>
      </c>
      <c r="D2" s="3">
        <v>0</v>
      </c>
      <c r="E2" s="3">
        <v>51362.28</v>
      </c>
      <c r="F2" s="2"/>
      <c r="G2" s="11"/>
    </row>
    <row r="3" spans="1:7">
      <c r="A3" s="12">
        <v>45787</v>
      </c>
      <c r="B3" s="2" t="s">
        <v>167</v>
      </c>
      <c r="C3" s="3">
        <v>914.93</v>
      </c>
      <c r="D3" s="3">
        <v>0</v>
      </c>
      <c r="E3" s="3">
        <f>E2-C3+D3</f>
        <v>50447.35</v>
      </c>
      <c r="F3" s="2" t="s">
        <v>7</v>
      </c>
      <c r="G3" s="11"/>
    </row>
    <row r="4" spans="1:7">
      <c r="A4" s="12">
        <v>45787</v>
      </c>
      <c r="B4" s="2" t="s">
        <v>167</v>
      </c>
      <c r="C4" s="3">
        <v>10319.040000000001</v>
      </c>
      <c r="D4" s="3">
        <v>0</v>
      </c>
      <c r="E4" s="3">
        <f t="shared" ref="E4:E7" si="0">E3-C4+D4</f>
        <v>40128.31</v>
      </c>
      <c r="F4" s="2" t="s">
        <v>7</v>
      </c>
      <c r="G4" s="11"/>
    </row>
    <row r="5" spans="1:7">
      <c r="A5" s="12">
        <v>45789</v>
      </c>
      <c r="B5" s="2" t="s">
        <v>171</v>
      </c>
      <c r="C5" s="3">
        <v>192</v>
      </c>
      <c r="D5" s="3">
        <v>0</v>
      </c>
      <c r="E5" s="3">
        <f t="shared" si="0"/>
        <v>39936.31</v>
      </c>
      <c r="F5" s="2" t="s">
        <v>169</v>
      </c>
      <c r="G5" s="11"/>
    </row>
    <row r="6" spans="1:7">
      <c r="A6" s="12">
        <v>45795</v>
      </c>
      <c r="B6" s="2" t="s">
        <v>170</v>
      </c>
      <c r="C6" s="3">
        <v>60</v>
      </c>
      <c r="D6" s="3">
        <v>0</v>
      </c>
      <c r="E6" s="3">
        <f t="shared" si="0"/>
        <v>39876.31</v>
      </c>
      <c r="F6" s="2" t="s">
        <v>169</v>
      </c>
      <c r="G6" s="11"/>
    </row>
    <row r="7" spans="1:7">
      <c r="A7" s="12">
        <v>45793</v>
      </c>
      <c r="B7" s="2" t="s">
        <v>168</v>
      </c>
      <c r="C7" s="3">
        <v>0</v>
      </c>
      <c r="D7" s="3">
        <v>1300</v>
      </c>
      <c r="E7" s="3">
        <f t="shared" si="0"/>
        <v>41176.31</v>
      </c>
      <c r="F7" s="2" t="s">
        <v>169</v>
      </c>
    </row>
    <row r="8" spans="1:7">
      <c r="A8" s="12">
        <v>45800</v>
      </c>
      <c r="B8" s="2" t="s">
        <v>171</v>
      </c>
      <c r="C8" s="3">
        <v>837.93</v>
      </c>
      <c r="D8" s="3">
        <v>0</v>
      </c>
      <c r="E8" s="3">
        <f t="shared" ref="E8:E11" si="1">E7-C8+D8</f>
        <v>40338.379999999997</v>
      </c>
      <c r="F8" s="2" t="s">
        <v>169</v>
      </c>
      <c r="G8" s="11"/>
    </row>
    <row r="9" spans="1:7">
      <c r="A9" s="12">
        <v>45800</v>
      </c>
      <c r="B9" s="2" t="s">
        <v>170</v>
      </c>
      <c r="C9" s="3">
        <v>70</v>
      </c>
      <c r="D9" s="3">
        <v>0</v>
      </c>
      <c r="E9" s="3">
        <f t="shared" si="1"/>
        <v>40268.379999999997</v>
      </c>
      <c r="F9" s="2" t="s">
        <v>169</v>
      </c>
      <c r="G9" s="11"/>
    </row>
    <row r="10" spans="1:7">
      <c r="A10" s="12">
        <v>45800</v>
      </c>
      <c r="B10" s="2" t="s">
        <v>170</v>
      </c>
      <c r="C10" s="3">
        <v>1000</v>
      </c>
      <c r="D10" s="3">
        <v>0</v>
      </c>
      <c r="E10" s="3">
        <f t="shared" si="1"/>
        <v>39268.379999999997</v>
      </c>
      <c r="F10" s="2" t="s">
        <v>169</v>
      </c>
      <c r="G10" s="11"/>
    </row>
    <row r="11" spans="1:7">
      <c r="A11" s="12">
        <v>45802</v>
      </c>
      <c r="B11" s="2" t="s">
        <v>170</v>
      </c>
      <c r="C11" s="3">
        <v>245</v>
      </c>
      <c r="D11" s="3">
        <v>0</v>
      </c>
      <c r="E11" s="3">
        <f t="shared" si="1"/>
        <v>39023.379999999997</v>
      </c>
      <c r="F11" s="2" t="s">
        <v>169</v>
      </c>
      <c r="G11" s="11"/>
    </row>
    <row r="12" spans="1:7">
      <c r="A12" s="12">
        <v>45807</v>
      </c>
      <c r="B12" s="2" t="s">
        <v>172</v>
      </c>
      <c r="C12" s="3">
        <v>5000</v>
      </c>
      <c r="D12" s="3">
        <v>0</v>
      </c>
      <c r="E12" s="1">
        <f>SUM(E1:E11)</f>
        <v>421825.39</v>
      </c>
      <c r="F12" s="2" t="s">
        <v>169</v>
      </c>
      <c r="G12" s="11"/>
    </row>
    <row r="13" spans="1:7">
      <c r="C13" s="1">
        <f>SUM(C2:C12)</f>
        <v>18638.900000000001</v>
      </c>
      <c r="D13" s="1">
        <f>SUM(D2:D12)</f>
        <v>1300</v>
      </c>
      <c r="E13" s="1">
        <f>D13-C13</f>
        <v>-17338.900000000001</v>
      </c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A10" sqref="A10:XFD10"/>
    </sheetView>
  </sheetViews>
  <sheetFormatPr defaultColWidth="9" defaultRowHeight="21"/>
  <cols>
    <col min="1" max="1" width="12.75" style="11" customWidth="1"/>
    <col min="2" max="2" width="17.875" customWidth="1"/>
    <col min="3" max="3" width="11.125" style="1" customWidth="1"/>
    <col min="4" max="4" width="12" style="1" customWidth="1"/>
    <col min="5" max="5" width="12.25" style="1" customWidth="1"/>
    <col min="7" max="7" width="10.125" customWidth="1"/>
  </cols>
  <sheetData>
    <row r="1" spans="1:6">
      <c r="A1" s="1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12">
        <v>45748</v>
      </c>
      <c r="B2" s="2" t="s">
        <v>166</v>
      </c>
      <c r="C2" s="3">
        <v>0</v>
      </c>
      <c r="D2" s="3">
        <v>0</v>
      </c>
      <c r="E2" s="3">
        <v>56455.76</v>
      </c>
      <c r="F2" s="2"/>
    </row>
    <row r="3" spans="1:6">
      <c r="A3" s="12">
        <v>45748</v>
      </c>
      <c r="B3" s="2" t="s">
        <v>172</v>
      </c>
      <c r="C3" s="3">
        <v>27000</v>
      </c>
      <c r="D3" s="3">
        <v>0</v>
      </c>
      <c r="E3" s="3">
        <f>E2-C3+D3</f>
        <v>29455.759999999998</v>
      </c>
      <c r="F3" s="2" t="s">
        <v>169</v>
      </c>
    </row>
    <row r="4" spans="1:6">
      <c r="A4" s="12">
        <v>45748</v>
      </c>
      <c r="B4" s="2" t="s">
        <v>168</v>
      </c>
      <c r="C4" s="3">
        <v>0</v>
      </c>
      <c r="D4" s="3">
        <v>31000</v>
      </c>
      <c r="E4" s="3">
        <f t="shared" ref="E4:E11" si="0">E3-C4+D4</f>
        <v>60455.76</v>
      </c>
      <c r="F4" s="2" t="s">
        <v>169</v>
      </c>
    </row>
    <row r="5" spans="1:6">
      <c r="A5" s="12">
        <v>45752</v>
      </c>
      <c r="B5" s="2" t="s">
        <v>170</v>
      </c>
      <c r="C5" s="3">
        <v>60</v>
      </c>
      <c r="D5" s="3">
        <v>0</v>
      </c>
      <c r="E5" s="3">
        <f t="shared" si="0"/>
        <v>60395.76</v>
      </c>
      <c r="F5" s="2" t="s">
        <v>169</v>
      </c>
    </row>
    <row r="6" spans="1:6">
      <c r="A6" s="12">
        <v>45755</v>
      </c>
      <c r="B6" s="2" t="s">
        <v>173</v>
      </c>
      <c r="C6" s="3">
        <v>0</v>
      </c>
      <c r="D6" s="3">
        <v>899.05</v>
      </c>
      <c r="E6" s="3">
        <f t="shared" si="0"/>
        <v>61294.81</v>
      </c>
      <c r="F6" s="2" t="s">
        <v>169</v>
      </c>
    </row>
    <row r="7" spans="1:6">
      <c r="A7" s="12">
        <v>45756</v>
      </c>
      <c r="B7" s="2" t="s">
        <v>167</v>
      </c>
      <c r="C7" s="3">
        <v>914.93</v>
      </c>
      <c r="D7" s="3">
        <v>0</v>
      </c>
      <c r="E7" s="3">
        <f t="shared" si="0"/>
        <v>60379.88</v>
      </c>
      <c r="F7" s="2" t="s">
        <v>7</v>
      </c>
    </row>
    <row r="8" spans="1:6">
      <c r="A8" s="12">
        <v>45756</v>
      </c>
      <c r="B8" s="2" t="s">
        <v>167</v>
      </c>
      <c r="C8" s="3">
        <v>4476.8100000000004</v>
      </c>
      <c r="D8" s="3">
        <v>0</v>
      </c>
      <c r="E8" s="3">
        <f t="shared" si="0"/>
        <v>55903.07</v>
      </c>
      <c r="F8" s="2" t="s">
        <v>7</v>
      </c>
    </row>
    <row r="9" spans="1:6">
      <c r="A9" s="12">
        <v>45757</v>
      </c>
      <c r="B9" s="2" t="s">
        <v>171</v>
      </c>
      <c r="C9" s="3">
        <v>660.79</v>
      </c>
      <c r="D9" s="3">
        <v>0</v>
      </c>
      <c r="E9" s="3">
        <f t="shared" si="0"/>
        <v>55242.28</v>
      </c>
      <c r="F9" s="2" t="s">
        <v>169</v>
      </c>
    </row>
    <row r="10" spans="1:6">
      <c r="A10" s="12">
        <v>45761</v>
      </c>
      <c r="B10" s="2" t="s">
        <v>168</v>
      </c>
      <c r="C10" s="3">
        <v>0</v>
      </c>
      <c r="D10" s="3">
        <v>1300</v>
      </c>
      <c r="E10" s="3">
        <f t="shared" si="0"/>
        <v>56542.28</v>
      </c>
      <c r="F10" s="2" t="s">
        <v>169</v>
      </c>
    </row>
    <row r="11" spans="1:6">
      <c r="A11" s="12">
        <v>45765</v>
      </c>
      <c r="B11" s="2" t="s">
        <v>170</v>
      </c>
      <c r="C11" s="3">
        <v>60</v>
      </c>
      <c r="D11" s="3">
        <v>0</v>
      </c>
      <c r="E11" s="3">
        <f t="shared" si="0"/>
        <v>56482.28</v>
      </c>
      <c r="F11" s="2" t="s">
        <v>169</v>
      </c>
    </row>
    <row r="12" spans="1:6">
      <c r="A12" s="12">
        <v>45770</v>
      </c>
      <c r="B12" s="2" t="s">
        <v>170</v>
      </c>
      <c r="C12" s="3">
        <v>60</v>
      </c>
      <c r="D12" s="3">
        <v>0</v>
      </c>
      <c r="E12" s="3">
        <f t="shared" ref="E12" si="1">E11-C12+D12</f>
        <v>56422.28</v>
      </c>
      <c r="F12" s="2" t="s">
        <v>169</v>
      </c>
    </row>
    <row r="13" spans="1:6">
      <c r="A13" s="12">
        <v>45772</v>
      </c>
      <c r="B13" s="2" t="s">
        <v>170</v>
      </c>
      <c r="C13" s="3">
        <v>60</v>
      </c>
      <c r="D13" s="3">
        <v>0</v>
      </c>
      <c r="E13" s="3">
        <f t="shared" ref="E13:E14" si="2">E12-C13+D13</f>
        <v>56362.28</v>
      </c>
      <c r="F13" s="2" t="s">
        <v>169</v>
      </c>
    </row>
    <row r="14" spans="1:6">
      <c r="A14" s="12">
        <v>45777</v>
      </c>
      <c r="B14" s="2" t="s">
        <v>172</v>
      </c>
      <c r="C14" s="3">
        <v>5000</v>
      </c>
      <c r="D14" s="3">
        <v>0</v>
      </c>
      <c r="E14" s="3">
        <f t="shared" si="2"/>
        <v>51362.28</v>
      </c>
      <c r="F14" s="2" t="s">
        <v>169</v>
      </c>
    </row>
    <row r="15" spans="1:6">
      <c r="C15" s="1">
        <f>SUM(C2:C10)</f>
        <v>33112.53</v>
      </c>
      <c r="D15" s="1">
        <f>SUM(D2:D10)</f>
        <v>33199.050000000003</v>
      </c>
      <c r="E15" s="1">
        <f>D15-C15</f>
        <v>86.520000000004103</v>
      </c>
    </row>
  </sheetData>
  <pageMargins left="0.7" right="0.7" top="0.75" bottom="0.75" header="0.3" footer="0.3"/>
  <pageSetup orientation="portrait" horizontalDpi="1200" verticalDpi="1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E12" sqref="E12"/>
    </sheetView>
  </sheetViews>
  <sheetFormatPr defaultColWidth="9" defaultRowHeight="21"/>
  <cols>
    <col min="1" max="1" width="12.75" style="11" customWidth="1"/>
    <col min="2" max="2" width="17.875" customWidth="1"/>
    <col min="3" max="3" width="11.125" style="1" customWidth="1"/>
    <col min="4" max="4" width="12" style="1" customWidth="1"/>
    <col min="5" max="5" width="12.25" style="1" customWidth="1"/>
    <col min="7" max="7" width="10.125" customWidth="1"/>
  </cols>
  <sheetData>
    <row r="1" spans="1:6">
      <c r="A1" s="1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12">
        <v>45717</v>
      </c>
      <c r="B2" s="2" t="s">
        <v>174</v>
      </c>
      <c r="C2" s="3">
        <v>0</v>
      </c>
      <c r="D2" s="3">
        <v>0</v>
      </c>
      <c r="E2" s="3">
        <v>32906.370000000003</v>
      </c>
      <c r="F2" s="2" t="s">
        <v>169</v>
      </c>
    </row>
    <row r="3" spans="1:6">
      <c r="A3" s="12">
        <v>45727</v>
      </c>
      <c r="B3" s="2" t="s">
        <v>168</v>
      </c>
      <c r="C3" s="3">
        <v>0</v>
      </c>
      <c r="D3" s="3">
        <v>47100</v>
      </c>
      <c r="E3" s="3">
        <f t="shared" ref="E3:E5" si="0">E2-C3+D3</f>
        <v>80006.37</v>
      </c>
      <c r="F3" s="2" t="s">
        <v>169</v>
      </c>
    </row>
    <row r="4" spans="1:6">
      <c r="A4" s="12">
        <v>45728</v>
      </c>
      <c r="B4" s="2" t="s">
        <v>167</v>
      </c>
      <c r="C4" s="3">
        <v>1576.53</v>
      </c>
      <c r="D4" s="3">
        <v>0</v>
      </c>
      <c r="E4" s="3">
        <f t="shared" si="0"/>
        <v>78429.84</v>
      </c>
      <c r="F4" s="2" t="s">
        <v>7</v>
      </c>
    </row>
    <row r="5" spans="1:6">
      <c r="A5" s="12">
        <v>45728</v>
      </c>
      <c r="B5" s="2" t="s">
        <v>167</v>
      </c>
      <c r="C5" s="3">
        <v>12586.08</v>
      </c>
      <c r="D5" s="3">
        <v>0</v>
      </c>
      <c r="E5" s="3">
        <f t="shared" si="0"/>
        <v>65843.759999999995</v>
      </c>
      <c r="F5" s="2" t="s">
        <v>7</v>
      </c>
    </row>
    <row r="6" spans="1:6">
      <c r="A6" s="12">
        <v>45731</v>
      </c>
      <c r="B6" s="2" t="s">
        <v>168</v>
      </c>
      <c r="C6" s="3">
        <v>0</v>
      </c>
      <c r="D6" s="3">
        <v>1300</v>
      </c>
      <c r="E6" s="3">
        <f t="shared" ref="E6:E8" si="1">E5-C6+D6</f>
        <v>67143.759999999995</v>
      </c>
      <c r="F6" s="2" t="s">
        <v>169</v>
      </c>
    </row>
    <row r="7" spans="1:6">
      <c r="A7" s="12">
        <v>45735</v>
      </c>
      <c r="B7" s="2" t="s">
        <v>171</v>
      </c>
      <c r="C7" s="3">
        <v>518</v>
      </c>
      <c r="D7" s="3">
        <v>0</v>
      </c>
      <c r="E7" s="3">
        <f t="shared" si="1"/>
        <v>66625.759999999995</v>
      </c>
      <c r="F7" s="2" t="s">
        <v>169</v>
      </c>
    </row>
    <row r="8" spans="1:6">
      <c r="A8" s="12">
        <v>45739</v>
      </c>
      <c r="B8" s="2" t="s">
        <v>170</v>
      </c>
      <c r="C8" s="3">
        <v>60</v>
      </c>
      <c r="D8" s="3">
        <v>0</v>
      </c>
      <c r="E8" s="3">
        <f t="shared" si="1"/>
        <v>66565.759999999995</v>
      </c>
      <c r="F8" s="2" t="s">
        <v>169</v>
      </c>
    </row>
    <row r="9" spans="1:6">
      <c r="A9" s="12">
        <v>45741</v>
      </c>
      <c r="B9" s="2" t="s">
        <v>170</v>
      </c>
      <c r="C9" s="3">
        <v>50</v>
      </c>
      <c r="D9" s="3">
        <v>0</v>
      </c>
      <c r="E9" s="3">
        <f t="shared" ref="E9:E10" si="2">E8-C9+D9</f>
        <v>66515.759999999995</v>
      </c>
      <c r="F9" s="2" t="s">
        <v>169</v>
      </c>
    </row>
    <row r="10" spans="1:6">
      <c r="A10" s="12">
        <v>45747</v>
      </c>
      <c r="B10" s="2" t="s">
        <v>172</v>
      </c>
      <c r="C10" s="3">
        <v>10000</v>
      </c>
      <c r="D10" s="3">
        <v>0</v>
      </c>
      <c r="E10" s="3">
        <f t="shared" si="2"/>
        <v>56515.76</v>
      </c>
      <c r="F10" s="2" t="s">
        <v>6</v>
      </c>
    </row>
    <row r="11" spans="1:6">
      <c r="A11" s="12">
        <v>45747</v>
      </c>
      <c r="B11" s="2" t="s">
        <v>170</v>
      </c>
      <c r="C11" s="3">
        <v>60</v>
      </c>
      <c r="D11" s="3">
        <v>0</v>
      </c>
      <c r="E11" s="3">
        <f t="shared" ref="E11" si="3">E10-C11+D11</f>
        <v>56455.76</v>
      </c>
      <c r="F11" s="2" t="s">
        <v>169</v>
      </c>
    </row>
    <row r="12" spans="1:6">
      <c r="C12" s="1">
        <f>SUM(C2:C11)</f>
        <v>24850.61</v>
      </c>
      <c r="D12" s="1">
        <f>SUM(D2:D11)</f>
        <v>48400</v>
      </c>
      <c r="E12" s="1">
        <f>D12-C12</f>
        <v>23549.39</v>
      </c>
    </row>
  </sheetData>
  <pageMargins left="0.7" right="0.7" top="0.75" bottom="0.75" header="0.3" footer="0.3"/>
  <pageSetup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A14" sqref="A14:XFD14"/>
    </sheetView>
  </sheetViews>
  <sheetFormatPr defaultColWidth="9" defaultRowHeight="21"/>
  <cols>
    <col min="1" max="1" width="12.25" style="8" customWidth="1"/>
    <col min="2" max="2" width="17.875" customWidth="1"/>
    <col min="3" max="3" width="11.125" style="1" customWidth="1"/>
    <col min="4" max="4" width="12" style="1" customWidth="1"/>
    <col min="5" max="5" width="12.25" style="1" customWidth="1"/>
    <col min="7" max="7" width="10.125" customWidth="1"/>
  </cols>
  <sheetData>
    <row r="1" spans="1:7">
      <c r="A1" s="9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7">
      <c r="A2" s="9">
        <v>45689</v>
      </c>
      <c r="B2" s="2" t="s">
        <v>166</v>
      </c>
      <c r="C2" s="3">
        <v>0</v>
      </c>
      <c r="D2" s="3">
        <v>0</v>
      </c>
      <c r="E2" s="3">
        <v>52295.57</v>
      </c>
      <c r="F2" s="2"/>
    </row>
    <row r="3" spans="1:7">
      <c r="A3" s="9">
        <v>45693</v>
      </c>
      <c r="B3" s="2" t="s">
        <v>172</v>
      </c>
      <c r="C3" s="3">
        <v>300</v>
      </c>
      <c r="D3" s="3">
        <v>0</v>
      </c>
      <c r="E3" s="3">
        <f>E2-C3+D3</f>
        <v>51995.57</v>
      </c>
      <c r="F3" s="2" t="s">
        <v>6</v>
      </c>
    </row>
    <row r="4" spans="1:7">
      <c r="A4" s="9">
        <v>45695</v>
      </c>
      <c r="B4" s="2" t="s">
        <v>171</v>
      </c>
      <c r="C4" s="3">
        <v>817</v>
      </c>
      <c r="D4" s="3">
        <v>0</v>
      </c>
      <c r="E4" s="3">
        <f t="shared" ref="E4:E10" si="0">E3-C4+D4</f>
        <v>51178.57</v>
      </c>
      <c r="F4" s="2" t="s">
        <v>169</v>
      </c>
    </row>
    <row r="5" spans="1:7">
      <c r="A5" s="9">
        <v>45697</v>
      </c>
      <c r="B5" s="2" t="s">
        <v>167</v>
      </c>
      <c r="C5" s="3">
        <v>973</v>
      </c>
      <c r="D5" s="3">
        <v>0</v>
      </c>
      <c r="E5" s="3">
        <f t="shared" si="0"/>
        <v>50205.57</v>
      </c>
      <c r="F5" s="2" t="s">
        <v>7</v>
      </c>
    </row>
    <row r="6" spans="1:7">
      <c r="A6" s="9">
        <v>45697</v>
      </c>
      <c r="B6" s="2" t="s">
        <v>167</v>
      </c>
      <c r="C6" s="3">
        <v>25099.599999999999</v>
      </c>
      <c r="D6" s="3">
        <v>0</v>
      </c>
      <c r="E6" s="3">
        <f t="shared" si="0"/>
        <v>25105.97</v>
      </c>
      <c r="F6" s="2" t="s">
        <v>7</v>
      </c>
    </row>
    <row r="7" spans="1:7">
      <c r="A7" s="9">
        <v>45702</v>
      </c>
      <c r="B7" s="2" t="s">
        <v>168</v>
      </c>
      <c r="C7" s="3">
        <v>0</v>
      </c>
      <c r="D7" s="3">
        <v>1300</v>
      </c>
      <c r="E7" s="3">
        <f t="shared" si="0"/>
        <v>26405.97</v>
      </c>
      <c r="F7" s="2" t="s">
        <v>118</v>
      </c>
      <c r="G7" s="10">
        <v>27000</v>
      </c>
    </row>
    <row r="8" spans="1:7">
      <c r="A8" s="9">
        <v>45703</v>
      </c>
      <c r="B8" s="2" t="s">
        <v>168</v>
      </c>
      <c r="C8" s="3">
        <v>0</v>
      </c>
      <c r="D8" s="3">
        <v>25000</v>
      </c>
      <c r="E8" s="3">
        <f t="shared" si="0"/>
        <v>51405.97</v>
      </c>
      <c r="F8" s="2" t="s">
        <v>118</v>
      </c>
      <c r="G8" s="10">
        <v>27000</v>
      </c>
    </row>
    <row r="9" spans="1:7">
      <c r="A9" s="9">
        <v>45706</v>
      </c>
      <c r="B9" s="2" t="s">
        <v>172</v>
      </c>
      <c r="C9" s="3">
        <v>13322.8</v>
      </c>
      <c r="D9" s="3">
        <v>0</v>
      </c>
      <c r="E9" s="3">
        <f t="shared" si="0"/>
        <v>38083.17</v>
      </c>
      <c r="F9" s="2" t="s">
        <v>6</v>
      </c>
    </row>
    <row r="10" spans="1:7">
      <c r="A10" s="9">
        <v>45706</v>
      </c>
      <c r="B10" s="2" t="s">
        <v>172</v>
      </c>
      <c r="C10" s="3">
        <v>13322.8</v>
      </c>
      <c r="D10" s="3">
        <v>0</v>
      </c>
      <c r="E10" s="3">
        <f t="shared" si="0"/>
        <v>24760.37</v>
      </c>
      <c r="F10" s="2" t="s">
        <v>6</v>
      </c>
    </row>
    <row r="11" spans="1:7">
      <c r="A11" s="9">
        <v>45707</v>
      </c>
      <c r="B11" s="2" t="s">
        <v>168</v>
      </c>
      <c r="C11" s="3">
        <v>0</v>
      </c>
      <c r="D11" s="3">
        <v>25000</v>
      </c>
      <c r="E11" s="3">
        <f t="shared" ref="E11:E14" si="1">E10-C11+D11</f>
        <v>49760.37</v>
      </c>
      <c r="F11" s="2" t="s">
        <v>118</v>
      </c>
      <c r="G11" s="10">
        <v>27000</v>
      </c>
    </row>
    <row r="12" spans="1:7">
      <c r="A12" s="9">
        <v>45709</v>
      </c>
      <c r="B12" s="2" t="s">
        <v>171</v>
      </c>
      <c r="C12" s="3">
        <v>518</v>
      </c>
      <c r="D12" s="3">
        <v>0</v>
      </c>
      <c r="E12" s="3">
        <f t="shared" si="1"/>
        <v>49242.37</v>
      </c>
      <c r="F12" s="2" t="s">
        <v>169</v>
      </c>
    </row>
    <row r="13" spans="1:7">
      <c r="A13" s="9">
        <v>45714</v>
      </c>
      <c r="B13" s="2" t="s">
        <v>172</v>
      </c>
      <c r="C13" s="3">
        <v>6336</v>
      </c>
      <c r="D13" s="3">
        <v>0</v>
      </c>
      <c r="E13" s="3">
        <f t="shared" si="1"/>
        <v>42906.37</v>
      </c>
      <c r="F13" s="2" t="s">
        <v>6</v>
      </c>
    </row>
    <row r="14" spans="1:7">
      <c r="A14" s="9">
        <v>45716</v>
      </c>
      <c r="B14" s="2" t="s">
        <v>172</v>
      </c>
      <c r="C14" s="3">
        <v>10000</v>
      </c>
      <c r="D14" s="3">
        <v>0</v>
      </c>
      <c r="E14" s="3">
        <f t="shared" si="1"/>
        <v>32906.370000000003</v>
      </c>
      <c r="F14" s="2" t="s">
        <v>6</v>
      </c>
    </row>
    <row r="15" spans="1:7">
      <c r="C15" s="1">
        <f>SUM(C2:C11)</f>
        <v>53835.199999999997</v>
      </c>
      <c r="D15" s="1">
        <f>SUM(D2:D11)</f>
        <v>51300</v>
      </c>
      <c r="E15" s="1">
        <f>D15-C15</f>
        <v>-2535.1999999999998</v>
      </c>
    </row>
  </sheetData>
  <pageMargins left="0.7" right="0.7" top="0.75" bottom="0.75" header="0.3" footer="0.3"/>
  <pageSetup orientation="portrait" horizontalDpi="1200" vertic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topLeftCell="A4" workbookViewId="0">
      <selection activeCell="A15" sqref="A15:XFD15"/>
    </sheetView>
  </sheetViews>
  <sheetFormatPr defaultColWidth="9" defaultRowHeight="21"/>
  <cols>
    <col min="1" max="1" width="11.875" style="6" customWidth="1"/>
    <col min="2" max="2" width="17.875" customWidth="1"/>
    <col min="3" max="3" width="11.125" style="1" customWidth="1"/>
    <col min="4" max="4" width="12" style="1" customWidth="1"/>
    <col min="5" max="5" width="12.25" style="1" customWidth="1"/>
  </cols>
  <sheetData>
    <row r="1" spans="1:6">
      <c r="A1" s="7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7">
        <v>45658</v>
      </c>
      <c r="B2" s="2" t="s">
        <v>166</v>
      </c>
      <c r="C2" s="3">
        <v>0</v>
      </c>
      <c r="D2" s="3">
        <v>0</v>
      </c>
      <c r="E2" s="3">
        <v>91518.59</v>
      </c>
      <c r="F2" s="2"/>
    </row>
    <row r="3" spans="1:6">
      <c r="A3" s="4">
        <v>45658</v>
      </c>
      <c r="B3" s="2" t="s">
        <v>172</v>
      </c>
      <c r="C3" s="3">
        <v>48092</v>
      </c>
      <c r="D3" s="3">
        <v>0</v>
      </c>
      <c r="E3" s="3">
        <f>E2-C3+D3</f>
        <v>43426.59</v>
      </c>
      <c r="F3" s="2" t="s">
        <v>6</v>
      </c>
    </row>
    <row r="4" spans="1:6">
      <c r="A4" s="7">
        <v>45839</v>
      </c>
      <c r="B4" s="2" t="s">
        <v>171</v>
      </c>
      <c r="C4" s="3">
        <v>497</v>
      </c>
      <c r="D4" s="3">
        <v>0</v>
      </c>
      <c r="E4" s="3">
        <f t="shared" ref="E4:E5" si="0">E3-C4+D4</f>
        <v>42929.59</v>
      </c>
      <c r="F4" s="2" t="s">
        <v>169</v>
      </c>
    </row>
    <row r="5" spans="1:6">
      <c r="A5" s="7">
        <v>45870</v>
      </c>
      <c r="B5" s="2" t="s">
        <v>168</v>
      </c>
      <c r="C5" s="3">
        <v>0</v>
      </c>
      <c r="D5" s="3">
        <v>4017.13</v>
      </c>
      <c r="E5" s="3">
        <f t="shared" si="0"/>
        <v>46946.720000000001</v>
      </c>
      <c r="F5" s="2" t="s">
        <v>175</v>
      </c>
    </row>
    <row r="6" spans="1:6">
      <c r="A6" s="7">
        <v>45665</v>
      </c>
      <c r="B6" s="2" t="s">
        <v>170</v>
      </c>
      <c r="C6" s="3">
        <v>1900</v>
      </c>
      <c r="D6" s="3">
        <v>0</v>
      </c>
      <c r="E6" s="3">
        <f t="shared" ref="E6:E9" si="1">E5-C6+D6</f>
        <v>45046.720000000001</v>
      </c>
      <c r="F6" s="2" t="s">
        <v>176</v>
      </c>
    </row>
    <row r="7" spans="1:6">
      <c r="A7" s="7">
        <v>45666</v>
      </c>
      <c r="B7" s="2" t="s">
        <v>167</v>
      </c>
      <c r="C7" s="3">
        <v>1613.93</v>
      </c>
      <c r="D7" s="3">
        <v>0</v>
      </c>
      <c r="E7" s="3">
        <f t="shared" si="1"/>
        <v>43432.79</v>
      </c>
      <c r="F7" s="2" t="s">
        <v>7</v>
      </c>
    </row>
    <row r="8" spans="1:6">
      <c r="A8" s="7">
        <v>45666</v>
      </c>
      <c r="B8" s="2" t="s">
        <v>167</v>
      </c>
      <c r="C8" s="3">
        <v>22915.82</v>
      </c>
      <c r="D8" s="3">
        <v>0</v>
      </c>
      <c r="E8" s="3">
        <f t="shared" si="1"/>
        <v>20516.97</v>
      </c>
      <c r="F8" s="2" t="s">
        <v>7</v>
      </c>
    </row>
    <row r="9" spans="1:6">
      <c r="A9" s="7">
        <v>45667</v>
      </c>
      <c r="B9" s="2" t="s">
        <v>168</v>
      </c>
      <c r="C9" s="3">
        <v>4017.13</v>
      </c>
      <c r="D9" s="3">
        <v>0</v>
      </c>
      <c r="E9" s="3">
        <f t="shared" si="1"/>
        <v>16499.84</v>
      </c>
      <c r="F9" s="2" t="s">
        <v>169</v>
      </c>
    </row>
    <row r="10" spans="1:6">
      <c r="A10" s="7">
        <v>45667</v>
      </c>
      <c r="B10" s="2" t="s">
        <v>168</v>
      </c>
      <c r="C10" s="3">
        <v>0</v>
      </c>
      <c r="D10" s="3">
        <v>49500</v>
      </c>
      <c r="E10" s="3">
        <f t="shared" ref="E10:E12" si="2">E9-C10+D10</f>
        <v>65999.839999999997</v>
      </c>
      <c r="F10" s="2" t="s">
        <v>176</v>
      </c>
    </row>
    <row r="11" spans="1:6">
      <c r="A11" s="7">
        <v>45668</v>
      </c>
      <c r="B11" s="2" t="s">
        <v>171</v>
      </c>
      <c r="C11" s="3">
        <v>904.27</v>
      </c>
      <c r="D11" s="3">
        <v>0</v>
      </c>
      <c r="E11" s="3">
        <f t="shared" si="2"/>
        <v>65095.57</v>
      </c>
      <c r="F11" s="2" t="s">
        <v>169</v>
      </c>
    </row>
    <row r="12" spans="1:6">
      <c r="A12" s="4">
        <v>45671</v>
      </c>
      <c r="B12" s="2" t="s">
        <v>172</v>
      </c>
      <c r="C12" s="3">
        <v>4100</v>
      </c>
      <c r="D12" s="3">
        <v>0</v>
      </c>
      <c r="E12" s="3">
        <f t="shared" si="2"/>
        <v>60995.57</v>
      </c>
      <c r="F12" s="2" t="s">
        <v>6</v>
      </c>
    </row>
    <row r="13" spans="1:6">
      <c r="A13" s="7">
        <v>45672</v>
      </c>
      <c r="B13" s="2" t="s">
        <v>168</v>
      </c>
      <c r="C13" s="3">
        <v>0</v>
      </c>
      <c r="D13" s="3">
        <v>1300</v>
      </c>
      <c r="E13" s="3">
        <f t="shared" ref="E13:E17" si="3">E12-C13+D13</f>
        <v>62295.57</v>
      </c>
      <c r="F13" s="2" t="s">
        <v>176</v>
      </c>
    </row>
    <row r="14" spans="1:6">
      <c r="A14" s="7">
        <v>45684</v>
      </c>
      <c r="B14" s="2" t="s">
        <v>168</v>
      </c>
      <c r="C14" s="3">
        <v>0</v>
      </c>
      <c r="D14" s="3">
        <v>10000</v>
      </c>
      <c r="E14" s="3">
        <f t="shared" si="3"/>
        <v>72295.570000000007</v>
      </c>
      <c r="F14" s="2" t="s">
        <v>175</v>
      </c>
    </row>
    <row r="15" spans="1:6">
      <c r="A15" s="7">
        <v>45685</v>
      </c>
      <c r="B15" s="2" t="s">
        <v>170</v>
      </c>
      <c r="C15" s="3">
        <v>5000</v>
      </c>
      <c r="D15" s="3">
        <v>0</v>
      </c>
      <c r="E15" s="3">
        <f t="shared" si="3"/>
        <v>67295.570000000007</v>
      </c>
      <c r="F15" s="2" t="s">
        <v>176</v>
      </c>
    </row>
    <row r="16" spans="1:6">
      <c r="A16" s="7">
        <v>45685</v>
      </c>
      <c r="B16" s="2" t="s">
        <v>170</v>
      </c>
      <c r="C16" s="3">
        <v>5000</v>
      </c>
      <c r="D16" s="3">
        <v>0</v>
      </c>
      <c r="E16" s="3">
        <f t="shared" ref="E16" si="4">E15-C16+D16</f>
        <v>62295.57</v>
      </c>
      <c r="F16" s="2" t="s">
        <v>176</v>
      </c>
    </row>
    <row r="17" spans="1:6">
      <c r="A17" s="4">
        <v>45688</v>
      </c>
      <c r="B17" s="2" t="s">
        <v>172</v>
      </c>
      <c r="C17" s="3">
        <v>10000</v>
      </c>
      <c r="D17" s="3">
        <v>0</v>
      </c>
      <c r="E17" s="3">
        <f t="shared" si="3"/>
        <v>52295.57</v>
      </c>
      <c r="F17" s="2" t="s">
        <v>175</v>
      </c>
    </row>
    <row r="18" spans="1:6">
      <c r="C18" s="1">
        <f>SUM(C2:C17)</f>
        <v>104040.15</v>
      </c>
      <c r="D18" s="1">
        <f>SUM(D2:D17)</f>
        <v>64817.13</v>
      </c>
      <c r="E18" s="1">
        <f>D18-C18</f>
        <v>-39223.019999999997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>
      <selection activeCell="A11" sqref="A11"/>
    </sheetView>
  </sheetViews>
  <sheetFormatPr defaultColWidth="9" defaultRowHeight="21"/>
  <cols>
    <col min="1" max="1" width="11.875" style="6" customWidth="1"/>
    <col min="2" max="2" width="17.875" customWidth="1"/>
    <col min="3" max="3" width="11.125" style="1" customWidth="1"/>
    <col min="4" max="4" width="10.625" style="1" customWidth="1"/>
    <col min="5" max="5" width="12.25" style="1" customWidth="1"/>
  </cols>
  <sheetData>
    <row r="1" spans="1:6">
      <c r="A1" s="7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7">
        <v>45992</v>
      </c>
      <c r="B2" s="2" t="s">
        <v>166</v>
      </c>
      <c r="C2" s="3">
        <v>0</v>
      </c>
      <c r="D2" s="3">
        <v>0</v>
      </c>
      <c r="E2" s="3">
        <v>118918.17</v>
      </c>
      <c r="F2" s="2"/>
    </row>
    <row r="3" spans="1:6">
      <c r="A3" s="7">
        <v>45997</v>
      </c>
      <c r="B3" s="2" t="s">
        <v>171</v>
      </c>
      <c r="C3" s="3">
        <v>192</v>
      </c>
      <c r="D3" s="3">
        <v>0</v>
      </c>
      <c r="E3" s="3">
        <f>E2-C3+D3</f>
        <v>118726.17</v>
      </c>
      <c r="F3" s="2" t="s">
        <v>169</v>
      </c>
    </row>
    <row r="4" spans="1:6">
      <c r="A4" s="7">
        <v>46000</v>
      </c>
      <c r="B4" s="2" t="s">
        <v>168</v>
      </c>
      <c r="C4" s="3">
        <v>0</v>
      </c>
      <c r="D4" s="3">
        <v>3000</v>
      </c>
      <c r="E4" s="3">
        <f t="shared" ref="E4:E7" si="0">E3-C4+D4</f>
        <v>121726.17</v>
      </c>
      <c r="F4" s="2" t="s">
        <v>169</v>
      </c>
    </row>
    <row r="5" spans="1:6">
      <c r="A5" s="7">
        <v>46001</v>
      </c>
      <c r="B5" s="2" t="s">
        <v>167</v>
      </c>
      <c r="C5" s="3">
        <v>1613.93</v>
      </c>
      <c r="D5" s="3">
        <v>0</v>
      </c>
      <c r="E5" s="3">
        <f t="shared" si="0"/>
        <v>120112.24</v>
      </c>
      <c r="F5" s="2" t="s">
        <v>7</v>
      </c>
    </row>
    <row r="6" spans="1:6">
      <c r="A6" s="7">
        <v>46001</v>
      </c>
      <c r="B6" s="2" t="s">
        <v>167</v>
      </c>
      <c r="C6" s="3">
        <v>19175.650000000001</v>
      </c>
      <c r="D6" s="3">
        <v>0</v>
      </c>
      <c r="E6" s="3">
        <f t="shared" si="0"/>
        <v>100936.59</v>
      </c>
      <c r="F6" s="2" t="s">
        <v>7</v>
      </c>
    </row>
    <row r="7" spans="1:6">
      <c r="A7" s="7">
        <v>46005</v>
      </c>
      <c r="B7" s="2" t="s">
        <v>171</v>
      </c>
      <c r="C7" s="3">
        <v>660.79</v>
      </c>
      <c r="D7" s="3">
        <v>0</v>
      </c>
      <c r="E7" s="3">
        <f t="shared" si="0"/>
        <v>100275.8</v>
      </c>
      <c r="F7" s="2" t="s">
        <v>169</v>
      </c>
    </row>
    <row r="8" spans="1:6">
      <c r="A8" s="7">
        <v>46006</v>
      </c>
      <c r="B8" s="2" t="s">
        <v>168</v>
      </c>
      <c r="C8" s="3">
        <v>0</v>
      </c>
      <c r="D8" s="3">
        <v>1300</v>
      </c>
      <c r="E8" s="3">
        <f t="shared" ref="E8:E11" si="1">E7-C8+D8</f>
        <v>101575.8</v>
      </c>
      <c r="F8" s="2" t="s">
        <v>176</v>
      </c>
    </row>
    <row r="9" spans="1:6">
      <c r="A9" s="7">
        <v>46016</v>
      </c>
      <c r="B9" s="2" t="s">
        <v>177</v>
      </c>
      <c r="C9" s="3">
        <v>0</v>
      </c>
      <c r="D9" s="3">
        <v>242.79</v>
      </c>
      <c r="E9" s="3">
        <f t="shared" si="1"/>
        <v>101818.59</v>
      </c>
      <c r="F9" s="2" t="s">
        <v>178</v>
      </c>
    </row>
    <row r="10" spans="1:6">
      <c r="A10" s="6">
        <v>46022</v>
      </c>
      <c r="B10" t="s">
        <v>179</v>
      </c>
      <c r="C10" s="1">
        <v>300</v>
      </c>
      <c r="D10" s="1">
        <v>0</v>
      </c>
      <c r="E10" s="3">
        <f t="shared" si="1"/>
        <v>101518.59</v>
      </c>
      <c r="F10" t="s">
        <v>169</v>
      </c>
    </row>
    <row r="11" spans="1:6">
      <c r="A11" s="4">
        <v>45596</v>
      </c>
      <c r="B11" s="2" t="s">
        <v>172</v>
      </c>
      <c r="C11" s="3">
        <v>10000</v>
      </c>
      <c r="D11" s="3">
        <v>0</v>
      </c>
      <c r="E11" s="3">
        <f t="shared" si="1"/>
        <v>91518.59</v>
      </c>
      <c r="F11" s="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>
      <selection activeCell="E3" sqref="E3"/>
    </sheetView>
  </sheetViews>
  <sheetFormatPr defaultColWidth="9" defaultRowHeight="21"/>
  <cols>
    <col min="1" max="1" width="11.875" customWidth="1"/>
    <col min="2" max="2" width="17.875" customWidth="1"/>
    <col min="3" max="3" width="11.125" style="1" customWidth="1"/>
    <col min="4" max="4" width="10.625" style="1" customWidth="1"/>
    <col min="5" max="5" width="12.25" style="1" customWidth="1"/>
  </cols>
  <sheetData>
    <row r="1" spans="1:6">
      <c r="A1" s="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4">
        <v>45597</v>
      </c>
      <c r="B2" s="2" t="s">
        <v>166</v>
      </c>
      <c r="C2" s="3">
        <v>0</v>
      </c>
      <c r="D2" s="3">
        <v>0</v>
      </c>
      <c r="E2" s="3">
        <v>141717.12</v>
      </c>
      <c r="F2" s="2"/>
    </row>
    <row r="3" spans="1:6">
      <c r="A3" s="4">
        <v>45605</v>
      </c>
      <c r="B3" s="2" t="s">
        <v>167</v>
      </c>
      <c r="C3" s="3">
        <v>1613.93</v>
      </c>
      <c r="D3" s="3">
        <v>0</v>
      </c>
      <c r="E3" s="3">
        <f>E2-C3+D3</f>
        <v>140103.19</v>
      </c>
      <c r="F3" s="2" t="s">
        <v>7</v>
      </c>
    </row>
    <row r="4" spans="1:6">
      <c r="A4" s="4">
        <v>45605</v>
      </c>
      <c r="B4" s="2" t="s">
        <v>167</v>
      </c>
      <c r="C4" s="3">
        <v>22118.67</v>
      </c>
      <c r="D4" s="3">
        <v>0</v>
      </c>
      <c r="E4" s="3">
        <f t="shared" ref="E4:E8" si="0">E3-C4+D4</f>
        <v>117984.52</v>
      </c>
      <c r="F4" s="2" t="s">
        <v>7</v>
      </c>
    </row>
    <row r="5" spans="1:6">
      <c r="A5" s="4">
        <v>45607</v>
      </c>
      <c r="B5" s="2" t="s">
        <v>168</v>
      </c>
      <c r="C5" s="3">
        <v>0</v>
      </c>
      <c r="D5" s="3">
        <v>1300</v>
      </c>
      <c r="E5" s="3">
        <f t="shared" si="0"/>
        <v>119284.52</v>
      </c>
      <c r="F5" s="2" t="s">
        <v>176</v>
      </c>
    </row>
    <row r="6" spans="1:6">
      <c r="A6" s="5">
        <v>45609</v>
      </c>
      <c r="B6" t="s">
        <v>180</v>
      </c>
      <c r="C6" s="1">
        <v>330</v>
      </c>
      <c r="D6" s="1">
        <v>0</v>
      </c>
      <c r="E6" s="3">
        <f t="shared" si="0"/>
        <v>118954.52</v>
      </c>
      <c r="F6" t="s">
        <v>169</v>
      </c>
    </row>
    <row r="7" spans="1:6">
      <c r="A7" s="5">
        <v>45614</v>
      </c>
      <c r="B7" t="s">
        <v>180</v>
      </c>
      <c r="C7" s="1">
        <v>518</v>
      </c>
      <c r="D7" s="1">
        <v>0</v>
      </c>
      <c r="E7" s="3">
        <f t="shared" si="0"/>
        <v>118436.52</v>
      </c>
      <c r="F7" t="s">
        <v>169</v>
      </c>
    </row>
    <row r="8" spans="1:6">
      <c r="A8" s="4">
        <v>45596</v>
      </c>
      <c r="B8" s="2" t="s">
        <v>168</v>
      </c>
      <c r="C8" s="3">
        <v>0</v>
      </c>
      <c r="D8" s="3">
        <v>481.65</v>
      </c>
      <c r="E8" s="3">
        <f t="shared" si="0"/>
        <v>118918.17</v>
      </c>
      <c r="F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1"/>
  <sheetViews>
    <sheetView workbookViewId="0">
      <selection activeCell="A11" sqref="A11:XFD11"/>
    </sheetView>
  </sheetViews>
  <sheetFormatPr defaultColWidth="9" defaultRowHeight="21"/>
  <cols>
    <col min="1" max="1" width="10.25" customWidth="1"/>
    <col min="2" max="2" width="17.875" customWidth="1"/>
    <col min="3" max="3" width="11.125" style="1" customWidth="1"/>
    <col min="4" max="5" width="10.625" style="1" customWidth="1"/>
  </cols>
  <sheetData>
    <row r="1" spans="1:6">
      <c r="A1" s="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4">
        <v>45566</v>
      </c>
      <c r="B2" s="2" t="s">
        <v>166</v>
      </c>
      <c r="C2" s="3">
        <v>0</v>
      </c>
      <c r="D2" s="3">
        <v>0</v>
      </c>
      <c r="E2" s="3">
        <v>188426.47</v>
      </c>
      <c r="F2" s="2"/>
    </row>
    <row r="3" spans="1:6">
      <c r="A3" s="5">
        <v>45566</v>
      </c>
      <c r="B3" t="s">
        <v>180</v>
      </c>
      <c r="C3" s="1">
        <v>5000</v>
      </c>
      <c r="D3" s="1">
        <v>0</v>
      </c>
      <c r="E3" s="3">
        <f t="shared" ref="E3:E9" si="0">E2-C3+D3</f>
        <v>183426.47</v>
      </c>
      <c r="F3" t="s">
        <v>169</v>
      </c>
    </row>
    <row r="4" spans="1:6">
      <c r="A4" s="5">
        <v>45572</v>
      </c>
      <c r="B4" t="s">
        <v>171</v>
      </c>
      <c r="C4" s="1">
        <v>639.86</v>
      </c>
      <c r="D4" s="1">
        <v>0</v>
      </c>
      <c r="E4" s="3">
        <f t="shared" si="0"/>
        <v>182786.61</v>
      </c>
      <c r="F4" t="s">
        <v>169</v>
      </c>
    </row>
    <row r="5" spans="1:6">
      <c r="A5" s="4">
        <v>45575</v>
      </c>
      <c r="B5" s="2" t="s">
        <v>167</v>
      </c>
      <c r="C5" s="3">
        <v>2224.86</v>
      </c>
      <c r="D5" s="3">
        <v>0</v>
      </c>
      <c r="E5" s="3">
        <f t="shared" si="0"/>
        <v>180561.75</v>
      </c>
      <c r="F5" s="2" t="s">
        <v>7</v>
      </c>
    </row>
    <row r="6" spans="1:6">
      <c r="A6" s="4">
        <v>45575</v>
      </c>
      <c r="B6" s="2" t="s">
        <v>167</v>
      </c>
      <c r="C6" s="3">
        <v>14381.63</v>
      </c>
      <c r="D6" s="3">
        <v>0</v>
      </c>
      <c r="E6" s="3">
        <f t="shared" si="0"/>
        <v>166180.12</v>
      </c>
      <c r="F6" s="2" t="s">
        <v>7</v>
      </c>
    </row>
    <row r="7" spans="1:6">
      <c r="A7" s="4">
        <v>45576</v>
      </c>
      <c r="B7" s="2" t="s">
        <v>168</v>
      </c>
      <c r="C7" s="3">
        <v>0</v>
      </c>
      <c r="D7" s="3">
        <v>1300</v>
      </c>
      <c r="E7" s="3">
        <f t="shared" si="0"/>
        <v>167480.12</v>
      </c>
      <c r="F7" s="2" t="s">
        <v>176</v>
      </c>
    </row>
    <row r="8" spans="1:6">
      <c r="A8" s="5">
        <v>45581</v>
      </c>
      <c r="B8" t="s">
        <v>180</v>
      </c>
      <c r="C8" s="1">
        <v>245</v>
      </c>
      <c r="D8" s="1">
        <v>0</v>
      </c>
      <c r="E8" s="3">
        <f t="shared" si="0"/>
        <v>167235.12</v>
      </c>
      <c r="F8" t="s">
        <v>169</v>
      </c>
    </row>
    <row r="9" spans="1:6">
      <c r="A9" s="5">
        <v>45582</v>
      </c>
      <c r="B9" t="s">
        <v>180</v>
      </c>
      <c r="C9" s="1">
        <v>15000</v>
      </c>
      <c r="D9" s="1">
        <v>0</v>
      </c>
      <c r="E9" s="3">
        <f t="shared" si="0"/>
        <v>152235.12</v>
      </c>
      <c r="F9" t="s">
        <v>169</v>
      </c>
    </row>
    <row r="10" spans="1:6">
      <c r="A10" s="5">
        <v>45581</v>
      </c>
      <c r="B10" t="s">
        <v>171</v>
      </c>
      <c r="C10" s="1">
        <v>518</v>
      </c>
      <c r="D10" s="1">
        <v>0</v>
      </c>
      <c r="E10" s="3">
        <f t="shared" ref="E10:E11" si="1">E9-C10+D10</f>
        <v>151717.12</v>
      </c>
      <c r="F10" t="s">
        <v>169</v>
      </c>
    </row>
    <row r="11" spans="1:6">
      <c r="A11" s="4">
        <v>45596</v>
      </c>
      <c r="B11" s="2" t="s">
        <v>172</v>
      </c>
      <c r="C11" s="3">
        <v>10000</v>
      </c>
      <c r="D11" s="3">
        <v>0</v>
      </c>
      <c r="E11" s="3">
        <f t="shared" si="1"/>
        <v>141717.12</v>
      </c>
      <c r="F11" s="2" t="s">
        <v>175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4"/>
  <sheetViews>
    <sheetView topLeftCell="A10" workbookViewId="0">
      <selection activeCell="B14" sqref="B14"/>
    </sheetView>
  </sheetViews>
  <sheetFormatPr defaultColWidth="9" defaultRowHeight="21"/>
  <cols>
    <col min="1" max="1" width="10.25" customWidth="1"/>
    <col min="2" max="2" width="17.875" customWidth="1"/>
    <col min="3" max="5" width="10.625" style="1" customWidth="1"/>
  </cols>
  <sheetData>
    <row r="1" spans="1:6">
      <c r="A1" s="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4">
        <v>45536</v>
      </c>
      <c r="B2" s="2" t="s">
        <v>166</v>
      </c>
      <c r="C2" s="3">
        <v>0</v>
      </c>
      <c r="D2" s="3">
        <v>0</v>
      </c>
      <c r="E2" s="3">
        <v>100666.74</v>
      </c>
      <c r="F2" s="2"/>
    </row>
    <row r="3" spans="1:6">
      <c r="A3" s="5">
        <v>45538</v>
      </c>
      <c r="B3" t="s">
        <v>180</v>
      </c>
      <c r="C3" s="1">
        <v>500</v>
      </c>
      <c r="D3" s="1">
        <v>0</v>
      </c>
      <c r="E3" s="3">
        <f t="shared" ref="E3" si="0">E2-C3+D3</f>
        <v>100166.74</v>
      </c>
      <c r="F3" t="s">
        <v>169</v>
      </c>
    </row>
    <row r="4" spans="1:6">
      <c r="A4" s="5">
        <v>45539</v>
      </c>
      <c r="B4" t="s">
        <v>180</v>
      </c>
      <c r="C4" s="1">
        <v>100</v>
      </c>
      <c r="D4" s="1">
        <v>0</v>
      </c>
      <c r="E4" s="3">
        <f t="shared" ref="E4:E5" si="1">E3-C4+D4</f>
        <v>100066.74</v>
      </c>
      <c r="F4" t="s">
        <v>169</v>
      </c>
    </row>
    <row r="5" spans="1:6">
      <c r="A5" s="4">
        <v>45544</v>
      </c>
      <c r="B5" s="2" t="s">
        <v>167</v>
      </c>
      <c r="C5" s="3">
        <v>393</v>
      </c>
      <c r="D5" s="3">
        <v>0</v>
      </c>
      <c r="E5" s="3">
        <f t="shared" si="1"/>
        <v>99673.74</v>
      </c>
      <c r="F5" s="2" t="s">
        <v>7</v>
      </c>
    </row>
    <row r="6" spans="1:6">
      <c r="A6" s="4">
        <v>45544</v>
      </c>
      <c r="B6" s="2" t="s">
        <v>167</v>
      </c>
      <c r="C6" s="3">
        <v>27661.77</v>
      </c>
      <c r="D6" s="3">
        <v>0</v>
      </c>
      <c r="E6" s="3">
        <f t="shared" ref="E6:E10" si="2">E5-C6+D6</f>
        <v>72011.97</v>
      </c>
      <c r="F6" s="2" t="s">
        <v>7</v>
      </c>
    </row>
    <row r="7" spans="1:6">
      <c r="A7" s="4">
        <v>45545</v>
      </c>
      <c r="B7" s="2" t="s">
        <v>171</v>
      </c>
      <c r="C7" s="3">
        <v>901.06</v>
      </c>
      <c r="D7" s="3">
        <v>0</v>
      </c>
      <c r="E7" s="3">
        <f t="shared" si="2"/>
        <v>71110.91</v>
      </c>
      <c r="F7" s="2" t="s">
        <v>181</v>
      </c>
    </row>
    <row r="8" spans="1:6">
      <c r="A8" s="4">
        <v>45545</v>
      </c>
      <c r="B8" s="2" t="s">
        <v>168</v>
      </c>
      <c r="C8" s="3">
        <v>40000</v>
      </c>
      <c r="D8" s="3">
        <v>0</v>
      </c>
      <c r="E8" s="3">
        <f t="shared" si="2"/>
        <v>31110.91</v>
      </c>
      <c r="F8" s="2" t="s">
        <v>182</v>
      </c>
    </row>
    <row r="9" spans="1:6">
      <c r="A9" s="4">
        <v>45545</v>
      </c>
      <c r="B9" s="2" t="s">
        <v>168</v>
      </c>
      <c r="C9" s="3">
        <v>0</v>
      </c>
      <c r="D9" s="3">
        <v>1300</v>
      </c>
      <c r="E9" s="3">
        <f t="shared" si="2"/>
        <v>32410.91</v>
      </c>
      <c r="F9" s="2" t="s">
        <v>176</v>
      </c>
    </row>
    <row r="10" spans="1:6">
      <c r="A10" s="5">
        <v>45546</v>
      </c>
      <c r="B10" t="s">
        <v>180</v>
      </c>
      <c r="C10" s="1">
        <v>861.84</v>
      </c>
      <c r="D10" s="1">
        <v>0</v>
      </c>
      <c r="E10" s="3">
        <f t="shared" si="2"/>
        <v>31549.07</v>
      </c>
      <c r="F10" t="s">
        <v>169</v>
      </c>
    </row>
    <row r="11" spans="1:6">
      <c r="A11" s="5">
        <v>45546</v>
      </c>
      <c r="B11" t="s">
        <v>180</v>
      </c>
      <c r="C11" s="1">
        <v>3079.2</v>
      </c>
      <c r="D11" s="1">
        <v>0</v>
      </c>
      <c r="E11" s="3">
        <f t="shared" ref="E11:E12" si="3">E10-C11+D11</f>
        <v>28469.87</v>
      </c>
      <c r="F11" t="s">
        <v>169</v>
      </c>
    </row>
    <row r="12" spans="1:6">
      <c r="A12" s="4">
        <v>45547</v>
      </c>
      <c r="B12" s="2" t="s">
        <v>173</v>
      </c>
      <c r="C12" s="3">
        <v>0</v>
      </c>
      <c r="D12" s="3">
        <v>2956.6</v>
      </c>
      <c r="E12" s="3">
        <f t="shared" si="3"/>
        <v>31426.47</v>
      </c>
      <c r="F12" s="2" t="s">
        <v>6</v>
      </c>
    </row>
    <row r="13" spans="1:6">
      <c r="A13" s="4">
        <v>45547</v>
      </c>
      <c r="B13" s="2" t="s">
        <v>183</v>
      </c>
      <c r="C13" s="3">
        <v>0</v>
      </c>
      <c r="D13" s="3">
        <v>167000</v>
      </c>
      <c r="E13" s="3">
        <f t="shared" ref="E13:E14" si="4">E12-C13+D13</f>
        <v>198426.47</v>
      </c>
      <c r="F13" s="2" t="s">
        <v>6</v>
      </c>
    </row>
    <row r="14" spans="1:6">
      <c r="A14" s="4">
        <v>45565</v>
      </c>
      <c r="B14" s="2" t="s">
        <v>172</v>
      </c>
      <c r="C14" s="3">
        <v>10000</v>
      </c>
      <c r="D14" s="3">
        <v>0</v>
      </c>
      <c r="E14" s="3">
        <f t="shared" si="4"/>
        <v>188426.47</v>
      </c>
      <c r="F14" s="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1"/>
  <sheetViews>
    <sheetView workbookViewId="0">
      <selection activeCell="H2" sqref="H2"/>
    </sheetView>
  </sheetViews>
  <sheetFormatPr defaultColWidth="9" defaultRowHeight="21"/>
  <cols>
    <col min="1" max="1" width="10.25" customWidth="1"/>
    <col min="2" max="2" width="17.875" customWidth="1"/>
    <col min="3" max="5" width="10.625" style="1" customWidth="1"/>
  </cols>
  <sheetData>
    <row r="1" spans="1:6">
      <c r="A1" s="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4">
        <v>45505</v>
      </c>
      <c r="B2" s="2" t="s">
        <v>166</v>
      </c>
      <c r="C2" s="3">
        <v>0</v>
      </c>
      <c r="D2" s="3">
        <v>0</v>
      </c>
      <c r="E2" s="3">
        <v>95468.79</v>
      </c>
      <c r="F2" s="2"/>
    </row>
    <row r="3" spans="1:6">
      <c r="A3" s="4">
        <v>45513</v>
      </c>
      <c r="B3" s="2" t="s">
        <v>167</v>
      </c>
      <c r="C3" s="3">
        <v>1033.93</v>
      </c>
      <c r="D3" s="3">
        <v>0</v>
      </c>
      <c r="E3" s="3">
        <f>E2-C3+D3</f>
        <v>94434.86</v>
      </c>
      <c r="F3" s="2" t="s">
        <v>7</v>
      </c>
    </row>
    <row r="4" spans="1:6">
      <c r="A4" s="4">
        <v>45513</v>
      </c>
      <c r="B4" s="2" t="s">
        <v>167</v>
      </c>
      <c r="C4" s="3">
        <v>32201.26</v>
      </c>
      <c r="D4" s="3">
        <v>0</v>
      </c>
      <c r="E4" s="3">
        <f t="shared" ref="E4:E7" si="0">E3-C4+D4</f>
        <v>62233.599999999999</v>
      </c>
      <c r="F4" s="2" t="s">
        <v>7</v>
      </c>
    </row>
    <row r="5" spans="1:6">
      <c r="A5" s="4">
        <v>45514</v>
      </c>
      <c r="B5" s="2" t="s">
        <v>171</v>
      </c>
      <c r="C5" s="3">
        <v>943.86</v>
      </c>
      <c r="D5" s="3">
        <v>0</v>
      </c>
      <c r="E5" s="3">
        <f t="shared" si="0"/>
        <v>61289.74</v>
      </c>
      <c r="F5" s="2" t="s">
        <v>181</v>
      </c>
    </row>
    <row r="6" spans="1:6">
      <c r="A6" s="4">
        <v>45514</v>
      </c>
      <c r="B6" s="2" t="s">
        <v>168</v>
      </c>
      <c r="C6" s="3">
        <v>0</v>
      </c>
      <c r="D6" s="3">
        <v>40000</v>
      </c>
      <c r="E6" s="3">
        <f t="shared" si="0"/>
        <v>101289.74</v>
      </c>
      <c r="F6" s="2" t="s">
        <v>182</v>
      </c>
    </row>
    <row r="7" spans="1:6">
      <c r="A7" s="5">
        <f>A6+3</f>
        <v>45517</v>
      </c>
      <c r="B7" t="s">
        <v>180</v>
      </c>
      <c r="C7" s="1">
        <v>60</v>
      </c>
      <c r="D7" s="1">
        <v>0</v>
      </c>
      <c r="E7" s="3">
        <f t="shared" si="0"/>
        <v>101229.74</v>
      </c>
      <c r="F7" t="s">
        <v>169</v>
      </c>
    </row>
    <row r="8" spans="1:6">
      <c r="A8" s="4">
        <v>45522</v>
      </c>
      <c r="B8" s="2" t="s">
        <v>168</v>
      </c>
      <c r="C8" s="3">
        <v>0</v>
      </c>
      <c r="D8" s="3">
        <v>1300</v>
      </c>
      <c r="E8" s="3">
        <f t="shared" ref="E8:E10" si="1">E7-C8+D8</f>
        <v>102529.74</v>
      </c>
      <c r="F8" s="2" t="s">
        <v>176</v>
      </c>
    </row>
    <row r="9" spans="1:6">
      <c r="A9" s="5">
        <v>45525</v>
      </c>
      <c r="B9" t="s">
        <v>180</v>
      </c>
      <c r="C9" s="1">
        <v>500</v>
      </c>
      <c r="D9" s="1">
        <v>0</v>
      </c>
      <c r="E9" s="3">
        <f t="shared" si="1"/>
        <v>102029.74</v>
      </c>
      <c r="F9" t="s">
        <v>169</v>
      </c>
    </row>
    <row r="10" spans="1:6">
      <c r="A10" s="4">
        <v>45531</v>
      </c>
      <c r="B10" s="2" t="s">
        <v>172</v>
      </c>
      <c r="C10" s="3">
        <v>26363</v>
      </c>
      <c r="D10" s="3">
        <v>0</v>
      </c>
      <c r="E10" s="3">
        <f t="shared" si="1"/>
        <v>75666.740000000005</v>
      </c>
      <c r="F10" s="2" t="s">
        <v>176</v>
      </c>
    </row>
    <row r="11" spans="1:6">
      <c r="A11" s="4">
        <v>45533</v>
      </c>
      <c r="B11" s="2" t="s">
        <v>168</v>
      </c>
      <c r="C11" s="3">
        <v>0</v>
      </c>
      <c r="D11" s="3">
        <v>25000</v>
      </c>
      <c r="E11" s="3">
        <f t="shared" ref="E11" si="2">E10-C11+D11</f>
        <v>100666.74</v>
      </c>
      <c r="F11" s="2" t="s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>
      <selection activeCell="A10" sqref="A10:XFD10"/>
    </sheetView>
  </sheetViews>
  <sheetFormatPr defaultColWidth="9" defaultRowHeight="21"/>
  <cols>
    <col min="2" max="2" width="17.875" customWidth="1"/>
    <col min="3" max="3" width="11.125" style="1" customWidth="1"/>
    <col min="4" max="4" width="10.625" style="1" customWidth="1"/>
    <col min="5" max="5" width="12.25" style="1" customWidth="1"/>
  </cols>
  <sheetData>
    <row r="1" spans="1:6">
      <c r="A1" s="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4">
        <v>45474</v>
      </c>
      <c r="B2" s="2" t="s">
        <v>166</v>
      </c>
      <c r="C2" s="3">
        <v>0</v>
      </c>
      <c r="D2" s="3">
        <v>0</v>
      </c>
      <c r="E2" s="3">
        <v>157659.9</v>
      </c>
      <c r="F2" s="2"/>
    </row>
    <row r="3" spans="1:6">
      <c r="A3" s="4">
        <v>45480</v>
      </c>
      <c r="B3" s="2" t="s">
        <v>172</v>
      </c>
      <c r="C3" s="3">
        <v>7200</v>
      </c>
      <c r="D3" s="3">
        <v>0</v>
      </c>
      <c r="E3" s="3">
        <f>E2-C3+D3</f>
        <v>150459.9</v>
      </c>
      <c r="F3" s="2" t="s">
        <v>22</v>
      </c>
    </row>
    <row r="4" spans="1:6">
      <c r="A4" s="4">
        <v>45480</v>
      </c>
      <c r="B4" s="2" t="s">
        <v>172</v>
      </c>
      <c r="C4" s="3">
        <v>21390</v>
      </c>
      <c r="D4" s="3">
        <v>0</v>
      </c>
      <c r="E4" s="3">
        <f>E3-C4+D4</f>
        <v>129069.9</v>
      </c>
      <c r="F4" s="2" t="s">
        <v>184</v>
      </c>
    </row>
    <row r="5" spans="1:6">
      <c r="A5" s="4">
        <v>45481</v>
      </c>
      <c r="B5" s="2" t="s">
        <v>173</v>
      </c>
      <c r="C5" s="3">
        <v>0</v>
      </c>
      <c r="D5" s="3">
        <v>3973.46</v>
      </c>
      <c r="E5" s="3">
        <f t="shared" ref="E5:E6" si="0">E4-C5+D5</f>
        <v>133043.35999999999</v>
      </c>
      <c r="F5" s="2" t="s">
        <v>185</v>
      </c>
    </row>
    <row r="6" spans="1:6">
      <c r="A6" s="4">
        <v>45483</v>
      </c>
      <c r="B6" s="2" t="s">
        <v>167</v>
      </c>
      <c r="C6" s="3">
        <v>1674.86</v>
      </c>
      <c r="D6" s="3">
        <v>0</v>
      </c>
      <c r="E6" s="3">
        <f t="shared" si="0"/>
        <v>131368.5</v>
      </c>
      <c r="F6" s="2" t="s">
        <v>178</v>
      </c>
    </row>
    <row r="7" spans="1:6">
      <c r="A7" s="4">
        <v>45483</v>
      </c>
      <c r="B7" s="2" t="s">
        <v>167</v>
      </c>
      <c r="C7" s="3">
        <v>26681.71</v>
      </c>
      <c r="D7" s="3">
        <v>0</v>
      </c>
      <c r="E7" s="3">
        <f t="shared" ref="E7:E10" si="1">E6-C7+D7</f>
        <v>104686.79</v>
      </c>
      <c r="F7" s="2" t="s">
        <v>7</v>
      </c>
    </row>
    <row r="8" spans="1:6">
      <c r="A8" s="4">
        <v>45483</v>
      </c>
      <c r="B8" s="2" t="s">
        <v>171</v>
      </c>
      <c r="C8" s="3">
        <v>518</v>
      </c>
      <c r="D8" s="3">
        <v>0</v>
      </c>
      <c r="E8" s="3">
        <f t="shared" si="1"/>
        <v>104168.79</v>
      </c>
      <c r="F8" s="2" t="s">
        <v>186</v>
      </c>
    </row>
    <row r="9" spans="1:6">
      <c r="A9" s="4">
        <v>45488</v>
      </c>
      <c r="B9" s="2" t="s">
        <v>168</v>
      </c>
      <c r="C9" s="3">
        <v>0</v>
      </c>
      <c r="D9" s="3">
        <v>1300</v>
      </c>
      <c r="E9" s="3">
        <f t="shared" si="1"/>
        <v>105468.79</v>
      </c>
      <c r="F9" s="2" t="s">
        <v>176</v>
      </c>
    </row>
    <row r="10" spans="1:6">
      <c r="A10" s="4">
        <v>45504</v>
      </c>
      <c r="B10" s="2" t="s">
        <v>172</v>
      </c>
      <c r="C10" s="3">
        <v>10000</v>
      </c>
      <c r="D10" s="3">
        <v>0</v>
      </c>
      <c r="E10" s="3">
        <f t="shared" si="1"/>
        <v>95468.79</v>
      </c>
      <c r="F10" s="2" t="s">
        <v>175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topLeftCell="A16" workbookViewId="0">
      <selection activeCell="A22" sqref="A22:XFD22"/>
    </sheetView>
  </sheetViews>
  <sheetFormatPr defaultColWidth="9" defaultRowHeight="21"/>
  <cols>
    <col min="1" max="1" width="11.375" customWidth="1"/>
    <col min="2" max="2" width="17.875" customWidth="1"/>
    <col min="3" max="3" width="11.125" style="1" customWidth="1"/>
    <col min="4" max="5" width="12.25" style="1" customWidth="1"/>
  </cols>
  <sheetData>
    <row r="1" spans="1:6">
      <c r="A1" s="2" t="s">
        <v>160</v>
      </c>
      <c r="B1" s="2" t="s">
        <v>161</v>
      </c>
      <c r="C1" s="3" t="s">
        <v>162</v>
      </c>
      <c r="D1" s="3" t="s">
        <v>163</v>
      </c>
      <c r="E1" s="3" t="s">
        <v>164</v>
      </c>
      <c r="F1" s="2" t="s">
        <v>165</v>
      </c>
    </row>
    <row r="2" spans="1:6">
      <c r="A2" s="4">
        <v>45444</v>
      </c>
      <c r="B2" s="2" t="s">
        <v>166</v>
      </c>
      <c r="C2" s="3">
        <v>0</v>
      </c>
      <c r="D2" s="3">
        <v>0</v>
      </c>
      <c r="E2" s="3">
        <v>30879.11</v>
      </c>
      <c r="F2" s="2"/>
    </row>
    <row r="3" spans="1:6">
      <c r="A3" s="4">
        <v>45452</v>
      </c>
      <c r="B3" s="2" t="s">
        <v>167</v>
      </c>
      <c r="C3" s="3">
        <v>393</v>
      </c>
      <c r="D3" s="3">
        <v>0</v>
      </c>
      <c r="E3" s="3">
        <f>E2-C3+D3</f>
        <v>30486.11</v>
      </c>
      <c r="F3" s="2" t="s">
        <v>178</v>
      </c>
    </row>
    <row r="4" spans="1:6">
      <c r="A4" s="4">
        <v>45452</v>
      </c>
      <c r="B4" s="2" t="s">
        <v>167</v>
      </c>
      <c r="C4" s="3">
        <v>13205.64</v>
      </c>
      <c r="D4" s="3">
        <v>0</v>
      </c>
      <c r="E4" s="3">
        <f t="shared" ref="E4:E19" si="0">E3-C4+D4</f>
        <v>17280.47</v>
      </c>
      <c r="F4" s="2" t="s">
        <v>178</v>
      </c>
    </row>
    <row r="5" spans="1:6">
      <c r="A5" s="4">
        <v>45453</v>
      </c>
      <c r="B5" s="2" t="s">
        <v>187</v>
      </c>
      <c r="C5" s="3">
        <v>0</v>
      </c>
      <c r="D5" s="3">
        <v>3396.97</v>
      </c>
      <c r="E5" s="3">
        <f t="shared" si="0"/>
        <v>20677.439999999999</v>
      </c>
      <c r="F5" s="2" t="s">
        <v>188</v>
      </c>
    </row>
    <row r="6" spans="1:6">
      <c r="A6" s="4">
        <v>45453</v>
      </c>
      <c r="B6" s="2" t="s">
        <v>172</v>
      </c>
      <c r="C6" s="3">
        <v>7400</v>
      </c>
      <c r="D6" s="3">
        <v>0</v>
      </c>
      <c r="E6" s="3">
        <f t="shared" si="0"/>
        <v>13277.44</v>
      </c>
      <c r="F6" s="2" t="s">
        <v>169</v>
      </c>
    </row>
    <row r="7" spans="1:6">
      <c r="A7" s="4">
        <v>45453</v>
      </c>
      <c r="B7" s="2" t="s">
        <v>189</v>
      </c>
      <c r="C7" s="3">
        <v>3300</v>
      </c>
      <c r="D7" s="3">
        <v>0</v>
      </c>
      <c r="E7" s="3">
        <f t="shared" si="0"/>
        <v>9977.44</v>
      </c>
      <c r="F7" s="2" t="s">
        <v>169</v>
      </c>
    </row>
    <row r="8" spans="1:6">
      <c r="A8" s="4">
        <v>45453</v>
      </c>
      <c r="B8" s="2" t="s">
        <v>168</v>
      </c>
      <c r="C8" s="3">
        <v>0</v>
      </c>
      <c r="D8" s="3">
        <v>49000</v>
      </c>
      <c r="E8" s="3">
        <f t="shared" si="0"/>
        <v>58977.440000000002</v>
      </c>
      <c r="F8" s="2" t="s">
        <v>169</v>
      </c>
    </row>
    <row r="9" spans="1:6">
      <c r="A9" s="4">
        <v>45454</v>
      </c>
      <c r="B9" s="2" t="s">
        <v>187</v>
      </c>
      <c r="C9" s="3">
        <v>0</v>
      </c>
      <c r="D9" s="3">
        <v>181498.8</v>
      </c>
      <c r="E9" s="3">
        <f t="shared" si="0"/>
        <v>240476.24</v>
      </c>
      <c r="F9" s="2" t="s">
        <v>188</v>
      </c>
    </row>
    <row r="10" spans="1:6">
      <c r="A10" s="4">
        <v>45454</v>
      </c>
      <c r="B10" s="2" t="s">
        <v>173</v>
      </c>
      <c r="C10" s="3">
        <v>0</v>
      </c>
      <c r="D10" s="3">
        <v>40380.22</v>
      </c>
      <c r="E10" s="3">
        <f t="shared" si="0"/>
        <v>280856.46000000002</v>
      </c>
      <c r="F10" s="2" t="s">
        <v>188</v>
      </c>
    </row>
    <row r="11" spans="1:6">
      <c r="A11" s="4">
        <v>45454</v>
      </c>
      <c r="B11" s="2" t="s">
        <v>168</v>
      </c>
      <c r="C11" s="3">
        <v>0</v>
      </c>
      <c r="D11" s="3">
        <v>10000</v>
      </c>
      <c r="E11" s="3">
        <f t="shared" si="0"/>
        <v>290856.46000000002</v>
      </c>
      <c r="F11" s="2" t="s">
        <v>188</v>
      </c>
    </row>
    <row r="12" spans="1:6">
      <c r="A12" s="4">
        <v>45455</v>
      </c>
      <c r="B12" s="2" t="s">
        <v>173</v>
      </c>
      <c r="C12" s="3">
        <v>0</v>
      </c>
      <c r="D12" s="3">
        <v>2956.6</v>
      </c>
      <c r="E12" s="3">
        <f t="shared" si="0"/>
        <v>293813.06</v>
      </c>
      <c r="F12" s="2" t="s">
        <v>169</v>
      </c>
    </row>
    <row r="13" spans="1:6">
      <c r="A13" s="4">
        <v>45455</v>
      </c>
      <c r="B13" s="2" t="s">
        <v>172</v>
      </c>
      <c r="C13" s="3">
        <v>43000</v>
      </c>
      <c r="D13" s="3">
        <v>0</v>
      </c>
      <c r="E13" s="3">
        <f t="shared" si="0"/>
        <v>250813.06</v>
      </c>
      <c r="F13" s="2" t="s">
        <v>169</v>
      </c>
    </row>
    <row r="14" spans="1:6">
      <c r="A14" s="4">
        <v>45456</v>
      </c>
      <c r="B14" s="2" t="s">
        <v>190</v>
      </c>
      <c r="C14" s="3">
        <v>0</v>
      </c>
      <c r="D14" s="3">
        <v>10000</v>
      </c>
      <c r="E14" s="3">
        <f t="shared" si="0"/>
        <v>260813.06</v>
      </c>
      <c r="F14" s="2" t="s">
        <v>15</v>
      </c>
    </row>
    <row r="15" spans="1:6">
      <c r="A15" s="4">
        <v>45456</v>
      </c>
      <c r="B15" s="2" t="s">
        <v>172</v>
      </c>
      <c r="C15" s="3">
        <v>43000</v>
      </c>
      <c r="D15" s="3">
        <v>0</v>
      </c>
      <c r="E15" s="3">
        <f t="shared" si="0"/>
        <v>217813.06</v>
      </c>
      <c r="F15" s="2" t="s">
        <v>169</v>
      </c>
    </row>
    <row r="16" spans="1:6">
      <c r="A16" s="4">
        <v>45457</v>
      </c>
      <c r="B16" s="2" t="s">
        <v>172</v>
      </c>
      <c r="C16" s="3">
        <v>49733.17</v>
      </c>
      <c r="D16" s="3">
        <v>0</v>
      </c>
      <c r="E16" s="3">
        <f t="shared" si="0"/>
        <v>168079.89</v>
      </c>
      <c r="F16" s="2" t="s">
        <v>169</v>
      </c>
    </row>
    <row r="17" spans="1:6">
      <c r="A17" s="4">
        <v>45458</v>
      </c>
      <c r="B17" s="2" t="s">
        <v>168</v>
      </c>
      <c r="C17" s="3">
        <v>0</v>
      </c>
      <c r="D17" s="3">
        <v>1300</v>
      </c>
      <c r="E17" s="3">
        <f t="shared" si="0"/>
        <v>169379.89</v>
      </c>
      <c r="F17" s="2" t="s">
        <v>169</v>
      </c>
    </row>
    <row r="18" spans="1:6">
      <c r="A18" s="4">
        <v>45461</v>
      </c>
      <c r="B18" s="2" t="s">
        <v>189</v>
      </c>
      <c r="C18" s="3">
        <v>1115</v>
      </c>
      <c r="D18" s="3">
        <v>0</v>
      </c>
      <c r="E18" s="3">
        <f t="shared" si="0"/>
        <v>168264.89</v>
      </c>
      <c r="F18" s="2" t="s">
        <v>169</v>
      </c>
    </row>
    <row r="19" spans="1:6">
      <c r="A19" s="4">
        <v>45462</v>
      </c>
      <c r="B19" s="2" t="s">
        <v>171</v>
      </c>
      <c r="C19" s="3">
        <v>518</v>
      </c>
      <c r="D19" s="3">
        <v>0</v>
      </c>
      <c r="E19" s="3">
        <f t="shared" si="0"/>
        <v>167746.89000000001</v>
      </c>
      <c r="F19" s="2" t="s">
        <v>169</v>
      </c>
    </row>
    <row r="20" spans="1:6">
      <c r="A20" s="4">
        <v>45468</v>
      </c>
      <c r="B20" s="2" t="s">
        <v>177</v>
      </c>
      <c r="C20" s="3">
        <v>0</v>
      </c>
      <c r="D20" s="3">
        <v>105.01</v>
      </c>
      <c r="E20" s="3">
        <f t="shared" ref="E20:E21" si="1">E19-C20+D20</f>
        <v>167851.9</v>
      </c>
      <c r="F20" s="2" t="s">
        <v>178</v>
      </c>
    </row>
    <row r="21" spans="1:6">
      <c r="A21" s="4">
        <v>45471</v>
      </c>
      <c r="B21" s="2" t="s">
        <v>171</v>
      </c>
      <c r="C21" s="3">
        <v>192</v>
      </c>
      <c r="D21" s="3">
        <v>0</v>
      </c>
      <c r="E21" s="3">
        <f t="shared" si="1"/>
        <v>167659.9</v>
      </c>
      <c r="F21" s="2" t="s">
        <v>169</v>
      </c>
    </row>
    <row r="22" spans="1:6">
      <c r="A22" s="4">
        <v>45473</v>
      </c>
      <c r="B22" s="2" t="s">
        <v>172</v>
      </c>
      <c r="C22" s="3">
        <v>10000</v>
      </c>
      <c r="D22" s="3">
        <v>0</v>
      </c>
      <c r="E22" s="3">
        <f t="shared" ref="E22" si="2">E21-C22+D22</f>
        <v>157659.9</v>
      </c>
      <c r="F22" s="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SCIB</vt:lpstr>
      <vt:lpstr>BBL-2507</vt:lpstr>
      <vt:lpstr>BBL-2506</vt:lpstr>
      <vt:lpstr>BBL-2505</vt:lpstr>
      <vt:lpstr>BBL-2504</vt:lpstr>
      <vt:lpstr>BBL-2503</vt:lpstr>
      <vt:lpstr>BBL-2502</vt:lpstr>
      <vt:lpstr>BBL-2501</vt:lpstr>
      <vt:lpstr>BBL-12</vt:lpstr>
      <vt:lpstr>BBL-11</vt:lpstr>
      <vt:lpstr>BBL-10</vt:lpstr>
      <vt:lpstr>BBL-09</vt:lpstr>
      <vt:lpstr>BBL-08</vt:lpstr>
      <vt:lpstr>BBL-07</vt:lpstr>
      <vt:lpstr>BBL-06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Soontarinka</dc:creator>
  <cp:lastModifiedBy>Santi Soontarinka</cp:lastModifiedBy>
  <dcterms:created xsi:type="dcterms:W3CDTF">2018-06-27T07:48:00Z</dcterms:created>
  <dcterms:modified xsi:type="dcterms:W3CDTF">2026-10-28T09:10:49Z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1B93933AD839442B9C90C467DCDBAE62_12</vt:lpwstr>
  </property>
  <property fmtid="{D5CDD505-2E9C-101B-9397-08002B2CF9AE}" pid="3" name="KSOProductBuildVer">
    <vt:lpwstr>2057-12.2.0.23206</vt:lpwstr>
  </property>
</Properties>
</file>