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94" documentId="13_ncr:1_{B3FB09C8-509C-4800-A6F5-97AF885696E8}" xr6:coauthVersionLast="47" xr6:coauthVersionMax="47" xr10:uidLastSave="{5B3CA600-63D3-4AB1-9A47-D02421F1C669}"/>
  <bookViews>
    <workbookView xWindow="1152" yWindow="1152" windowWidth="9660" windowHeight="9240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9" i="1" l="1"/>
  <c r="F500" i="1" s="1"/>
  <c r="F501" i="1" s="1"/>
  <c r="F495" i="1"/>
  <c r="F496" i="1" s="1"/>
  <c r="F497" i="1" s="1"/>
  <c r="F49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l="1"/>
</calcChain>
</file>

<file path=xl/sharedStrings.xml><?xml version="1.0" encoding="utf-8"?>
<sst xmlns="http://schemas.openxmlformats.org/spreadsheetml/2006/main" count="1119" uniqueCount="150">
  <si>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</si>
  <si>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</si>
  <si>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</si>
  <si>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</si>
  <si>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</si>
  <si>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</si>
  <si>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</si>
  <si>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</si>
  <si>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</si>
  <si>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</si>
  <si>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</si>
  <si>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</si>
  <si>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</si>
  <si>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</si>
  <si>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</si>
  <si>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</si>
  <si>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</si>
  <si>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</si>
  <si>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</si>
  <si>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</si>
  <si>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</si>
  <si>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</si>
  <si>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</si>
  <si>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</si>
  <si>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</si>
  <si>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</si>
  <si>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</si>
  <si>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</si>
  <si>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</si>
  <si>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</si>
  <si>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</si>
  <si>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</si>
  <si>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</si>
  <si>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</si>
  <si>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</si>
  <si>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</si>
  <si>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</si>
  <si>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</si>
  <si>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</si>
  <si>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</si>
  <si>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</si>
  <si>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</si>
  <si>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</si>
  <si>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</si>
  <si>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</si>
  <si>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</si>
  <si>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</si>
  <si>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</si>
  <si>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</si>
  <si>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</si>
  <si>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</si>
  <si>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</si>
  <si>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</si>
  <si>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</si>
  <si>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</si>
  <si>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</si>
  <si>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</si>
  <si>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</si>
  <si>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</si>
  <si>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</si>
  <si>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</si>
  <si>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</si>
  <si>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</si>
  <si>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</si>
  <si>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</si>
  <si>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</si>
  <si>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</si>
  <si>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</si>
  <si>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</si>
  <si>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</si>
  <si>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</si>
  <si>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</si>
  <si>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</si>
  <si>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</si>
  <si>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</si>
  <si>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</si>
  <si>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</si>
  <si>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</si>
  <si>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</si>
  <si>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</si>
  <si>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</si>
  <si>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</si>
  <si>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</si>
  <si>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</si>
  <si>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</si>
  <si>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</si>
  <si>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</si>
  <si>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</si>
  <si>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</si>
  <si>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</si>
  <si>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</si>
  <si>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</si>
  <si>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Rent</t>
  </si>
  <si>
    <t>Prompt Pay</t>
  </si>
  <si>
    <t>mPhone</t>
  </si>
  <si>
    <t>PMT FOR GOODS</t>
  </si>
  <si>
    <t>TRF TO OTH BK</t>
  </si>
  <si>
    <t>Maam</t>
  </si>
  <si>
    <t>dtac+netflix</t>
  </si>
  <si>
    <t>From BAY</t>
  </si>
  <si>
    <t>TRANSFER</t>
  </si>
  <si>
    <t>CASH DEPOSIT</t>
  </si>
  <si>
    <t>Bed</t>
  </si>
  <si>
    <t>JAS</t>
  </si>
  <si>
    <t>Auto</t>
  </si>
  <si>
    <t>BBQ</t>
  </si>
  <si>
    <t>SHARE PAYMENT</t>
  </si>
  <si>
    <t>LTF</t>
  </si>
  <si>
    <t>TRF. PROMPTPAY</t>
  </si>
  <si>
    <t>SMART</t>
  </si>
  <si>
    <t>INTEREST PAID</t>
  </si>
  <si>
    <t>ATM ANNUAL FEE</t>
  </si>
  <si>
    <t>ATM FEE</t>
  </si>
  <si>
    <t>Revenue</t>
  </si>
  <si>
    <t>TRF PROMPTPAY</t>
  </si>
  <si>
    <t>BAY</t>
  </si>
  <si>
    <t>TMT</t>
  </si>
  <si>
    <t>TFR TO OTH</t>
  </si>
  <si>
    <t>3BBIF-Mam</t>
  </si>
  <si>
    <t xml:space="preserve">KCE </t>
  </si>
  <si>
    <t>TFR TO BBL</t>
  </si>
  <si>
    <t>TFR TO BAY</t>
  </si>
  <si>
    <t>B/F</t>
  </si>
  <si>
    <t>TTB</t>
  </si>
  <si>
    <t>Funeral</t>
  </si>
  <si>
    <t>Pom</t>
  </si>
  <si>
    <t xml:space="preserve">ASP  </t>
  </si>
  <si>
    <t xml:space="preserve">WHAIR </t>
  </si>
  <si>
    <t>TVO-Div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</si>
  <si>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</si>
  <si>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</si>
  <si>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</si>
  <si>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</si>
  <si>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</si>
  <si>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</si>
  <si>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</si>
  <si>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</si>
  <si>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</si>
  <si>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</si>
  <si>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</si>
  <si>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</si>
  <si>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</si>
  <si>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</si>
  <si>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WHART-Refund</t>
  </si>
  <si>
    <t>A/C</t>
  </si>
  <si>
    <t>CPNREIT-Refund</t>
  </si>
  <si>
    <t>CPNREIT-Pom</t>
  </si>
  <si>
    <t>Food</t>
  </si>
  <si>
    <t>CPF-Div</t>
  </si>
  <si>
    <t>PTT-Div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</si>
</sst>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name val="Calibri"/>
      <family val="2"/>
    </font>
    <font>
      <sz val="14"/>
      <color rgb="FF000000"/>
      <name val="Calibri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7" fontId="7" fillId="0" borderId="0" xfId="0" applyNumberFormat="1" applyFont="1"/>
    <xf numFmtId="16" fontId="8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9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10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0" fontId="8" fillId="0" borderId="0" xfId="0" applyFont="1"/>
    <xf numFmtId="4" fontId="11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1"/>
  <sheetViews>
    <sheetView tabSelected="1" topLeftCell="B1" workbookViewId="0">
      <pane ySplit="2" topLeftCell="A487" activePane="bottomLeft" state="frozen"/>
      <selection pane="bottomLeft" activeCell="B501" sqref="B501"/>
    </sheetView>
  </sheetViews>
  <sheetFormatPr defaultColWidth="10.125" defaultRowHeight="15" customHeight="1" x14ac:dyDescent="0.35"/>
  <cols>
    <col min="1" max="2" width="15" style="32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30" t="s">
        <v>0</v>
      </c>
      <c r="B1" s="30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31" t="s">
        <v>6</v>
      </c>
      <c r="B2" s="31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31" t="s">
        <v>6</v>
      </c>
      <c r="B3" s="31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31" t="s">
        <v>6</v>
      </c>
      <c r="B4" s="31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31">
        <v>45287</v>
      </c>
      <c r="B5" s="31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31">
        <v>45287</v>
      </c>
      <c r="B6" s="31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31">
        <v>45293</v>
      </c>
      <c r="B7" s="31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31">
        <v>45293</v>
      </c>
      <c r="B8" s="31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31" t="s">
        <v>6</v>
      </c>
      <c r="B9" s="31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31">
        <v>45294</v>
      </c>
      <c r="B10" s="31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31">
        <v>45294</v>
      </c>
      <c r="B11" s="31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31">
        <v>45295</v>
      </c>
      <c r="B12" s="31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31">
        <v>45295</v>
      </c>
      <c r="B13" s="31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31">
        <v>45295</v>
      </c>
      <c r="B14" s="31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31" t="s">
        <v>6</v>
      </c>
      <c r="B15" s="31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31" t="s">
        <v>6</v>
      </c>
      <c r="B16" s="31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31" t="s">
        <v>6</v>
      </c>
      <c r="B17" s="31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31" t="s">
        <v>6</v>
      </c>
      <c r="B18" s="31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31">
        <v>45310</v>
      </c>
      <c r="B19" s="31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31">
        <v>45310</v>
      </c>
      <c r="B20" s="31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31">
        <v>45310</v>
      </c>
      <c r="B21" s="31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31">
        <v>45315</v>
      </c>
      <c r="B22" s="31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31">
        <v>45315</v>
      </c>
      <c r="B23" s="31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31" t="s">
        <v>6</v>
      </c>
      <c r="B24" s="31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31" t="s">
        <v>6</v>
      </c>
      <c r="B25" s="31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31" t="s">
        <v>6</v>
      </c>
      <c r="B26" s="31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31" t="s">
        <v>6</v>
      </c>
      <c r="B27" s="31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31" t="s">
        <v>6</v>
      </c>
      <c r="B28" s="31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31" t="s">
        <v>6</v>
      </c>
      <c r="B29" s="31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31">
        <v>45328</v>
      </c>
      <c r="B30" s="31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31">
        <v>45328</v>
      </c>
      <c r="B31" s="31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31" t="s">
        <v>6</v>
      </c>
      <c r="B32" s="31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31" t="s">
        <v>6</v>
      </c>
      <c r="B33" s="31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31" t="s">
        <v>6</v>
      </c>
      <c r="B34" s="31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31">
        <v>45330</v>
      </c>
      <c r="B35" s="31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31">
        <v>45330</v>
      </c>
      <c r="B36" s="31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31" t="s">
        <v>6</v>
      </c>
      <c r="B37" s="31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31">
        <v>45337</v>
      </c>
      <c r="B38" s="31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31">
        <v>45337</v>
      </c>
      <c r="B39" s="31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31" t="s">
        <v>6</v>
      </c>
      <c r="B40" s="31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31" t="s">
        <v>6</v>
      </c>
      <c r="B41" s="31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31" t="s">
        <v>6</v>
      </c>
      <c r="B42" s="31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31" t="s">
        <v>6</v>
      </c>
      <c r="B43" s="31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31" t="s">
        <v>6</v>
      </c>
      <c r="B44" s="31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31" t="s">
        <v>6</v>
      </c>
      <c r="B45" s="31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31" t="s">
        <v>6</v>
      </c>
      <c r="B46" s="31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31">
        <v>45355</v>
      </c>
      <c r="B47" s="31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31">
        <v>45355</v>
      </c>
      <c r="B48" s="31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31" t="s">
        <v>6</v>
      </c>
      <c r="B49" s="31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31" t="s">
        <v>6</v>
      </c>
      <c r="B50" s="31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31" t="s">
        <v>6</v>
      </c>
      <c r="B51" s="31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31" t="s">
        <v>6</v>
      </c>
      <c r="B52" s="31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31" t="s">
        <v>6</v>
      </c>
      <c r="B53" s="31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31" t="s">
        <v>6</v>
      </c>
      <c r="B54" s="31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31" t="s">
        <v>6</v>
      </c>
      <c r="B55" s="31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31" t="s">
        <v>6</v>
      </c>
      <c r="B56" s="31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31" t="s">
        <v>6</v>
      </c>
      <c r="B57" s="31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31" t="s">
        <v>6</v>
      </c>
      <c r="B58" s="31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31" t="s">
        <v>6</v>
      </c>
      <c r="B59" s="31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31" t="s">
        <v>6</v>
      </c>
      <c r="B60" s="31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31" t="s">
        <v>6</v>
      </c>
      <c r="B61" s="31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31" t="s">
        <v>6</v>
      </c>
      <c r="B62" s="31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31" t="s">
        <v>6</v>
      </c>
      <c r="B63" s="31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31" t="s">
        <v>6</v>
      </c>
      <c r="B64" s="31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31" t="s">
        <v>6</v>
      </c>
      <c r="B65" s="31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31" t="s">
        <v>6</v>
      </c>
      <c r="B66" s="31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31" t="s">
        <v>6</v>
      </c>
      <c r="B67" s="31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31" t="s">
        <v>6</v>
      </c>
      <c r="B68" s="31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31" t="s">
        <v>6</v>
      </c>
      <c r="B69" s="31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31" t="s">
        <v>6</v>
      </c>
      <c r="B70" s="31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31" t="s">
        <v>6</v>
      </c>
      <c r="B71" s="31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31" t="s">
        <v>6</v>
      </c>
      <c r="B72" s="31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31" t="s">
        <v>6</v>
      </c>
      <c r="B73" s="31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31" t="s">
        <v>6</v>
      </c>
      <c r="B74" s="31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31" t="s">
        <v>6</v>
      </c>
      <c r="B75" s="31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31" t="s">
        <v>6</v>
      </c>
      <c r="B76" s="31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31" t="s">
        <v>6</v>
      </c>
      <c r="B77" s="31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31" t="s">
        <v>6</v>
      </c>
      <c r="B78" s="31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31" t="s">
        <v>6</v>
      </c>
      <c r="B79" s="31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31" t="s">
        <v>6</v>
      </c>
      <c r="B80" s="31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31" t="s">
        <v>6</v>
      </c>
      <c r="B81" s="31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31" t="s">
        <v>6</v>
      </c>
      <c r="B82" s="31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31" t="s">
        <v>6</v>
      </c>
      <c r="B83" s="31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31" t="s">
        <v>6</v>
      </c>
      <c r="B84" s="31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31" t="s">
        <v>6</v>
      </c>
      <c r="B85" s="31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31" t="s">
        <v>6</v>
      </c>
      <c r="B86" s="31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31" t="s">
        <v>6</v>
      </c>
      <c r="B87" s="31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31" t="s">
        <v>6</v>
      </c>
      <c r="B88" s="31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31" t="s">
        <v>6</v>
      </c>
      <c r="B89" s="31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31" t="s">
        <v>6</v>
      </c>
      <c r="B90" s="31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31" t="s">
        <v>6</v>
      </c>
      <c r="B91" s="31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31" t="s">
        <v>6</v>
      </c>
      <c r="B92" s="31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31" t="s">
        <v>6</v>
      </c>
      <c r="B93" s="31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31" t="s">
        <v>6</v>
      </c>
      <c r="B94" s="31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31" t="s">
        <v>6</v>
      </c>
      <c r="B95" s="31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31" t="s">
        <v>6</v>
      </c>
      <c r="B96" s="31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31" t="s">
        <v>6</v>
      </c>
      <c r="B97" s="31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31" t="s">
        <v>6</v>
      </c>
      <c r="B98" s="31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31" t="s">
        <v>6</v>
      </c>
      <c r="B99" s="31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31" t="s">
        <v>6</v>
      </c>
      <c r="B100" s="31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31" t="s">
        <v>6</v>
      </c>
      <c r="B101" s="31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31">
        <v>45436</v>
      </c>
      <c r="B102" s="31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31">
        <v>45436</v>
      </c>
      <c r="B103" s="31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31" t="s">
        <v>6</v>
      </c>
      <c r="B104" s="31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31" t="s">
        <v>6</v>
      </c>
      <c r="B105" s="31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31" t="s">
        <v>6</v>
      </c>
      <c r="B106" s="31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31">
        <v>45447</v>
      </c>
      <c r="B108" s="31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31">
        <v>45447</v>
      </c>
      <c r="B109" s="31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31">
        <v>45448</v>
      </c>
      <c r="B110" s="31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31">
        <v>45448</v>
      </c>
      <c r="B111" s="31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31" t="s">
        <v>6</v>
      </c>
      <c r="B112" s="31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31" t="s">
        <v>6</v>
      </c>
      <c r="B113" s="31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31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31" t="s">
        <v>6</v>
      </c>
      <c r="B115" s="31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31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31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31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31" t="s">
        <v>6</v>
      </c>
      <c r="B119" s="31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31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31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31" t="s">
        <v>6</v>
      </c>
      <c r="B122" s="31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31" t="s">
        <v>6</v>
      </c>
      <c r="B123" s="31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31" t="s">
        <v>6</v>
      </c>
      <c r="B124" s="31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31">
        <v>45455</v>
      </c>
      <c r="B125" s="31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31">
        <v>45455</v>
      </c>
      <c r="B126" s="31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31" t="s">
        <v>6</v>
      </c>
      <c r="B127" s="31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31">
        <v>45460</v>
      </c>
      <c r="B128" s="31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31">
        <v>45460</v>
      </c>
      <c r="B129" s="31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31" t="s">
        <v>6</v>
      </c>
      <c r="B130" s="31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31">
        <v>45471</v>
      </c>
      <c r="B131" s="31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31">
        <v>45471</v>
      </c>
      <c r="B132" s="31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31" t="s">
        <v>6</v>
      </c>
      <c r="B133" s="31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31" t="s">
        <v>6</v>
      </c>
      <c r="B134" s="31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31" t="s">
        <v>6</v>
      </c>
      <c r="B135" s="31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31">
        <v>45489</v>
      </c>
      <c r="B136" s="31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31">
        <v>45489</v>
      </c>
      <c r="B137" s="31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31">
        <v>45495</v>
      </c>
      <c r="B138" s="31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31">
        <v>45495</v>
      </c>
      <c r="B139" s="31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31" t="s">
        <v>6</v>
      </c>
      <c r="B140" s="31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31" t="s">
        <v>6</v>
      </c>
      <c r="B141" s="31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31" t="s">
        <v>6</v>
      </c>
      <c r="B142" s="31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31" t="s">
        <v>6</v>
      </c>
      <c r="B143" s="31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31">
        <v>45525</v>
      </c>
      <c r="B144" s="31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31">
        <v>45525</v>
      </c>
      <c r="B145" s="31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31">
        <v>45526</v>
      </c>
      <c r="B146" s="31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31">
        <v>45526</v>
      </c>
      <c r="B147" s="31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31">
        <v>45530</v>
      </c>
      <c r="B148" s="31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31">
        <v>45530</v>
      </c>
      <c r="B149" s="31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31" t="s">
        <v>6</v>
      </c>
      <c r="B150" s="31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31">
        <v>45531</v>
      </c>
      <c r="B151" s="31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31">
        <v>45531</v>
      </c>
      <c r="B152" s="31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31" t="s">
        <v>6</v>
      </c>
      <c r="B153" s="31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31" t="s">
        <v>6</v>
      </c>
      <c r="B154" s="31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31" t="s">
        <v>6</v>
      </c>
      <c r="B155" s="31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31" t="s">
        <v>6</v>
      </c>
      <c r="B156" s="31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31" t="s">
        <v>6</v>
      </c>
      <c r="B157" s="31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31" t="s">
        <v>6</v>
      </c>
      <c r="B158" s="31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31" t="s">
        <v>6</v>
      </c>
      <c r="B159" s="31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31" t="s">
        <v>6</v>
      </c>
      <c r="B160" s="31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31" t="s">
        <v>6</v>
      </c>
      <c r="B161" s="31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31">
        <v>45541</v>
      </c>
      <c r="B162" s="31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31">
        <v>45541</v>
      </c>
      <c r="B163" s="31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31" t="s">
        <v>6</v>
      </c>
      <c r="B164" s="31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31" t="s">
        <v>6</v>
      </c>
      <c r="B165" s="31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31" t="s">
        <v>6</v>
      </c>
      <c r="B166" s="31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31" t="s">
        <v>6</v>
      </c>
      <c r="B167" s="31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31" t="s">
        <v>6</v>
      </c>
      <c r="B168" s="31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31" t="s">
        <v>6</v>
      </c>
      <c r="B169" s="31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31" t="s">
        <v>6</v>
      </c>
      <c r="B170" s="31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31" t="s">
        <v>6</v>
      </c>
      <c r="B171" s="31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31" t="s">
        <v>6</v>
      </c>
      <c r="B172" s="31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31">
        <v>45545</v>
      </c>
      <c r="B173" s="31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31">
        <v>45545</v>
      </c>
      <c r="B174" s="31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31" t="s">
        <v>6</v>
      </c>
      <c r="B175" s="31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31" t="s">
        <v>6</v>
      </c>
      <c r="B176" s="31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31" t="s">
        <v>6</v>
      </c>
      <c r="B177" s="31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31" t="s">
        <v>6</v>
      </c>
      <c r="B178" s="31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31">
        <v>45551</v>
      </c>
      <c r="B179" s="31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31">
        <v>45551</v>
      </c>
      <c r="B180" s="31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31">
        <v>45554</v>
      </c>
      <c r="B181" s="31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31">
        <v>45554</v>
      </c>
      <c r="B182" s="31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31" t="s">
        <v>6</v>
      </c>
      <c r="B183" s="31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31" t="s">
        <v>6</v>
      </c>
      <c r="B184" s="31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31" t="s">
        <v>6</v>
      </c>
      <c r="B185" s="31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31">
        <v>45555</v>
      </c>
      <c r="B186" s="31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31">
        <v>45554</v>
      </c>
      <c r="B187" s="31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31">
        <v>45560</v>
      </c>
      <c r="B188" s="31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31">
        <v>45560</v>
      </c>
      <c r="B189" s="31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31">
        <v>45561</v>
      </c>
      <c r="B190" s="31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31">
        <v>45561</v>
      </c>
      <c r="B191" s="31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31" t="s">
        <v>6</v>
      </c>
      <c r="B192" s="31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31">
        <v>45569</v>
      </c>
      <c r="B193" s="31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31">
        <v>45569</v>
      </c>
      <c r="B194" s="31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31" t="s">
        <v>6</v>
      </c>
      <c r="B195" s="31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31" t="s">
        <v>6</v>
      </c>
      <c r="B196" s="31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31" t="s">
        <v>6</v>
      </c>
      <c r="B197" s="31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31" t="s">
        <v>6</v>
      </c>
      <c r="B198" s="31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31">
        <v>45590</v>
      </c>
      <c r="B199" s="31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31">
        <v>45590</v>
      </c>
      <c r="B200" s="31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31" t="s">
        <v>6</v>
      </c>
      <c r="B201" s="31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31">
        <v>45602</v>
      </c>
      <c r="B202" s="31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31">
        <v>45602</v>
      </c>
      <c r="B203" s="31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31" t="s">
        <v>6</v>
      </c>
      <c r="B204" s="31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31">
        <v>45604</v>
      </c>
      <c r="B205" s="31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31">
        <v>45604</v>
      </c>
      <c r="B206" s="31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31">
        <v>45608</v>
      </c>
      <c r="B207" s="31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31">
        <v>45608</v>
      </c>
      <c r="B208" s="31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31" t="s">
        <v>6</v>
      </c>
      <c r="B209" s="31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31">
        <v>45615</v>
      </c>
      <c r="B210" s="31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31"/>
      <c r="B211" s="31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31"/>
      <c r="B212" s="31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31"/>
      <c r="B213" s="31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31"/>
      <c r="B214" s="31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31"/>
      <c r="B215" s="31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31"/>
      <c r="B216" s="31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31"/>
      <c r="B217" s="31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31"/>
      <c r="B218" s="31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31"/>
      <c r="B219" s="31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31"/>
      <c r="B220" s="31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31"/>
      <c r="B221" s="31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31"/>
      <c r="B222" s="31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31"/>
      <c r="B223" s="31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31" t="s">
        <v>6</v>
      </c>
      <c r="B224" s="31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31" t="s">
        <v>6</v>
      </c>
      <c r="B225" s="31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31" t="s">
        <v>6</v>
      </c>
      <c r="B226" s="31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31"/>
      <c r="B227" s="31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31"/>
      <c r="B228" s="16">
        <v>45651</v>
      </c>
      <c r="C228" s="17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31"/>
      <c r="B229" s="16">
        <v>45653</v>
      </c>
      <c r="C229" s="17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31" t="s">
        <v>6</v>
      </c>
      <c r="B230" s="31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31" t="s">
        <v>6</v>
      </c>
      <c r="B231" s="31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31" t="s">
        <v>6</v>
      </c>
      <c r="B232" s="31">
        <v>45992</v>
      </c>
      <c r="C232" s="4" t="s">
        <v>112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31" t="s">
        <v>6</v>
      </c>
      <c r="B233" s="31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31"/>
      <c r="B234" s="31">
        <v>45678</v>
      </c>
      <c r="C234" s="8" t="s">
        <v>113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31" t="s">
        <v>6</v>
      </c>
      <c r="B235" s="31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31" t="s">
        <v>6</v>
      </c>
      <c r="B236" s="31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31" t="s">
        <v>6</v>
      </c>
      <c r="B237" s="31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31">
        <v>45701</v>
      </c>
      <c r="B238" s="31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31">
        <v>45701</v>
      </c>
      <c r="B239" s="31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31" t="s">
        <v>6</v>
      </c>
      <c r="B240" s="31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31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31">
        <v>45705</v>
      </c>
      <c r="B242" s="31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31">
        <v>45705</v>
      </c>
      <c r="B243" s="31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4"/>
    </row>
    <row r="244" spans="1:7" ht="15" customHeight="1" x14ac:dyDescent="0.35">
      <c r="A244" s="31">
        <v>45705</v>
      </c>
      <c r="B244" s="31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4"/>
    </row>
    <row r="245" spans="1:7" ht="15" customHeight="1" x14ac:dyDescent="0.35">
      <c r="A245" s="16" t="s">
        <v>6</v>
      </c>
      <c r="B245" s="31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4"/>
    </row>
    <row r="246" spans="1:7" ht="15" customHeight="1" x14ac:dyDescent="0.35">
      <c r="A246" s="16">
        <v>45709</v>
      </c>
      <c r="B246" s="31">
        <v>45713</v>
      </c>
      <c r="C246" s="17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16">
        <v>45709</v>
      </c>
      <c r="B247" s="31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4"/>
    </row>
    <row r="248" spans="1:7" ht="15" customHeight="1" x14ac:dyDescent="0.35">
      <c r="A248" s="16">
        <v>45712</v>
      </c>
      <c r="B248" s="31">
        <v>45714</v>
      </c>
      <c r="C248" s="17" t="s">
        <v>116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16">
        <v>45712</v>
      </c>
      <c r="B249" s="31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4"/>
    </row>
    <row r="250" spans="1:7" ht="15" customHeight="1" x14ac:dyDescent="0.35">
      <c r="B250" s="31">
        <v>45719</v>
      </c>
      <c r="C250" s="8" t="s">
        <v>117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16" t="s">
        <v>6</v>
      </c>
      <c r="B251" s="31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4"/>
    </row>
    <row r="252" spans="1:7" ht="15" customHeight="1" x14ac:dyDescent="0.35">
      <c r="B252" s="31">
        <v>45720</v>
      </c>
      <c r="C252" s="8" t="s">
        <v>117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31">
        <v>45719</v>
      </c>
      <c r="B253" s="31">
        <v>45721</v>
      </c>
      <c r="C253" s="17" t="s">
        <v>72</v>
      </c>
      <c r="D253" s="13">
        <v>0</v>
      </c>
      <c r="E253" s="7">
        <v>28137.54</v>
      </c>
      <c r="F253" s="6">
        <f t="shared" si="42"/>
        <v>272507.25379200018</v>
      </c>
      <c r="G253" s="24"/>
    </row>
    <row r="254" spans="1:7" ht="15" customHeight="1" x14ac:dyDescent="0.35">
      <c r="A254" s="31">
        <v>45719</v>
      </c>
      <c r="B254" s="31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4"/>
    </row>
    <row r="255" spans="1:7" ht="15" customHeight="1" x14ac:dyDescent="0.35">
      <c r="A255" s="16" t="s">
        <v>6</v>
      </c>
      <c r="B255" s="31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4"/>
    </row>
    <row r="256" spans="1:7" ht="15" customHeight="1" x14ac:dyDescent="0.35">
      <c r="A256" s="16" t="s">
        <v>6</v>
      </c>
      <c r="B256" s="31">
        <v>45722</v>
      </c>
      <c r="C256" s="8" t="s">
        <v>118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4"/>
    </row>
    <row r="257" spans="1:7" ht="15" customHeight="1" x14ac:dyDescent="0.35">
      <c r="A257" s="16" t="s">
        <v>6</v>
      </c>
      <c r="B257" s="31">
        <v>45723</v>
      </c>
      <c r="C257" s="17" t="s">
        <v>28</v>
      </c>
      <c r="D257" s="13">
        <v>0</v>
      </c>
      <c r="E257" s="7">
        <v>6999.3</v>
      </c>
      <c r="F257" s="6">
        <f t="shared" si="43"/>
        <v>298691.57379200018</v>
      </c>
      <c r="G257" s="24"/>
    </row>
    <row r="258" spans="1:7" ht="15" customHeight="1" x14ac:dyDescent="0.35">
      <c r="A258" s="31" t="s">
        <v>6</v>
      </c>
      <c r="B258" s="31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31">
        <v>45727</v>
      </c>
      <c r="C259" s="8" t="s">
        <v>117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16" t="s">
        <v>6</v>
      </c>
      <c r="B260" s="31">
        <v>45728</v>
      </c>
      <c r="C260" s="17" t="s">
        <v>30</v>
      </c>
      <c r="D260" s="13">
        <v>0</v>
      </c>
      <c r="E260" s="25">
        <v>13837.499999999998</v>
      </c>
      <c r="F260" s="6">
        <f t="shared" si="44"/>
        <v>265409.07379200018</v>
      </c>
      <c r="G260" s="24"/>
    </row>
    <row r="261" spans="1:7" ht="15" customHeight="1" x14ac:dyDescent="0.35">
      <c r="A261" s="31">
        <v>45728</v>
      </c>
      <c r="B261" s="31">
        <v>45730</v>
      </c>
      <c r="C261" s="17" t="s">
        <v>81</v>
      </c>
      <c r="D261" s="13">
        <v>92604.66</v>
      </c>
      <c r="E261" s="7">
        <v>0</v>
      </c>
      <c r="F261" s="6">
        <f t="shared" si="44"/>
        <v>172804.41379200018</v>
      </c>
      <c r="G261" s="24"/>
    </row>
    <row r="262" spans="1:7" ht="15" customHeight="1" x14ac:dyDescent="0.35">
      <c r="A262" s="31">
        <v>45728</v>
      </c>
      <c r="B262" s="31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4"/>
    </row>
    <row r="263" spans="1:7" ht="15" customHeight="1" x14ac:dyDescent="0.35">
      <c r="A263" s="16" t="s">
        <v>6</v>
      </c>
      <c r="B263" s="31">
        <v>45733</v>
      </c>
      <c r="C263" s="17" t="s">
        <v>31</v>
      </c>
      <c r="D263" s="13">
        <v>0</v>
      </c>
      <c r="E263" s="25">
        <v>13216.7</v>
      </c>
      <c r="F263" s="6">
        <f t="shared" ref="F263" si="45">F262-D263+E263</f>
        <v>186006.13379200018</v>
      </c>
      <c r="G263" s="24"/>
    </row>
    <row r="264" spans="1:7" ht="15" customHeight="1" x14ac:dyDescent="0.35">
      <c r="A264" s="16" t="s">
        <v>6</v>
      </c>
      <c r="B264" s="31">
        <v>45733</v>
      </c>
      <c r="C264" s="17" t="s">
        <v>31</v>
      </c>
      <c r="D264" s="13">
        <v>0</v>
      </c>
      <c r="E264" s="25">
        <v>7017.57</v>
      </c>
      <c r="F264" s="6">
        <f t="shared" ref="F264" si="46">F263-D264+E264</f>
        <v>193023.70379200019</v>
      </c>
      <c r="G264" s="24"/>
    </row>
    <row r="265" spans="1:7" ht="15" customHeight="1" x14ac:dyDescent="0.35">
      <c r="A265" s="16" t="s">
        <v>6</v>
      </c>
      <c r="B265" s="31">
        <v>45733</v>
      </c>
      <c r="C265" s="17" t="s">
        <v>34</v>
      </c>
      <c r="D265" s="13">
        <v>0</v>
      </c>
      <c r="E265" s="25">
        <v>2378</v>
      </c>
      <c r="F265" s="6">
        <f t="shared" ref="F265" si="47">F264-D265+E265</f>
        <v>195401.70379200019</v>
      </c>
      <c r="G265" s="24"/>
    </row>
    <row r="266" spans="1:7" ht="15" customHeight="1" x14ac:dyDescent="0.35">
      <c r="A266" s="16" t="s">
        <v>6</v>
      </c>
      <c r="B266" s="31">
        <v>45733</v>
      </c>
      <c r="C266" s="17" t="s">
        <v>32</v>
      </c>
      <c r="D266" s="13">
        <v>6147.12</v>
      </c>
      <c r="E266" s="25">
        <v>0</v>
      </c>
      <c r="F266" s="6">
        <f t="shared" ref="F266:F268" si="48">F265-D266+E266</f>
        <v>189254.58379200019</v>
      </c>
      <c r="G266" s="24"/>
    </row>
    <row r="267" spans="1:7" ht="15" customHeight="1" x14ac:dyDescent="0.35">
      <c r="A267" s="31" t="s">
        <v>6</v>
      </c>
      <c r="B267" s="31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16" t="s">
        <v>6</v>
      </c>
      <c r="B268" s="31">
        <v>45735</v>
      </c>
      <c r="C268" s="17" t="s">
        <v>35</v>
      </c>
      <c r="D268" s="13">
        <v>0</v>
      </c>
      <c r="E268" s="25">
        <v>2444.4</v>
      </c>
      <c r="F268" s="6">
        <f t="shared" si="48"/>
        <v>191266.98379200019</v>
      </c>
      <c r="G268" s="24"/>
    </row>
    <row r="269" spans="1:7" ht="15" customHeight="1" x14ac:dyDescent="0.35">
      <c r="A269" s="16" t="s">
        <v>6</v>
      </c>
      <c r="B269" s="31">
        <v>45735</v>
      </c>
      <c r="C269" s="17" t="s">
        <v>35</v>
      </c>
      <c r="D269" s="13">
        <v>0</v>
      </c>
      <c r="E269" s="25">
        <v>1204</v>
      </c>
      <c r="F269" s="6">
        <f t="shared" ref="F269:F270" si="49">F268-D269+E269</f>
        <v>192470.98379200019</v>
      </c>
      <c r="G269" s="24"/>
    </row>
    <row r="270" spans="1:7" ht="15" customHeight="1" x14ac:dyDescent="0.35">
      <c r="A270" s="16" t="s">
        <v>6</v>
      </c>
      <c r="B270" s="31">
        <v>45737</v>
      </c>
      <c r="C270" s="17" t="s">
        <v>37</v>
      </c>
      <c r="D270" s="13">
        <v>0</v>
      </c>
      <c r="E270" s="25">
        <v>2418.75</v>
      </c>
      <c r="F270" s="6">
        <f t="shared" si="49"/>
        <v>194889.73379200019</v>
      </c>
      <c r="G270" s="24"/>
    </row>
    <row r="271" spans="1:7" ht="15" customHeight="1" x14ac:dyDescent="0.35">
      <c r="A271" s="16" t="s">
        <v>6</v>
      </c>
      <c r="B271" s="31">
        <v>45744</v>
      </c>
      <c r="C271" s="17" t="s">
        <v>38</v>
      </c>
      <c r="D271" s="13">
        <v>0</v>
      </c>
      <c r="E271" s="25">
        <v>2619</v>
      </c>
      <c r="F271" s="6">
        <f t="shared" ref="F271:F274" si="50">F270-D271+E271</f>
        <v>197508.73379200019</v>
      </c>
      <c r="G271" s="24"/>
    </row>
    <row r="272" spans="1:7" ht="15" customHeight="1" x14ac:dyDescent="0.35">
      <c r="B272" s="31">
        <v>45748</v>
      </c>
      <c r="C272" s="8" t="s">
        <v>120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31">
        <v>45747</v>
      </c>
      <c r="B273" s="31">
        <v>45749</v>
      </c>
      <c r="C273" s="17" t="s">
        <v>72</v>
      </c>
      <c r="D273" s="13">
        <v>18540.98</v>
      </c>
      <c r="E273" s="7">
        <v>0</v>
      </c>
      <c r="F273" s="6">
        <f t="shared" si="50"/>
        <v>147967.75379200018</v>
      </c>
      <c r="G273" s="24"/>
    </row>
    <row r="274" spans="1:7" ht="15" customHeight="1" x14ac:dyDescent="0.35">
      <c r="A274" s="31">
        <v>45747</v>
      </c>
      <c r="B274" s="31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4"/>
    </row>
    <row r="275" spans="1:7" ht="15" customHeight="1" x14ac:dyDescent="0.35">
      <c r="B275" s="31">
        <v>45757</v>
      </c>
      <c r="C275" s="8" t="s">
        <v>121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31">
        <v>45756</v>
      </c>
      <c r="B276" s="31">
        <v>45758</v>
      </c>
      <c r="C276" s="17" t="s">
        <v>25</v>
      </c>
      <c r="D276" s="13">
        <v>37583.06</v>
      </c>
      <c r="E276" s="7">
        <v>0</v>
      </c>
      <c r="F276" s="6">
        <f t="shared" si="51"/>
        <v>83369.71379200017</v>
      </c>
      <c r="G276" s="24"/>
    </row>
    <row r="277" spans="1:7" ht="15" customHeight="1" x14ac:dyDescent="0.35">
      <c r="A277" s="31">
        <v>45756</v>
      </c>
      <c r="B277" s="31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4"/>
    </row>
    <row r="278" spans="1:7" ht="15" customHeight="1" x14ac:dyDescent="0.35">
      <c r="A278" s="31" t="s">
        <v>6</v>
      </c>
      <c r="B278" s="31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31">
        <v>45757</v>
      </c>
      <c r="B279" s="31">
        <v>45763</v>
      </c>
      <c r="C279" s="17" t="s">
        <v>119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4"/>
    </row>
    <row r="280" spans="1:7" ht="15" customHeight="1" x14ac:dyDescent="0.35">
      <c r="A280" s="31">
        <v>45757</v>
      </c>
      <c r="B280" s="31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4"/>
    </row>
    <row r="281" spans="1:7" ht="15" customHeight="1" x14ac:dyDescent="0.35">
      <c r="A281" s="31" t="s">
        <v>6</v>
      </c>
      <c r="B281" s="31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32">
        <v>45768</v>
      </c>
      <c r="C282" s="28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32">
        <v>45768</v>
      </c>
      <c r="C283" s="28" t="s">
        <v>123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32">
        <v>45768</v>
      </c>
      <c r="C284" s="28" t="s">
        <v>123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16" t="s">
        <v>6</v>
      </c>
      <c r="B285" s="31">
        <v>45769</v>
      </c>
      <c r="C285" s="17" t="s">
        <v>41</v>
      </c>
      <c r="D285" s="13">
        <v>0</v>
      </c>
      <c r="E285" s="25">
        <v>1350</v>
      </c>
      <c r="F285" s="6">
        <f t="shared" si="52"/>
        <v>155800.97379200018</v>
      </c>
      <c r="G285" s="24"/>
    </row>
    <row r="286" spans="1:7" ht="15" customHeight="1" x14ac:dyDescent="0.35">
      <c r="A286" s="16" t="s">
        <v>6</v>
      </c>
      <c r="B286" s="31">
        <v>45769</v>
      </c>
      <c r="C286" s="17" t="s">
        <v>124</v>
      </c>
      <c r="D286" s="29">
        <v>150000</v>
      </c>
      <c r="E286" s="25">
        <v>0</v>
      </c>
      <c r="F286" s="6">
        <f t="shared" ref="F286:F287" si="53">F285-D286+E286</f>
        <v>5800.9737920001789</v>
      </c>
      <c r="G286" s="24"/>
    </row>
    <row r="287" spans="1:7" ht="15" customHeight="1" x14ac:dyDescent="0.35">
      <c r="A287" s="16" t="s">
        <v>6</v>
      </c>
      <c r="B287" s="31">
        <v>45771</v>
      </c>
      <c r="C287" s="17" t="s">
        <v>42</v>
      </c>
      <c r="D287" s="13">
        <v>0</v>
      </c>
      <c r="E287" s="25">
        <v>2700</v>
      </c>
      <c r="F287" s="6">
        <f t="shared" si="53"/>
        <v>8500.9737920001789</v>
      </c>
      <c r="G287" s="24"/>
    </row>
    <row r="288" spans="1:7" ht="15" customHeight="1" x14ac:dyDescent="0.35">
      <c r="A288" s="16" t="s">
        <v>6</v>
      </c>
      <c r="B288" s="31">
        <v>45777</v>
      </c>
      <c r="C288" s="17" t="s">
        <v>46</v>
      </c>
      <c r="D288" s="13">
        <v>0</v>
      </c>
      <c r="E288" s="25">
        <v>1058.4000000000001</v>
      </c>
      <c r="F288" s="6">
        <f t="shared" ref="F288" si="54">F287-D288+E288</f>
        <v>9559.3737920001786</v>
      </c>
      <c r="G288" s="24"/>
    </row>
    <row r="289" spans="1:7" ht="15" customHeight="1" x14ac:dyDescent="0.35">
      <c r="A289" s="16" t="s">
        <v>6</v>
      </c>
      <c r="B289" s="31">
        <v>45777</v>
      </c>
      <c r="C289" s="17" t="s">
        <v>125</v>
      </c>
      <c r="D289" s="13">
        <v>0</v>
      </c>
      <c r="E289" s="25">
        <v>25600</v>
      </c>
      <c r="F289" s="6">
        <f t="shared" ref="F289:F292" si="55">F288-D289+E289</f>
        <v>35159.37379200018</v>
      </c>
      <c r="G289" s="24"/>
    </row>
    <row r="290" spans="1:7" ht="15" customHeight="1" x14ac:dyDescent="0.35">
      <c r="A290" s="31" t="s">
        <v>6</v>
      </c>
      <c r="B290" s="31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16" t="s">
        <v>6</v>
      </c>
      <c r="B291" s="31">
        <v>45784</v>
      </c>
      <c r="C291" s="17" t="s">
        <v>45</v>
      </c>
      <c r="D291" s="13">
        <v>0</v>
      </c>
      <c r="E291" s="25">
        <v>40500</v>
      </c>
      <c r="F291" s="6">
        <f t="shared" si="55"/>
        <v>74659.373792000173</v>
      </c>
      <c r="G291" s="24"/>
    </row>
    <row r="292" spans="1:7" ht="15" customHeight="1" x14ac:dyDescent="0.35">
      <c r="A292" s="16" t="s">
        <v>6</v>
      </c>
      <c r="B292" s="31">
        <v>45785</v>
      </c>
      <c r="C292" s="17" t="s">
        <v>48</v>
      </c>
      <c r="D292" s="13">
        <v>0</v>
      </c>
      <c r="E292" s="25">
        <v>9000</v>
      </c>
      <c r="F292" s="6">
        <f t="shared" si="55"/>
        <v>83659.373792000173</v>
      </c>
      <c r="G292" s="24"/>
    </row>
    <row r="293" spans="1:7" ht="15" customHeight="1" x14ac:dyDescent="0.35">
      <c r="A293" s="16" t="s">
        <v>6</v>
      </c>
      <c r="B293" s="31">
        <v>45786</v>
      </c>
      <c r="C293" s="8" t="s">
        <v>51</v>
      </c>
      <c r="D293" s="13">
        <v>0</v>
      </c>
      <c r="E293" s="25">
        <v>5540</v>
      </c>
      <c r="F293" s="6">
        <f t="shared" ref="F293" si="56">F292-D293+E293</f>
        <v>89199.373792000173</v>
      </c>
      <c r="G293" s="24"/>
    </row>
    <row r="294" spans="1:7" ht="15" customHeight="1" x14ac:dyDescent="0.35">
      <c r="A294" s="16" t="s">
        <v>6</v>
      </c>
      <c r="B294" s="31">
        <v>45786</v>
      </c>
      <c r="C294" s="8" t="s">
        <v>50</v>
      </c>
      <c r="D294" s="13">
        <v>0</v>
      </c>
      <c r="E294" s="25">
        <v>8370</v>
      </c>
      <c r="F294" s="6">
        <f t="shared" ref="F294" si="57">F293-D294+E294</f>
        <v>97569.373792000173</v>
      </c>
      <c r="G294" s="24"/>
    </row>
    <row r="295" spans="1:7" ht="15" customHeight="1" x14ac:dyDescent="0.35">
      <c r="A295" s="31" t="s">
        <v>6</v>
      </c>
      <c r="B295" s="31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16" t="s">
        <v>6</v>
      </c>
      <c r="B296" s="31">
        <v>45791</v>
      </c>
      <c r="C296" s="8" t="s">
        <v>49</v>
      </c>
      <c r="D296" s="13">
        <v>0</v>
      </c>
      <c r="E296" s="25">
        <v>4590</v>
      </c>
      <c r="F296" s="6">
        <f t="shared" ref="F296:F305" si="58">F295-D296+E296</f>
        <v>102139.37379200017</v>
      </c>
      <c r="G296" s="24"/>
    </row>
    <row r="297" spans="1:7" ht="15" customHeight="1" x14ac:dyDescent="0.35">
      <c r="A297" s="31" t="s">
        <v>6</v>
      </c>
      <c r="B297" s="31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16" t="s">
        <v>6</v>
      </c>
      <c r="B298" s="31">
        <v>45793</v>
      </c>
      <c r="C298" s="8" t="s">
        <v>53</v>
      </c>
      <c r="D298" s="13">
        <v>0</v>
      </c>
      <c r="E298" s="25">
        <v>38340</v>
      </c>
      <c r="F298" s="6">
        <f t="shared" si="58"/>
        <v>140047.37379200017</v>
      </c>
      <c r="G298" s="24"/>
    </row>
    <row r="299" spans="1:7" ht="15" customHeight="1" x14ac:dyDescent="0.35">
      <c r="A299" s="16" t="s">
        <v>6</v>
      </c>
      <c r="B299" s="31">
        <v>45793</v>
      </c>
      <c r="C299" s="8" t="s">
        <v>54</v>
      </c>
      <c r="D299" s="13">
        <v>0</v>
      </c>
      <c r="E299" s="25">
        <v>810</v>
      </c>
      <c r="F299" s="6">
        <f t="shared" si="58"/>
        <v>140857.37379200017</v>
      </c>
      <c r="G299" s="24"/>
    </row>
    <row r="300" spans="1:7" ht="15" customHeight="1" x14ac:dyDescent="0.35">
      <c r="A300" s="16" t="s">
        <v>6</v>
      </c>
      <c r="B300" s="31">
        <v>45793</v>
      </c>
      <c r="C300" s="8" t="s">
        <v>128</v>
      </c>
      <c r="D300" s="13">
        <v>0</v>
      </c>
      <c r="E300" s="25">
        <v>6696</v>
      </c>
      <c r="F300" s="6">
        <f t="shared" si="58"/>
        <v>147553.37379200017</v>
      </c>
      <c r="G300" s="24"/>
    </row>
    <row r="301" spans="1:7" ht="15" customHeight="1" x14ac:dyDescent="0.35">
      <c r="A301" s="32">
        <v>45792</v>
      </c>
      <c r="B301" s="32">
        <v>45794</v>
      </c>
      <c r="C301" s="3" t="s">
        <v>126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32">
        <v>45792</v>
      </c>
      <c r="B302" s="32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4"/>
    </row>
    <row r="303" spans="1:7" ht="15" customHeight="1" x14ac:dyDescent="0.35">
      <c r="A303" s="16" t="s">
        <v>6</v>
      </c>
      <c r="B303" s="31">
        <v>45797</v>
      </c>
      <c r="C303" s="8" t="s">
        <v>52</v>
      </c>
      <c r="D303" s="13">
        <v>0</v>
      </c>
      <c r="E303" s="25">
        <v>2160</v>
      </c>
      <c r="F303" s="6">
        <f t="shared" si="58"/>
        <v>208667.49379200017</v>
      </c>
      <c r="G303" s="24"/>
    </row>
    <row r="304" spans="1:7" ht="15" customHeight="1" x14ac:dyDescent="0.35">
      <c r="A304" s="32">
        <v>45793</v>
      </c>
      <c r="B304" s="32">
        <v>45797</v>
      </c>
      <c r="C304" s="3" t="s">
        <v>127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32">
        <v>45793</v>
      </c>
      <c r="B305" s="32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4"/>
    </row>
    <row r="306" spans="1:7" ht="15" customHeight="1" x14ac:dyDescent="0.35">
      <c r="A306" s="16" t="s">
        <v>6</v>
      </c>
      <c r="B306" s="31">
        <v>45800</v>
      </c>
      <c r="C306" s="8" t="s">
        <v>60</v>
      </c>
      <c r="D306" s="13">
        <v>0</v>
      </c>
      <c r="E306" s="25">
        <v>520.79999999999995</v>
      </c>
      <c r="F306" s="6">
        <f t="shared" ref="F306" si="59">F305-D306+E306</f>
        <v>162069.21379200014</v>
      </c>
      <c r="G306" s="24"/>
    </row>
    <row r="307" spans="1:7" ht="15" customHeight="1" x14ac:dyDescent="0.35">
      <c r="A307" s="16" t="s">
        <v>6</v>
      </c>
      <c r="B307" s="31">
        <v>45800</v>
      </c>
      <c r="C307" s="8" t="s">
        <v>55</v>
      </c>
      <c r="D307" s="13">
        <v>0</v>
      </c>
      <c r="E307" s="25">
        <v>1008</v>
      </c>
      <c r="F307" s="6">
        <f t="shared" ref="F307:F309" si="60">F306-D307+E307</f>
        <v>163077.21379200014</v>
      </c>
      <c r="G307" s="24"/>
    </row>
    <row r="308" spans="1:7" ht="15" customHeight="1" x14ac:dyDescent="0.35">
      <c r="A308" s="16" t="s">
        <v>6</v>
      </c>
      <c r="B308" s="31">
        <v>45800</v>
      </c>
      <c r="C308" s="8" t="s">
        <v>56</v>
      </c>
      <c r="D308" s="13">
        <v>0</v>
      </c>
      <c r="E308" s="25">
        <v>1134</v>
      </c>
      <c r="F308" s="6">
        <f t="shared" si="60"/>
        <v>164211.21379200014</v>
      </c>
      <c r="G308" s="24"/>
    </row>
    <row r="309" spans="1:7" ht="15" customHeight="1" x14ac:dyDescent="0.35">
      <c r="A309" s="16" t="s">
        <v>6</v>
      </c>
      <c r="B309" s="31">
        <v>45800</v>
      </c>
      <c r="C309" s="8" t="s">
        <v>59</v>
      </c>
      <c r="D309" s="13">
        <v>0</v>
      </c>
      <c r="E309" s="25">
        <v>10612.21</v>
      </c>
      <c r="F309" s="6">
        <f t="shared" si="60"/>
        <v>174823.42379200013</v>
      </c>
      <c r="G309" s="24"/>
    </row>
    <row r="310" spans="1:7" ht="15" customHeight="1" x14ac:dyDescent="0.35">
      <c r="A310" s="16" t="s">
        <v>6</v>
      </c>
      <c r="B310" s="31">
        <v>45800</v>
      </c>
      <c r="C310" s="8" t="s">
        <v>61</v>
      </c>
      <c r="D310" s="13">
        <v>0</v>
      </c>
      <c r="E310" s="25">
        <v>243</v>
      </c>
      <c r="F310" s="6">
        <f t="shared" ref="F310:F316" si="61">F309-D310+E310</f>
        <v>175066.42379200013</v>
      </c>
      <c r="G310" s="24"/>
    </row>
    <row r="311" spans="1:7" ht="15" customHeight="1" x14ac:dyDescent="0.35">
      <c r="A311" s="32">
        <v>45796</v>
      </c>
      <c r="B311" s="32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32">
        <v>45796</v>
      </c>
      <c r="B312" s="32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4"/>
    </row>
    <row r="313" spans="1:7" ht="15" customHeight="1" x14ac:dyDescent="0.35">
      <c r="A313" s="16" t="s">
        <v>6</v>
      </c>
      <c r="B313" s="31">
        <v>45805</v>
      </c>
      <c r="C313" s="8" t="s">
        <v>58</v>
      </c>
      <c r="D313" s="13">
        <v>0</v>
      </c>
      <c r="E313" s="25">
        <v>607.5</v>
      </c>
      <c r="F313" s="6">
        <f t="shared" si="61"/>
        <v>146193.82379200013</v>
      </c>
      <c r="G313" s="24"/>
    </row>
    <row r="314" spans="1:7" ht="15" customHeight="1" x14ac:dyDescent="0.35">
      <c r="A314" s="16" t="s">
        <v>6</v>
      </c>
      <c r="B314" s="31">
        <v>45806</v>
      </c>
      <c r="C314" s="8" t="s">
        <v>79</v>
      </c>
      <c r="D314" s="13">
        <v>0</v>
      </c>
      <c r="E314" s="25">
        <v>1407.6</v>
      </c>
      <c r="F314" s="6">
        <f t="shared" si="61"/>
        <v>147601.42379200013</v>
      </c>
      <c r="G314" s="24"/>
    </row>
    <row r="315" spans="1:7" ht="15" customHeight="1" x14ac:dyDescent="0.35">
      <c r="A315" s="16" t="s">
        <v>6</v>
      </c>
      <c r="B315" s="31">
        <v>45809</v>
      </c>
      <c r="C315" s="8" t="s">
        <v>129</v>
      </c>
      <c r="D315" s="13">
        <v>24000</v>
      </c>
      <c r="E315" s="25">
        <v>0</v>
      </c>
      <c r="F315" s="6">
        <f t="shared" si="61"/>
        <v>123601.42379200013</v>
      </c>
      <c r="G315" s="24"/>
    </row>
    <row r="316" spans="1:7" ht="15" customHeight="1" x14ac:dyDescent="0.35">
      <c r="A316" s="31" t="s">
        <v>6</v>
      </c>
      <c r="B316" s="31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16" t="s">
        <v>6</v>
      </c>
      <c r="B317" s="31">
        <v>45812</v>
      </c>
      <c r="C317" s="8" t="s">
        <v>31</v>
      </c>
      <c r="D317" s="13">
        <v>0</v>
      </c>
      <c r="E317" s="25">
        <v>17810.55</v>
      </c>
      <c r="F317" s="6">
        <f t="shared" ref="F317" si="62">F316-D317+E317</f>
        <v>139368.20379200013</v>
      </c>
      <c r="G317" s="24"/>
    </row>
    <row r="318" spans="1:7" ht="15" customHeight="1" x14ac:dyDescent="0.35">
      <c r="A318" s="16" t="s">
        <v>6</v>
      </c>
      <c r="B318" s="31">
        <v>45812</v>
      </c>
      <c r="C318" s="8" t="s">
        <v>31</v>
      </c>
      <c r="D318" s="13">
        <v>0</v>
      </c>
      <c r="E318" s="25">
        <v>1224.5</v>
      </c>
      <c r="F318" s="6">
        <f t="shared" ref="F318:F319" si="63">F317-D318+E318</f>
        <v>140592.70379200013</v>
      </c>
      <c r="G318" s="24"/>
    </row>
    <row r="319" spans="1:7" ht="15" customHeight="1" x14ac:dyDescent="0.35">
      <c r="A319" s="16" t="s">
        <v>6</v>
      </c>
      <c r="B319" s="31">
        <v>45812</v>
      </c>
      <c r="C319" s="8" t="s">
        <v>32</v>
      </c>
      <c r="D319" s="13">
        <v>5782.8</v>
      </c>
      <c r="E319" s="25">
        <v>0</v>
      </c>
      <c r="F319" s="6">
        <f t="shared" si="63"/>
        <v>134809.90379200014</v>
      </c>
      <c r="G319" s="24"/>
    </row>
    <row r="320" spans="1:7" ht="15" customHeight="1" x14ac:dyDescent="0.35">
      <c r="A320" s="16" t="s">
        <v>6</v>
      </c>
      <c r="B320" s="31">
        <v>45813</v>
      </c>
      <c r="C320" s="8" t="s">
        <v>33</v>
      </c>
      <c r="D320" s="13">
        <v>0</v>
      </c>
      <c r="E320" s="25">
        <v>24000</v>
      </c>
      <c r="F320" s="6">
        <f t="shared" ref="F320:F322" si="64">F319-D320+E320</f>
        <v>158809.90379200014</v>
      </c>
      <c r="G320" s="24"/>
    </row>
    <row r="321" spans="1:7" ht="15" customHeight="1" x14ac:dyDescent="0.35">
      <c r="A321" s="16" t="s">
        <v>6</v>
      </c>
      <c r="B321" s="31">
        <v>45813</v>
      </c>
      <c r="C321" s="8" t="s">
        <v>21</v>
      </c>
      <c r="D321" s="13">
        <v>4800</v>
      </c>
      <c r="E321" s="25">
        <v>0</v>
      </c>
      <c r="F321" s="6">
        <f t="shared" si="64"/>
        <v>154009.90379200014</v>
      </c>
      <c r="G321" s="24"/>
    </row>
    <row r="322" spans="1:7" ht="15" customHeight="1" x14ac:dyDescent="0.35">
      <c r="A322" s="16" t="s">
        <v>6</v>
      </c>
      <c r="B322" s="31">
        <v>45814</v>
      </c>
      <c r="C322" s="8" t="s">
        <v>37</v>
      </c>
      <c r="D322" s="13">
        <v>0</v>
      </c>
      <c r="E322" s="25">
        <v>2418.75</v>
      </c>
      <c r="F322" s="6">
        <f t="shared" si="64"/>
        <v>156428.65379200014</v>
      </c>
      <c r="G322" s="24"/>
    </row>
    <row r="323" spans="1:7" ht="15" customHeight="1" x14ac:dyDescent="0.35">
      <c r="A323" s="16" t="s">
        <v>6</v>
      </c>
      <c r="B323" s="31">
        <v>45814</v>
      </c>
      <c r="C323" s="8" t="s">
        <v>35</v>
      </c>
      <c r="D323" s="13">
        <v>0</v>
      </c>
      <c r="E323" s="25">
        <v>3447</v>
      </c>
      <c r="F323" s="6">
        <f t="shared" ref="F323" si="65">F322-D323+E323</f>
        <v>159875.65379200014</v>
      </c>
      <c r="G323" s="24"/>
    </row>
    <row r="324" spans="1:7" ht="15" customHeight="1" x14ac:dyDescent="0.35">
      <c r="A324" s="16" t="s">
        <v>6</v>
      </c>
      <c r="B324" s="31">
        <v>45814</v>
      </c>
      <c r="C324" s="8" t="s">
        <v>28</v>
      </c>
      <c r="D324" s="13">
        <v>0</v>
      </c>
      <c r="E324" s="25">
        <v>7999.2</v>
      </c>
      <c r="F324" s="6">
        <f t="shared" ref="F324:F327" si="66">F323-D324+E324</f>
        <v>167874.85379200015</v>
      </c>
      <c r="G324" s="24"/>
    </row>
    <row r="325" spans="1:7" ht="15" customHeight="1" x14ac:dyDescent="0.35">
      <c r="A325" s="32">
        <v>45812</v>
      </c>
      <c r="B325" s="32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32">
        <v>45812</v>
      </c>
      <c r="B326" s="32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4"/>
    </row>
    <row r="327" spans="1:7" ht="15" customHeight="1" x14ac:dyDescent="0.35">
      <c r="A327" s="16" t="s">
        <v>6</v>
      </c>
      <c r="B327" s="31">
        <v>45818</v>
      </c>
      <c r="C327" s="8" t="s">
        <v>9</v>
      </c>
      <c r="D327" s="13">
        <v>23000</v>
      </c>
      <c r="E327" s="25">
        <v>0</v>
      </c>
      <c r="F327" s="6">
        <f t="shared" si="66"/>
        <v>122310.03379200015</v>
      </c>
      <c r="G327" s="24"/>
    </row>
    <row r="328" spans="1:7" ht="15" customHeight="1" x14ac:dyDescent="0.35">
      <c r="A328" s="31" t="s">
        <v>6</v>
      </c>
      <c r="B328" s="31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32">
        <v>45817</v>
      </c>
      <c r="B329" s="32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32">
        <v>45817</v>
      </c>
      <c r="B330" s="32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4"/>
    </row>
    <row r="331" spans="1:7" ht="15" customHeight="1" x14ac:dyDescent="0.35">
      <c r="A331" s="16" t="s">
        <v>6</v>
      </c>
      <c r="B331" s="31">
        <v>45820</v>
      </c>
      <c r="C331" s="8" t="s">
        <v>30</v>
      </c>
      <c r="D331" s="13">
        <v>0</v>
      </c>
      <c r="E331" s="25">
        <v>13392</v>
      </c>
      <c r="F331" s="6">
        <f t="shared" si="67"/>
        <v>99587.313792000161</v>
      </c>
      <c r="G331" s="24"/>
    </row>
    <row r="332" spans="1:7" ht="15" customHeight="1" x14ac:dyDescent="0.35">
      <c r="A332" s="16" t="s">
        <v>6</v>
      </c>
      <c r="B332" s="31">
        <v>45820</v>
      </c>
      <c r="C332" s="8" t="s">
        <v>56</v>
      </c>
      <c r="D332" s="13">
        <v>0</v>
      </c>
      <c r="E332" s="25">
        <v>1134</v>
      </c>
      <c r="F332" s="6">
        <f t="shared" si="67"/>
        <v>100721.31379200016</v>
      </c>
      <c r="G332" s="24"/>
    </row>
    <row r="333" spans="1:7" ht="15" customHeight="1" x14ac:dyDescent="0.35">
      <c r="A333" s="16" t="s">
        <v>6</v>
      </c>
      <c r="B333" s="31">
        <v>45824</v>
      </c>
      <c r="C333" s="8" t="s">
        <v>34</v>
      </c>
      <c r="D333" s="13">
        <v>0</v>
      </c>
      <c r="E333" s="25">
        <v>2352</v>
      </c>
      <c r="F333" s="6">
        <f t="shared" si="67"/>
        <v>103073.31379200016</v>
      </c>
      <c r="G333" s="24"/>
    </row>
    <row r="334" spans="1:7" ht="15" customHeight="1" x14ac:dyDescent="0.35">
      <c r="A334" s="31" t="s">
        <v>6</v>
      </c>
      <c r="B334" s="31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31">
        <v>45824</v>
      </c>
      <c r="B335" s="31">
        <v>45826</v>
      </c>
      <c r="C335" s="17" t="s">
        <v>119</v>
      </c>
      <c r="D335" s="13">
        <v>0</v>
      </c>
      <c r="E335" s="7">
        <v>16563.22</v>
      </c>
      <c r="F335" s="6">
        <f t="shared" si="67"/>
        <v>119204.53379200016</v>
      </c>
      <c r="G335" s="24"/>
    </row>
    <row r="336" spans="1:7" ht="15" customHeight="1" x14ac:dyDescent="0.35">
      <c r="A336" s="31">
        <v>45824</v>
      </c>
      <c r="B336" s="31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4"/>
    </row>
    <row r="337" spans="1:7" ht="15" customHeight="1" x14ac:dyDescent="0.35">
      <c r="A337" s="31">
        <v>45826</v>
      </c>
      <c r="B337" s="31">
        <v>45828</v>
      </c>
      <c r="C337" s="17" t="s">
        <v>119</v>
      </c>
      <c r="D337" s="13">
        <v>0</v>
      </c>
      <c r="E337" s="7">
        <v>16762.79</v>
      </c>
      <c r="F337" s="6">
        <f t="shared" si="67"/>
        <v>135952.34379200017</v>
      </c>
      <c r="G337" s="24"/>
    </row>
    <row r="338" spans="1:7" ht="15" customHeight="1" x14ac:dyDescent="0.35">
      <c r="A338" s="31">
        <v>45826</v>
      </c>
      <c r="B338" s="31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4"/>
    </row>
    <row r="339" spans="1:7" ht="15" customHeight="1" x14ac:dyDescent="0.35">
      <c r="A339" s="31">
        <v>45828</v>
      </c>
      <c r="B339" s="31">
        <v>45832</v>
      </c>
      <c r="C339" s="17" t="s">
        <v>119</v>
      </c>
      <c r="D339" s="13">
        <v>0</v>
      </c>
      <c r="E339" s="7">
        <v>16762.79</v>
      </c>
      <c r="F339" s="6">
        <f t="shared" si="67"/>
        <v>152700.15379200017</v>
      </c>
      <c r="G339" s="24"/>
    </row>
    <row r="340" spans="1:7" ht="15" customHeight="1" x14ac:dyDescent="0.35">
      <c r="A340" s="31">
        <v>45828</v>
      </c>
      <c r="B340" s="31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4"/>
    </row>
    <row r="341" spans="1:7" ht="15" customHeight="1" x14ac:dyDescent="0.35">
      <c r="A341" s="16" t="s">
        <v>6</v>
      </c>
      <c r="B341" s="31">
        <v>45833</v>
      </c>
      <c r="C341" s="8" t="s">
        <v>38</v>
      </c>
      <c r="D341" s="13">
        <v>0</v>
      </c>
      <c r="E341" s="25">
        <v>7155</v>
      </c>
      <c r="F341" s="6">
        <f t="shared" si="67"/>
        <v>159840.17379200016</v>
      </c>
      <c r="G341" s="24"/>
    </row>
    <row r="342" spans="1:7" ht="15" customHeight="1" x14ac:dyDescent="0.35">
      <c r="A342" s="31">
        <v>45831</v>
      </c>
      <c r="B342" s="31">
        <v>45833</v>
      </c>
      <c r="C342" s="8" t="s">
        <v>130</v>
      </c>
      <c r="D342" s="13">
        <v>19543.2</v>
      </c>
      <c r="E342" s="7">
        <v>0</v>
      </c>
      <c r="F342" s="6">
        <f t="shared" si="67"/>
        <v>140296.97379200015</v>
      </c>
      <c r="G342" s="24"/>
    </row>
    <row r="343" spans="1:7" ht="15" customHeight="1" x14ac:dyDescent="0.35">
      <c r="A343" s="31">
        <v>45831</v>
      </c>
      <c r="B343" s="31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4"/>
    </row>
    <row r="344" spans="1:7" ht="15" customHeight="1" x14ac:dyDescent="0.35">
      <c r="A344" s="31" t="s">
        <v>6</v>
      </c>
      <c r="B344" s="31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31">
        <v>45840</v>
      </c>
      <c r="B345" s="31">
        <v>45842</v>
      </c>
      <c r="C345" s="17" t="s">
        <v>119</v>
      </c>
      <c r="D345" s="13">
        <v>0</v>
      </c>
      <c r="E345" s="7">
        <v>19556.59</v>
      </c>
      <c r="F345" s="6">
        <f t="shared" si="67"/>
        <v>159583.97379200015</v>
      </c>
      <c r="G345" s="24"/>
    </row>
    <row r="346" spans="1:7" ht="15" customHeight="1" x14ac:dyDescent="0.35">
      <c r="A346" s="31">
        <v>45840</v>
      </c>
      <c r="B346" s="31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4"/>
    </row>
    <row r="347" spans="1:7" ht="15" customHeight="1" x14ac:dyDescent="0.35">
      <c r="A347" s="31">
        <v>45841</v>
      </c>
      <c r="B347" s="31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4"/>
    </row>
    <row r="348" spans="1:7" ht="15" customHeight="1" x14ac:dyDescent="0.35">
      <c r="A348" s="31">
        <v>45841</v>
      </c>
      <c r="B348" s="31">
        <v>45845</v>
      </c>
      <c r="C348" s="17" t="s">
        <v>119</v>
      </c>
      <c r="D348" s="13">
        <v>0</v>
      </c>
      <c r="E348" s="7">
        <v>20953.490000000002</v>
      </c>
      <c r="F348" s="6">
        <f t="shared" si="68"/>
        <v>205965.99379200014</v>
      </c>
      <c r="G348" s="24"/>
    </row>
    <row r="349" spans="1:7" ht="15" customHeight="1" x14ac:dyDescent="0.35">
      <c r="A349" s="31">
        <v>45841</v>
      </c>
      <c r="B349" s="31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4"/>
    </row>
    <row r="350" spans="1:7" ht="15" customHeight="1" x14ac:dyDescent="0.35">
      <c r="A350" s="31">
        <v>45846</v>
      </c>
      <c r="B350" s="31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4"/>
    </row>
    <row r="351" spans="1:7" ht="15" customHeight="1" x14ac:dyDescent="0.35">
      <c r="A351" s="31">
        <v>45846</v>
      </c>
      <c r="B351" s="31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4"/>
    </row>
    <row r="352" spans="1:7" ht="15" customHeight="1" x14ac:dyDescent="0.35">
      <c r="A352" s="31" t="s">
        <v>6</v>
      </c>
      <c r="B352" s="31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31" t="s">
        <v>6</v>
      </c>
      <c r="B353" s="31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31">
        <v>45854</v>
      </c>
      <c r="B354" s="31">
        <v>45856</v>
      </c>
      <c r="C354" s="17" t="s">
        <v>119</v>
      </c>
      <c r="D354" s="13">
        <v>0</v>
      </c>
      <c r="E354" s="7">
        <v>21651.94</v>
      </c>
      <c r="F354" s="6">
        <f t="shared" si="70"/>
        <v>183038.1437920001</v>
      </c>
      <c r="G354" s="24"/>
    </row>
    <row r="355" spans="1:7" ht="15" customHeight="1" x14ac:dyDescent="0.35">
      <c r="A355" s="31">
        <v>45854</v>
      </c>
      <c r="B355" s="31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4"/>
    </row>
    <row r="356" spans="1:7" ht="15" customHeight="1" x14ac:dyDescent="0.35">
      <c r="A356" s="31">
        <v>45856</v>
      </c>
      <c r="B356" s="31">
        <v>45860</v>
      </c>
      <c r="C356" s="17" t="s">
        <v>119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4"/>
    </row>
    <row r="357" spans="1:7" ht="15" customHeight="1" x14ac:dyDescent="0.35">
      <c r="A357" s="31">
        <v>45856</v>
      </c>
      <c r="B357" s="31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4"/>
    </row>
    <row r="358" spans="1:7" ht="15" customHeight="1" x14ac:dyDescent="0.35">
      <c r="A358" s="31">
        <v>45862</v>
      </c>
      <c r="B358" s="31">
        <v>45866</v>
      </c>
      <c r="C358" s="17" t="s">
        <v>119</v>
      </c>
      <c r="D358" s="13">
        <v>0</v>
      </c>
      <c r="E358" s="7">
        <v>22350.38</v>
      </c>
      <c r="F358" s="6">
        <f t="shared" si="71"/>
        <v>227509.3937920001</v>
      </c>
      <c r="G358" s="24"/>
    </row>
    <row r="359" spans="1:7" ht="15" customHeight="1" x14ac:dyDescent="0.35">
      <c r="A359" s="31">
        <v>45862</v>
      </c>
      <c r="B359" s="31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4"/>
    </row>
    <row r="360" spans="1:7" ht="15" customHeight="1" x14ac:dyDescent="0.35">
      <c r="A360" s="16" t="s">
        <v>6</v>
      </c>
      <c r="B360" s="31">
        <v>45869</v>
      </c>
      <c r="C360" s="8" t="s">
        <v>8</v>
      </c>
      <c r="D360" s="13">
        <v>38000</v>
      </c>
      <c r="E360" s="25">
        <v>0</v>
      </c>
      <c r="F360" s="6">
        <f t="shared" si="71"/>
        <v>189494.41379200009</v>
      </c>
      <c r="G360" s="24"/>
    </row>
    <row r="361" spans="1:7" ht="15" customHeight="1" x14ac:dyDescent="0.35">
      <c r="A361" s="31">
        <v>45867</v>
      </c>
      <c r="B361" s="31">
        <v>45869</v>
      </c>
      <c r="C361" s="17" t="s">
        <v>119</v>
      </c>
      <c r="D361" s="13">
        <v>0</v>
      </c>
      <c r="E361" s="7">
        <v>22849.279999999999</v>
      </c>
      <c r="F361" s="6">
        <f t="shared" si="71"/>
        <v>212343.69379200009</v>
      </c>
      <c r="G361" s="24"/>
    </row>
    <row r="362" spans="1:7" ht="15" customHeight="1" x14ac:dyDescent="0.35">
      <c r="A362" s="31">
        <v>45867</v>
      </c>
      <c r="B362" s="31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4"/>
    </row>
    <row r="363" spans="1:7" ht="15" customHeight="1" x14ac:dyDescent="0.35">
      <c r="A363" s="31">
        <v>45868</v>
      </c>
      <c r="B363" s="31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4"/>
    </row>
    <row r="364" spans="1:7" ht="15" customHeight="1" x14ac:dyDescent="0.35">
      <c r="A364" s="31">
        <v>45868</v>
      </c>
      <c r="B364" s="31">
        <v>45870</v>
      </c>
      <c r="C364" s="8" t="s">
        <v>131</v>
      </c>
      <c r="D364" s="13">
        <v>0</v>
      </c>
      <c r="E364" s="7">
        <v>54878.18</v>
      </c>
      <c r="F364" s="6">
        <f t="shared" si="71"/>
        <v>308335.59379200009</v>
      </c>
      <c r="G364" s="24"/>
    </row>
    <row r="365" spans="1:7" ht="15" customHeight="1" x14ac:dyDescent="0.35">
      <c r="A365" s="31">
        <v>45868</v>
      </c>
      <c r="B365" s="31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4"/>
    </row>
    <row r="366" spans="1:7" ht="15" customHeight="1" x14ac:dyDescent="0.35">
      <c r="A366" s="31" t="s">
        <v>6</v>
      </c>
      <c r="B366" s="31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4"/>
    </row>
    <row r="367" spans="1:7" ht="15" customHeight="1" x14ac:dyDescent="0.35">
      <c r="A367" s="31">
        <v>45874</v>
      </c>
      <c r="B367" s="31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4"/>
    </row>
    <row r="368" spans="1:7" ht="15" customHeight="1" x14ac:dyDescent="0.35">
      <c r="A368" s="31">
        <v>45874</v>
      </c>
      <c r="B368" s="31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4"/>
    </row>
    <row r="369" spans="1:7" ht="15" customHeight="1" x14ac:dyDescent="0.35">
      <c r="A369" s="31">
        <v>45874</v>
      </c>
      <c r="B369" s="31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4"/>
    </row>
    <row r="370" spans="1:7" ht="15" customHeight="1" x14ac:dyDescent="0.35">
      <c r="A370" s="31">
        <v>45875</v>
      </c>
      <c r="B370" s="31">
        <v>45877</v>
      </c>
      <c r="C370" s="8" t="s">
        <v>132</v>
      </c>
      <c r="D370" s="13">
        <v>0</v>
      </c>
      <c r="E370" s="7">
        <v>22549.95</v>
      </c>
      <c r="F370" s="6">
        <f t="shared" si="71"/>
        <v>328580.06379200012</v>
      </c>
      <c r="G370" s="24"/>
    </row>
    <row r="371" spans="1:7" ht="15" customHeight="1" x14ac:dyDescent="0.35">
      <c r="A371" s="31">
        <v>45875</v>
      </c>
      <c r="B371" s="31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4"/>
    </row>
    <row r="372" spans="1:7" ht="15" customHeight="1" x14ac:dyDescent="0.35">
      <c r="A372" s="31">
        <v>45875</v>
      </c>
      <c r="B372" s="31">
        <v>45877</v>
      </c>
      <c r="C372" s="8" t="s">
        <v>133</v>
      </c>
      <c r="D372" s="13">
        <v>31569.77</v>
      </c>
      <c r="E372" s="7">
        <v>0</v>
      </c>
      <c r="F372" s="6">
        <f t="shared" si="71"/>
        <v>329418.3537920001</v>
      </c>
      <c r="G372" s="24"/>
    </row>
    <row r="373" spans="1:7" ht="15" customHeight="1" x14ac:dyDescent="0.35">
      <c r="A373" s="31">
        <v>45875</v>
      </c>
      <c r="B373" s="31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4"/>
    </row>
    <row r="374" spans="1:7" ht="15" customHeight="1" x14ac:dyDescent="0.35">
      <c r="A374" s="31" t="s">
        <v>6</v>
      </c>
      <c r="B374" s="31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31">
        <v>45876</v>
      </c>
      <c r="B375" s="31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4"/>
    </row>
    <row r="376" spans="1:7" ht="15" customHeight="1" x14ac:dyDescent="0.35">
      <c r="A376" s="31">
        <v>45876</v>
      </c>
      <c r="B376" s="31">
        <v>45882</v>
      </c>
      <c r="C376" s="8" t="s">
        <v>134</v>
      </c>
      <c r="D376" s="13">
        <v>29665.56</v>
      </c>
      <c r="E376" s="7">
        <v>0</v>
      </c>
      <c r="F376" s="6">
        <f t="shared" si="71"/>
        <v>320272.19379200012</v>
      </c>
      <c r="G376" s="24"/>
    </row>
    <row r="377" spans="1:7" ht="15" customHeight="1" x14ac:dyDescent="0.35">
      <c r="A377" s="31">
        <v>45876</v>
      </c>
      <c r="B377" s="31">
        <v>45882</v>
      </c>
      <c r="C377" s="8" t="s">
        <v>134</v>
      </c>
      <c r="D377" s="13">
        <v>0</v>
      </c>
      <c r="E377" s="7">
        <v>30013.37</v>
      </c>
      <c r="F377" s="6">
        <f t="shared" si="71"/>
        <v>350285.56379200012</v>
      </c>
      <c r="G377" s="24"/>
    </row>
    <row r="378" spans="1:7" ht="15" customHeight="1" x14ac:dyDescent="0.35">
      <c r="A378" s="31">
        <v>45876</v>
      </c>
      <c r="B378" s="31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4"/>
    </row>
    <row r="379" spans="1:7" ht="15" customHeight="1" x14ac:dyDescent="0.35">
      <c r="A379" s="31">
        <v>45877</v>
      </c>
      <c r="B379" s="31">
        <v>45883</v>
      </c>
      <c r="C379" s="8" t="s">
        <v>135</v>
      </c>
      <c r="D379" s="13">
        <v>24804.82</v>
      </c>
      <c r="E379" s="7">
        <v>0</v>
      </c>
      <c r="F379" s="6">
        <f t="shared" si="71"/>
        <v>325465.76379200013</v>
      </c>
      <c r="G379" s="24"/>
    </row>
    <row r="380" spans="1:7" ht="15" customHeight="1" x14ac:dyDescent="0.35">
      <c r="A380" s="31">
        <v>45877</v>
      </c>
      <c r="B380" s="31">
        <v>45883</v>
      </c>
      <c r="C380" s="8" t="s">
        <v>136</v>
      </c>
      <c r="D380" s="13">
        <v>80177.19</v>
      </c>
      <c r="E380" s="7">
        <v>0</v>
      </c>
      <c r="F380" s="6">
        <f t="shared" si="71"/>
        <v>245288.57379200013</v>
      </c>
      <c r="G380" s="24"/>
    </row>
    <row r="381" spans="1:7" ht="15" customHeight="1" x14ac:dyDescent="0.35">
      <c r="A381" s="31">
        <v>45877</v>
      </c>
      <c r="B381" s="31">
        <v>45883</v>
      </c>
      <c r="C381" s="8" t="s">
        <v>137</v>
      </c>
      <c r="D381" s="13">
        <v>0</v>
      </c>
      <c r="E381" s="7">
        <v>92794.01</v>
      </c>
      <c r="F381" s="6">
        <f t="shared" si="71"/>
        <v>338082.58379200014</v>
      </c>
      <c r="G381" s="24"/>
    </row>
    <row r="382" spans="1:7" ht="15" customHeight="1" x14ac:dyDescent="0.35">
      <c r="A382" s="31">
        <v>45877</v>
      </c>
      <c r="B382" s="31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4"/>
    </row>
    <row r="383" spans="1:7" ht="15" customHeight="1" x14ac:dyDescent="0.35">
      <c r="A383" s="31">
        <v>45877</v>
      </c>
      <c r="B383" s="31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4"/>
    </row>
    <row r="384" spans="1:7" ht="15" customHeight="1" x14ac:dyDescent="0.35">
      <c r="A384" s="31">
        <v>45882</v>
      </c>
      <c r="B384" s="31">
        <v>45884</v>
      </c>
      <c r="C384" s="8" t="s">
        <v>135</v>
      </c>
      <c r="D384" s="13">
        <v>24554.27</v>
      </c>
      <c r="E384" s="7">
        <v>0</v>
      </c>
      <c r="F384" s="6">
        <f t="shared" si="71"/>
        <v>353624.30379200017</v>
      </c>
      <c r="G384" s="24"/>
    </row>
    <row r="385" spans="1:7" ht="15" customHeight="1" x14ac:dyDescent="0.35">
      <c r="A385" s="31">
        <v>45882</v>
      </c>
      <c r="B385" s="31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4"/>
    </row>
    <row r="386" spans="1:7" ht="15" customHeight="1" x14ac:dyDescent="0.35">
      <c r="A386" s="31" t="s">
        <v>6</v>
      </c>
      <c r="B386" s="31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31">
        <v>45883</v>
      </c>
      <c r="B387" s="31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4"/>
    </row>
    <row r="388" spans="1:7" ht="15" customHeight="1" x14ac:dyDescent="0.35">
      <c r="A388" s="31">
        <v>45883</v>
      </c>
      <c r="B388" s="31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4"/>
    </row>
    <row r="389" spans="1:7" ht="15" customHeight="1" x14ac:dyDescent="0.35">
      <c r="A389" s="31">
        <v>45887</v>
      </c>
      <c r="B389" s="31">
        <v>45889</v>
      </c>
      <c r="C389" s="8" t="s">
        <v>138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4"/>
    </row>
    <row r="390" spans="1:7" ht="15" customHeight="1" x14ac:dyDescent="0.35">
      <c r="A390" s="31">
        <v>45887</v>
      </c>
      <c r="B390" s="31">
        <v>45889</v>
      </c>
      <c r="C390" s="8" t="s">
        <v>139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4"/>
    </row>
    <row r="391" spans="1:7" ht="15" customHeight="1" x14ac:dyDescent="0.35">
      <c r="A391" s="31">
        <v>45887</v>
      </c>
      <c r="B391" s="31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4"/>
    </row>
    <row r="392" spans="1:7" ht="15" customHeight="1" x14ac:dyDescent="0.35">
      <c r="A392" s="31">
        <v>45887</v>
      </c>
      <c r="B392" s="31">
        <v>45889</v>
      </c>
      <c r="C392" s="8" t="s">
        <v>140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4"/>
    </row>
    <row r="393" spans="1:7" ht="15" customHeight="1" x14ac:dyDescent="0.35">
      <c r="A393" s="31">
        <v>45887</v>
      </c>
      <c r="B393" s="31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4"/>
    </row>
    <row r="394" spans="1:7" ht="15" customHeight="1" x14ac:dyDescent="0.35">
      <c r="A394" s="31">
        <v>45889</v>
      </c>
      <c r="B394" s="31">
        <v>45891</v>
      </c>
      <c r="C394" s="8" t="s">
        <v>139</v>
      </c>
      <c r="D394" s="13">
        <v>0</v>
      </c>
      <c r="E394" s="7">
        <v>96984.72</v>
      </c>
      <c r="F394" s="6">
        <f t="shared" si="75"/>
        <v>201807.11379200019</v>
      </c>
      <c r="G394" s="24"/>
    </row>
    <row r="395" spans="1:7" ht="15" customHeight="1" x14ac:dyDescent="0.35">
      <c r="A395" s="31">
        <v>45889</v>
      </c>
      <c r="B395" s="31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4"/>
    </row>
    <row r="396" spans="1:7" ht="15" customHeight="1" x14ac:dyDescent="0.35">
      <c r="A396" s="31">
        <v>45890</v>
      </c>
      <c r="B396" s="31">
        <v>45894</v>
      </c>
      <c r="C396" s="8" t="s">
        <v>139</v>
      </c>
      <c r="D396" s="13">
        <v>96613.52</v>
      </c>
      <c r="E396" s="7">
        <v>0</v>
      </c>
      <c r="F396" s="6">
        <f t="shared" si="76"/>
        <v>105178.61379200018</v>
      </c>
      <c r="G396" s="24"/>
    </row>
    <row r="397" spans="1:7" ht="15" customHeight="1" x14ac:dyDescent="0.35">
      <c r="A397" s="31">
        <v>45890</v>
      </c>
      <c r="B397" s="31">
        <v>45894</v>
      </c>
      <c r="C397" s="8" t="s">
        <v>139</v>
      </c>
      <c r="D397" s="13">
        <v>0</v>
      </c>
      <c r="E397" s="7">
        <v>96984.72</v>
      </c>
      <c r="F397" s="6">
        <f t="shared" si="76"/>
        <v>202163.33379200019</v>
      </c>
      <c r="G397" s="24"/>
    </row>
    <row r="398" spans="1:7" ht="15" customHeight="1" x14ac:dyDescent="0.35">
      <c r="A398" s="31">
        <v>45890</v>
      </c>
      <c r="B398" s="31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4"/>
    </row>
    <row r="399" spans="1:7" ht="15" customHeight="1" x14ac:dyDescent="0.35">
      <c r="A399" s="31">
        <v>45890</v>
      </c>
      <c r="B399" s="31">
        <v>45894</v>
      </c>
      <c r="C399" s="8" t="s">
        <v>139</v>
      </c>
      <c r="D399" s="13">
        <v>120766.9</v>
      </c>
      <c r="E399" s="7">
        <v>0</v>
      </c>
      <c r="F399" s="6">
        <f t="shared" si="77"/>
        <v>81381.453792000189</v>
      </c>
      <c r="G399" s="24"/>
    </row>
    <row r="400" spans="1:7" ht="15" customHeight="1" x14ac:dyDescent="0.35">
      <c r="A400" s="31">
        <v>45890</v>
      </c>
      <c r="B400" s="31">
        <v>45894</v>
      </c>
      <c r="C400" s="8" t="s">
        <v>139</v>
      </c>
      <c r="D400" s="13">
        <v>0</v>
      </c>
      <c r="E400" s="7">
        <v>121230.88</v>
      </c>
      <c r="F400" s="6">
        <f t="shared" si="77"/>
        <v>202612.33379200019</v>
      </c>
      <c r="G400" s="24"/>
    </row>
    <row r="401" spans="1:7" ht="15" customHeight="1" x14ac:dyDescent="0.35">
      <c r="A401" s="31">
        <v>45890</v>
      </c>
      <c r="B401" s="31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4"/>
    </row>
    <row r="402" spans="1:7" ht="15" customHeight="1" x14ac:dyDescent="0.35">
      <c r="A402" s="31">
        <v>45895</v>
      </c>
      <c r="B402" s="31">
        <v>45897</v>
      </c>
      <c r="C402" s="8" t="s">
        <v>139</v>
      </c>
      <c r="D402" s="13">
        <v>120766.9</v>
      </c>
      <c r="E402" s="7">
        <v>0</v>
      </c>
      <c r="F402" s="6">
        <f t="shared" si="78"/>
        <v>81830.453792000189</v>
      </c>
      <c r="G402" s="24"/>
    </row>
    <row r="403" spans="1:7" ht="15" customHeight="1" x14ac:dyDescent="0.35">
      <c r="A403" s="31">
        <v>45895</v>
      </c>
      <c r="B403" s="31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4"/>
    </row>
    <row r="404" spans="1:7" ht="15" customHeight="1" x14ac:dyDescent="0.35">
      <c r="A404" s="31"/>
      <c r="B404" s="31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4"/>
    </row>
    <row r="405" spans="1:7" ht="15" customHeight="1" x14ac:dyDescent="0.35">
      <c r="A405" s="31">
        <v>45896</v>
      </c>
      <c r="B405" s="31">
        <v>45898</v>
      </c>
      <c r="C405" s="8" t="s">
        <v>141</v>
      </c>
      <c r="D405" s="13">
        <v>0</v>
      </c>
      <c r="E405" s="7">
        <v>50288.37</v>
      </c>
      <c r="F405" s="6">
        <f t="shared" si="79"/>
        <v>133453.8437920002</v>
      </c>
      <c r="G405" s="24"/>
    </row>
    <row r="406" spans="1:7" ht="15" customHeight="1" x14ac:dyDescent="0.35">
      <c r="A406" s="31">
        <v>45890</v>
      </c>
      <c r="B406" s="31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4"/>
    </row>
    <row r="407" spans="1:7" ht="15" customHeight="1" x14ac:dyDescent="0.35">
      <c r="A407" s="31">
        <v>45897</v>
      </c>
      <c r="B407" s="31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4"/>
    </row>
    <row r="408" spans="1:7" ht="15" customHeight="1" x14ac:dyDescent="0.35">
      <c r="A408" s="31">
        <v>45897</v>
      </c>
      <c r="B408" s="31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4"/>
    </row>
    <row r="409" spans="1:7" ht="15" customHeight="1" x14ac:dyDescent="0.35">
      <c r="A409" s="31" t="s">
        <v>6</v>
      </c>
      <c r="B409" s="31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4"/>
    </row>
    <row r="410" spans="1:7" ht="15" customHeight="1" x14ac:dyDescent="0.35">
      <c r="A410" s="31">
        <v>45901</v>
      </c>
      <c r="B410" s="31">
        <v>45903</v>
      </c>
      <c r="C410" s="8" t="s">
        <v>142</v>
      </c>
      <c r="D410" s="13">
        <v>77671.66</v>
      </c>
      <c r="E410" s="7">
        <v>0</v>
      </c>
      <c r="F410" s="6">
        <f t="shared" si="79"/>
        <v>44505.723792000193</v>
      </c>
      <c r="G410" s="24"/>
    </row>
    <row r="411" spans="1:7" ht="15" customHeight="1" x14ac:dyDescent="0.35">
      <c r="A411" s="31">
        <v>45901</v>
      </c>
      <c r="B411" s="31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4"/>
    </row>
    <row r="412" spans="1:7" ht="15" customHeight="1" x14ac:dyDescent="0.35">
      <c r="A412" s="31"/>
      <c r="B412" s="31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4"/>
    </row>
    <row r="413" spans="1:7" ht="15" customHeight="1" x14ac:dyDescent="0.35">
      <c r="A413" s="31"/>
      <c r="B413" s="31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4"/>
    </row>
    <row r="414" spans="1:7" ht="15" customHeight="1" x14ac:dyDescent="0.35">
      <c r="A414" s="16" t="s">
        <v>6</v>
      </c>
      <c r="B414" s="31">
        <v>45903</v>
      </c>
      <c r="C414" s="8" t="s">
        <v>144</v>
      </c>
      <c r="D414" s="13">
        <v>19000</v>
      </c>
      <c r="E414" s="25">
        <v>0</v>
      </c>
      <c r="F414" s="6">
        <f t="shared" si="81"/>
        <v>42182.143792000192</v>
      </c>
      <c r="G414" s="24"/>
    </row>
    <row r="415" spans="1:7" ht="15" customHeight="1" x14ac:dyDescent="0.35">
      <c r="A415" s="16"/>
      <c r="B415" s="31">
        <v>45903</v>
      </c>
      <c r="C415" s="8" t="s">
        <v>78</v>
      </c>
      <c r="D415" s="13">
        <v>0</v>
      </c>
      <c r="E415" s="25">
        <v>0.51</v>
      </c>
      <c r="F415" s="6">
        <f t="shared" ref="F415:F430" si="82">F414-D415+E415</f>
        <v>42182.653792000194</v>
      </c>
      <c r="G415" s="24"/>
    </row>
    <row r="416" spans="1:7" ht="15" customHeight="1" x14ac:dyDescent="0.35">
      <c r="B416" s="32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32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32">
        <v>45905</v>
      </c>
      <c r="C418" s="3" t="s">
        <v>128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32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32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32">
        <v>45905</v>
      </c>
      <c r="C421" s="3" t="s">
        <v>143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31">
        <v>45903</v>
      </c>
      <c r="B422" s="31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4"/>
    </row>
    <row r="423" spans="1:7" ht="15" customHeight="1" x14ac:dyDescent="0.35">
      <c r="A423" s="31">
        <v>45903</v>
      </c>
      <c r="B423" s="31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4"/>
    </row>
    <row r="424" spans="1:7" ht="15" customHeight="1" x14ac:dyDescent="0.35">
      <c r="B424" s="32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32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32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32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31">
        <v>45908</v>
      </c>
      <c r="B428" s="31">
        <v>45910</v>
      </c>
      <c r="C428" s="8" t="s">
        <v>139</v>
      </c>
      <c r="D428" s="13">
        <v>0</v>
      </c>
      <c r="E428" s="7">
        <v>116740.86</v>
      </c>
      <c r="F428" s="6">
        <f t="shared" si="82"/>
        <v>259715.36379200022</v>
      </c>
      <c r="G428" s="24"/>
    </row>
    <row r="429" spans="1:7" ht="15" customHeight="1" x14ac:dyDescent="0.35">
      <c r="A429" s="31">
        <v>45908</v>
      </c>
      <c r="B429" s="31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4"/>
    </row>
    <row r="430" spans="1:7" ht="15" customHeight="1" x14ac:dyDescent="0.35">
      <c r="A430" s="31">
        <v>45908</v>
      </c>
      <c r="B430" s="31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4"/>
    </row>
    <row r="431" spans="1:7" ht="15" customHeight="1" x14ac:dyDescent="0.35">
      <c r="A431" s="16"/>
      <c r="B431" s="31">
        <v>45910</v>
      </c>
      <c r="C431" s="8" t="s">
        <v>78</v>
      </c>
      <c r="D431" s="13">
        <v>0</v>
      </c>
      <c r="E431" s="25">
        <v>0.59</v>
      </c>
      <c r="F431" s="6">
        <f t="shared" ref="F431:F439" si="83">F430-D431+E431</f>
        <v>286840.49379200028</v>
      </c>
      <c r="G431" s="24"/>
    </row>
    <row r="432" spans="1:7" ht="15" customHeight="1" x14ac:dyDescent="0.35">
      <c r="B432" s="32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32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32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32">
        <v>45911</v>
      </c>
      <c r="C435" s="3" t="s">
        <v>145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32">
        <v>45911</v>
      </c>
      <c r="C436" s="3" t="s">
        <v>146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31">
        <v>45909</v>
      </c>
      <c r="B437" s="31">
        <v>45911</v>
      </c>
      <c r="C437" s="8" t="s">
        <v>139</v>
      </c>
      <c r="D437" s="13">
        <v>116256.93</v>
      </c>
      <c r="E437" s="7">
        <v>0</v>
      </c>
      <c r="F437" s="6">
        <f t="shared" si="83"/>
        <v>197526.66379200033</v>
      </c>
      <c r="G437" s="24"/>
    </row>
    <row r="438" spans="1:7" ht="15" customHeight="1" x14ac:dyDescent="0.35">
      <c r="A438" s="31">
        <v>45909</v>
      </c>
      <c r="B438" s="31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4"/>
    </row>
    <row r="439" spans="1:7" ht="15" customHeight="1" x14ac:dyDescent="0.35">
      <c r="A439" s="16"/>
      <c r="B439" s="31">
        <v>45911</v>
      </c>
      <c r="C439" s="8" t="s">
        <v>147</v>
      </c>
      <c r="D439" s="13">
        <v>1440</v>
      </c>
      <c r="E439" s="25">
        <v>0</v>
      </c>
      <c r="F439" s="6">
        <f t="shared" si="83"/>
        <v>196071.68379200032</v>
      </c>
      <c r="G439" s="24"/>
    </row>
    <row r="440" spans="1:7" ht="15" customHeight="1" x14ac:dyDescent="0.35">
      <c r="B440" s="32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32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32">
        <v>45912</v>
      </c>
      <c r="C442" s="3" t="s">
        <v>148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32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31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32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32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31">
        <v>45911</v>
      </c>
      <c r="B447" s="31">
        <v>45915</v>
      </c>
      <c r="C447" s="8" t="s">
        <v>139</v>
      </c>
      <c r="D447" s="13">
        <v>0</v>
      </c>
      <c r="E447" s="7">
        <v>116740.86</v>
      </c>
      <c r="F447" s="6">
        <f t="shared" si="86"/>
        <v>327282.24379200034</v>
      </c>
      <c r="G447" s="24"/>
    </row>
    <row r="448" spans="1:7" ht="15" customHeight="1" x14ac:dyDescent="0.35">
      <c r="A448" s="31">
        <v>45911</v>
      </c>
      <c r="B448" s="31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4"/>
    </row>
    <row r="449" spans="1:7" ht="15" customHeight="1" x14ac:dyDescent="0.35">
      <c r="A449" s="31" t="s">
        <v>6</v>
      </c>
      <c r="B449" s="31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31">
        <v>45915</v>
      </c>
      <c r="B450" s="31">
        <v>45917</v>
      </c>
      <c r="C450" s="8" t="s">
        <v>139</v>
      </c>
      <c r="D450" s="13">
        <v>0</v>
      </c>
      <c r="E450" s="7">
        <v>102771.87</v>
      </c>
      <c r="F450" s="6">
        <f t="shared" si="86"/>
        <v>429607.13379200036</v>
      </c>
      <c r="G450" s="24"/>
    </row>
    <row r="451" spans="1:7" ht="15" customHeight="1" x14ac:dyDescent="0.35">
      <c r="A451" s="31">
        <v>45915</v>
      </c>
      <c r="B451" s="31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4"/>
    </row>
    <row r="452" spans="1:7" ht="15" customHeight="1" x14ac:dyDescent="0.35">
      <c r="A452" s="31">
        <v>45915</v>
      </c>
      <c r="B452" s="31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4"/>
    </row>
    <row r="453" spans="1:7" ht="15" customHeight="1" x14ac:dyDescent="0.35">
      <c r="A453" s="31">
        <v>45916</v>
      </c>
      <c r="B453" s="31">
        <v>45918</v>
      </c>
      <c r="C453" s="8" t="s">
        <v>139</v>
      </c>
      <c r="D453" s="13">
        <v>117760.26</v>
      </c>
      <c r="E453" s="7">
        <v>0</v>
      </c>
      <c r="F453" s="6">
        <f t="shared" si="86"/>
        <v>360224.46379200037</v>
      </c>
      <c r="G453" s="24"/>
    </row>
    <row r="454" spans="1:7" ht="15" customHeight="1" x14ac:dyDescent="0.35">
      <c r="A454" s="31">
        <v>45916</v>
      </c>
      <c r="B454" s="31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4"/>
    </row>
    <row r="455" spans="1:7" ht="15" customHeight="1" x14ac:dyDescent="0.35">
      <c r="A455" s="31">
        <v>45917</v>
      </c>
      <c r="B455" s="31">
        <v>45919</v>
      </c>
      <c r="C455" s="8" t="s">
        <v>139</v>
      </c>
      <c r="D455" s="13">
        <v>116758.04</v>
      </c>
      <c r="E455" s="7">
        <v>0</v>
      </c>
      <c r="F455" s="6">
        <f t="shared" si="86"/>
        <v>243451.44379200041</v>
      </c>
      <c r="G455" s="24"/>
    </row>
    <row r="456" spans="1:7" ht="15" customHeight="1" x14ac:dyDescent="0.35">
      <c r="A456" s="31">
        <v>45917</v>
      </c>
      <c r="B456" s="31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4"/>
    </row>
    <row r="457" spans="1:7" ht="15" customHeight="1" x14ac:dyDescent="0.35">
      <c r="A457" s="31">
        <v>45919</v>
      </c>
      <c r="B457" s="31">
        <v>45923</v>
      </c>
      <c r="C457" s="8" t="s">
        <v>142</v>
      </c>
      <c r="D457" s="13">
        <v>82682.73</v>
      </c>
      <c r="E457" s="7">
        <v>0</v>
      </c>
      <c r="F457" s="6">
        <f t="shared" si="86"/>
        <v>160753.73379200039</v>
      </c>
      <c r="G457" s="24"/>
    </row>
    <row r="458" spans="1:7" ht="15" customHeight="1" x14ac:dyDescent="0.35">
      <c r="A458" s="31">
        <v>45919</v>
      </c>
      <c r="B458" s="31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4"/>
    </row>
    <row r="459" spans="1:7" ht="15" customHeight="1" x14ac:dyDescent="0.35">
      <c r="A459" s="31" t="s">
        <v>6</v>
      </c>
      <c r="B459" s="31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4"/>
    </row>
    <row r="460" spans="1:7" ht="15" customHeight="1" x14ac:dyDescent="0.35">
      <c r="A460" s="31">
        <v>45931</v>
      </c>
      <c r="B460" s="31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4"/>
    </row>
    <row r="461" spans="1:7" ht="15" customHeight="1" x14ac:dyDescent="0.35">
      <c r="A461" s="31">
        <v>45931</v>
      </c>
      <c r="B461" s="31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4"/>
    </row>
    <row r="462" spans="1:7" ht="15" customHeight="1" x14ac:dyDescent="0.35">
      <c r="A462" s="31"/>
      <c r="B462" s="31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4"/>
    </row>
    <row r="463" spans="1:7" ht="15" customHeight="1" x14ac:dyDescent="0.35">
      <c r="A463" s="31">
        <v>45936</v>
      </c>
      <c r="B463" s="31">
        <v>45938</v>
      </c>
      <c r="C463" s="8" t="s">
        <v>138</v>
      </c>
      <c r="D463" s="13">
        <v>78172.759999999995</v>
      </c>
      <c r="E463" s="7">
        <v>0</v>
      </c>
      <c r="F463" s="6">
        <f t="shared" si="86"/>
        <v>51076.963792000388</v>
      </c>
      <c r="G463" s="24"/>
    </row>
    <row r="464" spans="1:7" ht="15" customHeight="1" x14ac:dyDescent="0.35">
      <c r="A464" s="31">
        <v>45936</v>
      </c>
      <c r="B464" s="31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4"/>
    </row>
    <row r="465" spans="1:7" ht="15" customHeight="1" x14ac:dyDescent="0.35">
      <c r="A465" s="31">
        <v>45937</v>
      </c>
      <c r="B465" s="31">
        <v>45939</v>
      </c>
      <c r="C465" s="8" t="s">
        <v>137</v>
      </c>
      <c r="D465" s="13">
        <v>0</v>
      </c>
      <c r="E465" s="7">
        <v>79323.91</v>
      </c>
      <c r="F465" s="6">
        <f t="shared" si="86"/>
        <v>130385.8937920004</v>
      </c>
      <c r="G465" s="24"/>
    </row>
    <row r="466" spans="1:7" ht="15" customHeight="1" x14ac:dyDescent="0.35">
      <c r="A466" s="31">
        <v>45937</v>
      </c>
      <c r="B466" s="31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4"/>
    </row>
    <row r="467" spans="1:7" ht="15" customHeight="1" x14ac:dyDescent="0.35">
      <c r="B467" s="31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31">
        <v>45944</v>
      </c>
      <c r="B468" s="31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4"/>
    </row>
    <row r="469" spans="1:7" ht="15" customHeight="1" x14ac:dyDescent="0.35">
      <c r="A469" s="31">
        <v>45944</v>
      </c>
      <c r="B469" s="31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4"/>
    </row>
    <row r="470" spans="1:7" ht="15" customHeight="1" x14ac:dyDescent="0.35">
      <c r="B470" s="32">
        <v>45947</v>
      </c>
      <c r="C470" s="3" t="s">
        <v>149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31" t="s">
        <v>6</v>
      </c>
      <c r="B471" s="31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31">
        <v>45946</v>
      </c>
      <c r="B472" s="31">
        <v>45950</v>
      </c>
      <c r="C472" s="8" t="s">
        <v>142</v>
      </c>
      <c r="D472" s="13">
        <v>77671.66</v>
      </c>
      <c r="E472" s="7">
        <v>0</v>
      </c>
      <c r="F472" s="6">
        <f t="shared" si="87"/>
        <v>27439.053792000399</v>
      </c>
      <c r="G472" s="24"/>
    </row>
    <row r="473" spans="1:7" ht="15" customHeight="1" x14ac:dyDescent="0.35">
      <c r="A473" s="31">
        <v>45946</v>
      </c>
      <c r="B473" s="31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4"/>
    </row>
    <row r="474" spans="1:7" ht="15" customHeight="1" x14ac:dyDescent="0.35">
      <c r="A474" s="31">
        <v>45953</v>
      </c>
      <c r="B474" s="31">
        <v>45955</v>
      </c>
      <c r="C474" s="8" t="s">
        <v>142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4"/>
    </row>
    <row r="475" spans="1:7" ht="15" customHeight="1" x14ac:dyDescent="0.35">
      <c r="A475" s="31"/>
      <c r="B475" s="31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4"/>
    </row>
    <row r="476" spans="1:7" ht="15" customHeight="1" x14ac:dyDescent="0.35">
      <c r="A476" s="16" t="s">
        <v>6</v>
      </c>
      <c r="B476" s="31">
        <v>45966</v>
      </c>
      <c r="C476" s="8" t="s">
        <v>115</v>
      </c>
      <c r="D476" s="13">
        <v>30000</v>
      </c>
      <c r="E476" s="25">
        <v>0</v>
      </c>
      <c r="F476" s="6">
        <f t="shared" si="88"/>
        <v>73969.353792000402</v>
      </c>
      <c r="G476" s="24"/>
    </row>
    <row r="477" spans="1:7" ht="15" customHeight="1" x14ac:dyDescent="0.35">
      <c r="A477" s="16" t="s">
        <v>6</v>
      </c>
      <c r="B477" s="31">
        <v>45967</v>
      </c>
      <c r="C477" s="8" t="s">
        <v>24</v>
      </c>
      <c r="D477" s="13">
        <v>1000</v>
      </c>
      <c r="E477" s="25">
        <v>0</v>
      </c>
      <c r="F477" s="6">
        <f t="shared" ref="F477:F481" si="89">F476-D477+E477</f>
        <v>72969.353792000402</v>
      </c>
      <c r="G477" s="24"/>
    </row>
    <row r="478" spans="1:7" ht="15" customHeight="1" x14ac:dyDescent="0.35">
      <c r="B478" s="31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31" t="s">
        <v>6</v>
      </c>
      <c r="B479" s="31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31"/>
      <c r="B480" s="31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4"/>
    </row>
    <row r="481" spans="1:7" ht="15" customHeight="1" x14ac:dyDescent="0.35">
      <c r="A481" s="16" t="s">
        <v>6</v>
      </c>
      <c r="B481" s="31">
        <v>46016</v>
      </c>
      <c r="C481" s="8" t="s">
        <v>73</v>
      </c>
      <c r="D481" s="13">
        <v>41100</v>
      </c>
      <c r="E481" s="25">
        <v>0</v>
      </c>
      <c r="F481" s="6">
        <f t="shared" si="89"/>
        <v>31195.7737920004</v>
      </c>
      <c r="G481" s="24"/>
    </row>
    <row r="482" spans="1:7" ht="15" customHeight="1" x14ac:dyDescent="0.35">
      <c r="A482" s="16" t="s">
        <v>6</v>
      </c>
      <c r="B482" s="31">
        <v>46016</v>
      </c>
      <c r="C482" s="8" t="s">
        <v>73</v>
      </c>
      <c r="D482" s="13">
        <v>2000</v>
      </c>
      <c r="E482" s="25">
        <v>0</v>
      </c>
      <c r="F482" s="6">
        <f t="shared" ref="F482:F483" si="90">F481-D482+E482</f>
        <v>29195.7737920004</v>
      </c>
      <c r="G482" s="24"/>
    </row>
    <row r="483" spans="1:7" ht="15" customHeight="1" x14ac:dyDescent="0.35">
      <c r="B483" s="32">
        <v>45995</v>
      </c>
      <c r="C483" s="3" t="s">
        <v>53</v>
      </c>
      <c r="D483" s="5">
        <v>0</v>
      </c>
      <c r="E483" s="5">
        <v>12825</v>
      </c>
      <c r="F483" s="6">
        <f t="shared" si="90"/>
        <v>42020.7737920004</v>
      </c>
    </row>
    <row r="484" spans="1:7" ht="15" customHeight="1" x14ac:dyDescent="0.35">
      <c r="B484" s="32">
        <v>45995</v>
      </c>
      <c r="C484" s="3" t="s">
        <v>37</v>
      </c>
      <c r="D484" s="5">
        <v>0</v>
      </c>
      <c r="E484" s="5">
        <v>3228.75</v>
      </c>
      <c r="F484" s="6">
        <f t="shared" ref="F484" si="91">F483-D484+E484</f>
        <v>45249.5237920004</v>
      </c>
    </row>
    <row r="485" spans="1:7" ht="15" customHeight="1" x14ac:dyDescent="0.35">
      <c r="B485" s="32">
        <v>45999</v>
      </c>
      <c r="C485" s="3" t="s">
        <v>28</v>
      </c>
      <c r="D485" s="5">
        <v>0</v>
      </c>
      <c r="E485" s="5">
        <v>8999.1</v>
      </c>
      <c r="F485" s="6">
        <f t="shared" ref="F485" si="92">F484-D485+E485</f>
        <v>54248.623792000399</v>
      </c>
    </row>
    <row r="486" spans="1:7" ht="15" customHeight="1" x14ac:dyDescent="0.35">
      <c r="B486" s="32">
        <v>46002</v>
      </c>
      <c r="C486" s="3" t="s">
        <v>35</v>
      </c>
      <c r="D486" s="5">
        <v>0</v>
      </c>
      <c r="E486" s="5">
        <v>3474</v>
      </c>
      <c r="F486" s="6">
        <f t="shared" ref="F486" si="93">F485-D486+E486</f>
        <v>57722.623792000399</v>
      </c>
    </row>
    <row r="487" spans="1:7" ht="15" customHeight="1" x14ac:dyDescent="0.35">
      <c r="B487" s="32">
        <v>46002</v>
      </c>
      <c r="C487" s="3" t="s">
        <v>79</v>
      </c>
      <c r="D487" s="5">
        <v>0</v>
      </c>
      <c r="E487" s="5">
        <v>795.6</v>
      </c>
      <c r="F487" s="6">
        <f t="shared" ref="F487:F490" si="94">F486-D487+E487</f>
        <v>58518.223792000397</v>
      </c>
    </row>
    <row r="488" spans="1:7" ht="15" customHeight="1" x14ac:dyDescent="0.35">
      <c r="B488" s="32">
        <v>46002</v>
      </c>
      <c r="C488" s="3" t="s">
        <v>56</v>
      </c>
      <c r="D488" s="5">
        <v>0</v>
      </c>
      <c r="E488" s="5">
        <v>1134</v>
      </c>
      <c r="F488" s="6">
        <f t="shared" si="94"/>
        <v>59652.223792000397</v>
      </c>
    </row>
    <row r="489" spans="1:7" ht="15" customHeight="1" x14ac:dyDescent="0.35">
      <c r="B489" s="32">
        <v>46002</v>
      </c>
      <c r="C489" s="3" t="s">
        <v>35</v>
      </c>
      <c r="D489" s="5">
        <v>0</v>
      </c>
      <c r="E489" s="5">
        <v>3474</v>
      </c>
      <c r="F489" s="6">
        <f t="shared" si="94"/>
        <v>63126.223792000397</v>
      </c>
    </row>
    <row r="490" spans="1:7" ht="15" customHeight="1" x14ac:dyDescent="0.35">
      <c r="B490" s="32">
        <v>46002</v>
      </c>
      <c r="C490" s="3" t="s">
        <v>31</v>
      </c>
      <c r="D490" s="5">
        <v>0</v>
      </c>
      <c r="E490" s="5">
        <v>16266.1</v>
      </c>
      <c r="F490" s="6">
        <f t="shared" si="94"/>
        <v>79392.323792000403</v>
      </c>
    </row>
    <row r="491" spans="1:7" ht="15" customHeight="1" x14ac:dyDescent="0.35">
      <c r="B491" s="32">
        <v>46002</v>
      </c>
      <c r="C491" s="3" t="s">
        <v>31</v>
      </c>
      <c r="D491" s="5">
        <v>0</v>
      </c>
      <c r="E491" s="5">
        <v>4913.01</v>
      </c>
      <c r="F491" s="6">
        <f t="shared" ref="F491" si="95">F490-D491+E491</f>
        <v>84305.333792000398</v>
      </c>
    </row>
    <row r="492" spans="1:7" ht="15" customHeight="1" x14ac:dyDescent="0.35">
      <c r="B492" s="32">
        <v>46002</v>
      </c>
      <c r="C492" s="3" t="s">
        <v>32</v>
      </c>
      <c r="D492" s="5">
        <v>6434.16</v>
      </c>
      <c r="E492" s="5">
        <v>0</v>
      </c>
      <c r="F492" s="6">
        <f t="shared" ref="F492:F498" si="96">F491-D492+E492</f>
        <v>77871.173792000394</v>
      </c>
    </row>
    <row r="493" spans="1:7" ht="15" customHeight="1" x14ac:dyDescent="0.35">
      <c r="B493" s="32">
        <v>46006</v>
      </c>
      <c r="C493" s="3" t="s">
        <v>57</v>
      </c>
      <c r="D493" s="5">
        <v>0</v>
      </c>
      <c r="E493" s="5">
        <v>945</v>
      </c>
      <c r="F493" s="6">
        <f t="shared" si="96"/>
        <v>78816.173792000394</v>
      </c>
    </row>
    <row r="494" spans="1:7" ht="15" customHeight="1" x14ac:dyDescent="0.35">
      <c r="B494" s="31">
        <v>46004</v>
      </c>
      <c r="C494" s="4" t="s">
        <v>16</v>
      </c>
      <c r="D494" s="5">
        <v>20</v>
      </c>
      <c r="E494" s="5">
        <v>0</v>
      </c>
      <c r="F494" s="6">
        <f t="shared" si="96"/>
        <v>78796.173792000394</v>
      </c>
    </row>
    <row r="495" spans="1:7" ht="15" customHeight="1" x14ac:dyDescent="0.35">
      <c r="A495" s="31" t="s">
        <v>6</v>
      </c>
      <c r="B495" s="31">
        <v>46006</v>
      </c>
      <c r="C495" s="4" t="s">
        <v>18</v>
      </c>
      <c r="D495" s="5">
        <v>432</v>
      </c>
      <c r="E495" s="5">
        <v>0</v>
      </c>
      <c r="F495" s="6">
        <f t="shared" si="96"/>
        <v>78364.173792000394</v>
      </c>
    </row>
    <row r="496" spans="1:7" ht="15" customHeight="1" x14ac:dyDescent="0.35">
      <c r="B496" s="32">
        <v>46013</v>
      </c>
      <c r="C496" s="3" t="s">
        <v>38</v>
      </c>
      <c r="D496" s="5">
        <v>0</v>
      </c>
      <c r="E496" s="5">
        <v>5962.5</v>
      </c>
      <c r="F496" s="6">
        <f t="shared" si="96"/>
        <v>84326.673792000394</v>
      </c>
    </row>
    <row r="497" spans="1:7" ht="15" customHeight="1" x14ac:dyDescent="0.35">
      <c r="B497" s="32">
        <v>46013</v>
      </c>
      <c r="C497" s="3" t="s">
        <v>33</v>
      </c>
      <c r="D497" s="5">
        <v>0</v>
      </c>
      <c r="E497" s="5">
        <v>18525.240000000002</v>
      </c>
      <c r="F497" s="6">
        <f t="shared" si="96"/>
        <v>102851.9137920004</v>
      </c>
    </row>
    <row r="498" spans="1:7" ht="15" customHeight="1" x14ac:dyDescent="0.35">
      <c r="B498" s="32">
        <v>46013</v>
      </c>
      <c r="C498" s="3" t="s">
        <v>21</v>
      </c>
      <c r="D498" s="5">
        <v>3705.05</v>
      </c>
      <c r="E498" s="5">
        <v>0</v>
      </c>
      <c r="F498" s="6">
        <f t="shared" si="96"/>
        <v>99146.863792000397</v>
      </c>
    </row>
    <row r="499" spans="1:7" ht="15" customHeight="1" x14ac:dyDescent="0.35">
      <c r="B499" s="32">
        <v>46380</v>
      </c>
      <c r="C499" s="3" t="s">
        <v>30</v>
      </c>
      <c r="D499" s="5">
        <v>0</v>
      </c>
      <c r="E499" s="5">
        <v>11333.25</v>
      </c>
      <c r="F499" s="6">
        <f t="shared" ref="F499:F501" si="97">F498-D499+E499</f>
        <v>110480.1137920004</v>
      </c>
    </row>
    <row r="500" spans="1:7" ht="15" customHeight="1" x14ac:dyDescent="0.35">
      <c r="B500" s="32">
        <v>46381</v>
      </c>
      <c r="C500" s="3" t="s">
        <v>34</v>
      </c>
      <c r="D500" s="5">
        <v>0</v>
      </c>
      <c r="E500" s="5">
        <v>2280</v>
      </c>
      <c r="F500" s="6">
        <f t="shared" si="97"/>
        <v>112760.1137920004</v>
      </c>
    </row>
    <row r="501" spans="1:7" ht="15" customHeight="1" x14ac:dyDescent="0.35">
      <c r="A501" s="31"/>
      <c r="B501" s="31">
        <v>46023</v>
      </c>
      <c r="C501" s="4" t="s">
        <v>7</v>
      </c>
      <c r="D501" s="5">
        <v>1516.74</v>
      </c>
      <c r="E501" s="5">
        <v>0</v>
      </c>
      <c r="F501" s="6">
        <f t="shared" si="97"/>
        <v>111243.37379200039</v>
      </c>
      <c r="G501" s="24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6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7" x14ac:dyDescent="0.6">
      <c r="A2" s="26">
        <v>45839</v>
      </c>
      <c r="B2" s="9" t="s">
        <v>89</v>
      </c>
      <c r="C2" s="11">
        <v>0</v>
      </c>
      <c r="D2" s="11">
        <v>0</v>
      </c>
      <c r="E2" s="11">
        <v>26953.45</v>
      </c>
      <c r="F2" s="9"/>
      <c r="G2" s="27"/>
    </row>
    <row r="3" spans="1:7" x14ac:dyDescent="0.6">
      <c r="A3" s="26">
        <v>45848</v>
      </c>
      <c r="B3" s="9" t="s">
        <v>90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7"/>
    </row>
    <row r="4" spans="1:7" x14ac:dyDescent="0.6">
      <c r="A4" s="26">
        <v>45848</v>
      </c>
      <c r="B4" s="9" t="s">
        <v>90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7"/>
    </row>
    <row r="5" spans="1:7" x14ac:dyDescent="0.6">
      <c r="A5" s="26">
        <v>45849</v>
      </c>
      <c r="B5" s="9" t="s">
        <v>91</v>
      </c>
      <c r="C5" s="11">
        <v>0</v>
      </c>
      <c r="D5" s="11">
        <v>1300</v>
      </c>
      <c r="E5" s="11">
        <f t="shared" si="0"/>
        <v>17907.510000000002</v>
      </c>
      <c r="F5" s="9" t="s">
        <v>94</v>
      </c>
    </row>
    <row r="6" spans="1:7" x14ac:dyDescent="0.6">
      <c r="A6" s="26">
        <v>45851</v>
      </c>
      <c r="B6" s="9" t="s">
        <v>114</v>
      </c>
      <c r="C6" s="11">
        <v>60</v>
      </c>
      <c r="D6" s="11">
        <v>0</v>
      </c>
      <c r="E6" s="11">
        <f t="shared" si="0"/>
        <v>17847.510000000002</v>
      </c>
      <c r="F6" s="9" t="s">
        <v>94</v>
      </c>
      <c r="G6" s="27"/>
    </row>
    <row r="7" spans="1:7" x14ac:dyDescent="0.6">
      <c r="A7" s="26">
        <v>45859</v>
      </c>
      <c r="B7" s="9" t="s">
        <v>95</v>
      </c>
      <c r="C7" s="11">
        <v>837.93</v>
      </c>
      <c r="D7" s="11">
        <v>0</v>
      </c>
      <c r="E7" s="11">
        <f t="shared" si="0"/>
        <v>17009.580000000002</v>
      </c>
      <c r="F7" s="9" t="s">
        <v>94</v>
      </c>
      <c r="G7" s="27"/>
    </row>
    <row r="8" spans="1:7" x14ac:dyDescent="0.6">
      <c r="A8" s="26">
        <v>45869</v>
      </c>
      <c r="B8" s="9" t="s">
        <v>96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94</v>
      </c>
    </row>
    <row r="9" spans="1:7" x14ac:dyDescent="0.6">
      <c r="A9" s="26">
        <v>45869</v>
      </c>
      <c r="B9" s="9" t="s">
        <v>91</v>
      </c>
      <c r="C9" s="11">
        <v>0</v>
      </c>
      <c r="D9" s="11">
        <v>38000</v>
      </c>
      <c r="E9" s="11">
        <f t="shared" si="1"/>
        <v>50009.58</v>
      </c>
      <c r="F9" s="9" t="s">
        <v>94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6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7" x14ac:dyDescent="0.6">
      <c r="A2" s="26">
        <v>45778</v>
      </c>
      <c r="B2" s="9" t="s">
        <v>89</v>
      </c>
      <c r="C2" s="11">
        <v>0</v>
      </c>
      <c r="D2" s="11">
        <v>0</v>
      </c>
      <c r="E2" s="11">
        <v>51362.280000000006</v>
      </c>
      <c r="F2" s="9"/>
      <c r="G2" s="27"/>
    </row>
    <row r="3" spans="1:7" x14ac:dyDescent="0.6">
      <c r="A3" s="26">
        <v>45787</v>
      </c>
      <c r="B3" s="9" t="s">
        <v>90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7"/>
    </row>
    <row r="4" spans="1:7" x14ac:dyDescent="0.6">
      <c r="A4" s="26">
        <v>45787</v>
      </c>
      <c r="B4" s="9" t="s">
        <v>90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7"/>
    </row>
    <row r="5" spans="1:7" x14ac:dyDescent="0.6">
      <c r="A5" s="26">
        <v>45789</v>
      </c>
      <c r="B5" s="9" t="s">
        <v>95</v>
      </c>
      <c r="C5" s="11">
        <v>192</v>
      </c>
      <c r="D5" s="11">
        <v>0</v>
      </c>
      <c r="E5" s="11">
        <f t="shared" si="0"/>
        <v>39936.310000000005</v>
      </c>
      <c r="F5" s="9" t="s">
        <v>94</v>
      </c>
      <c r="G5" s="27"/>
    </row>
    <row r="6" spans="1:7" x14ac:dyDescent="0.6">
      <c r="A6" s="26">
        <v>45795</v>
      </c>
      <c r="B6" s="9" t="s">
        <v>114</v>
      </c>
      <c r="C6" s="11">
        <v>60</v>
      </c>
      <c r="D6" s="11">
        <v>0</v>
      </c>
      <c r="E6" s="11">
        <f t="shared" si="0"/>
        <v>39876.310000000005</v>
      </c>
      <c r="F6" s="9" t="s">
        <v>94</v>
      </c>
      <c r="G6" s="27"/>
    </row>
    <row r="7" spans="1:7" x14ac:dyDescent="0.6">
      <c r="A7" s="26">
        <v>45793</v>
      </c>
      <c r="B7" s="9" t="s">
        <v>91</v>
      </c>
      <c r="C7" s="11">
        <v>0</v>
      </c>
      <c r="D7" s="11">
        <v>1300</v>
      </c>
      <c r="E7" s="11">
        <f t="shared" si="0"/>
        <v>41176.310000000005</v>
      </c>
      <c r="F7" s="9" t="s">
        <v>94</v>
      </c>
    </row>
    <row r="8" spans="1:7" x14ac:dyDescent="0.6">
      <c r="A8" s="26">
        <v>45800</v>
      </c>
      <c r="B8" s="9" t="s">
        <v>95</v>
      </c>
      <c r="C8" s="11">
        <v>837.93</v>
      </c>
      <c r="D8" s="11">
        <v>0</v>
      </c>
      <c r="E8" s="11">
        <f t="shared" si="0"/>
        <v>40338.380000000005</v>
      </c>
      <c r="F8" s="9" t="s">
        <v>94</v>
      </c>
      <c r="G8" s="27"/>
    </row>
    <row r="9" spans="1:7" x14ac:dyDescent="0.6">
      <c r="A9" s="26">
        <v>45800</v>
      </c>
      <c r="B9" s="9" t="s">
        <v>114</v>
      </c>
      <c r="C9" s="11">
        <v>70</v>
      </c>
      <c r="D9" s="11">
        <v>0</v>
      </c>
      <c r="E9" s="11">
        <f t="shared" si="0"/>
        <v>40268.380000000005</v>
      </c>
      <c r="F9" s="9" t="s">
        <v>94</v>
      </c>
      <c r="G9" s="27"/>
    </row>
    <row r="10" spans="1:7" x14ac:dyDescent="0.6">
      <c r="A10" s="26">
        <v>45800</v>
      </c>
      <c r="B10" s="9" t="s">
        <v>114</v>
      </c>
      <c r="C10" s="11">
        <v>1000</v>
      </c>
      <c r="D10" s="11">
        <v>0</v>
      </c>
      <c r="E10" s="11">
        <f t="shared" si="0"/>
        <v>39268.380000000005</v>
      </c>
      <c r="F10" s="9" t="s">
        <v>94</v>
      </c>
      <c r="G10" s="27"/>
    </row>
    <row r="11" spans="1:7" x14ac:dyDescent="0.6">
      <c r="A11" s="26">
        <v>45802</v>
      </c>
      <c r="B11" s="9" t="s">
        <v>114</v>
      </c>
      <c r="C11" s="11">
        <v>245</v>
      </c>
      <c r="D11" s="11">
        <v>0</v>
      </c>
      <c r="E11" s="11">
        <f t="shared" si="0"/>
        <v>39023.380000000005</v>
      </c>
      <c r="F11" s="9" t="s">
        <v>94</v>
      </c>
      <c r="G11" s="27"/>
    </row>
    <row r="12" spans="1:7" x14ac:dyDescent="0.6">
      <c r="A12" s="26">
        <v>45807</v>
      </c>
      <c r="B12" s="9" t="s">
        <v>96</v>
      </c>
      <c r="C12" s="11">
        <v>5000</v>
      </c>
      <c r="D12" s="11">
        <v>0</v>
      </c>
      <c r="E12" s="12">
        <f>SUM(E1:E11)</f>
        <v>421825.39</v>
      </c>
      <c r="F12" s="9" t="s">
        <v>94</v>
      </c>
      <c r="G12" s="27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6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7" x14ac:dyDescent="0.6">
      <c r="A2" s="26">
        <v>45778</v>
      </c>
      <c r="B2" s="9" t="s">
        <v>89</v>
      </c>
      <c r="C2" s="11">
        <v>0</v>
      </c>
      <c r="D2" s="11">
        <v>0</v>
      </c>
      <c r="E2" s="11">
        <v>51362.280000000006</v>
      </c>
      <c r="F2" s="9"/>
      <c r="G2" s="27"/>
    </row>
    <row r="3" spans="1:7" x14ac:dyDescent="0.6">
      <c r="A3" s="26">
        <v>45787</v>
      </c>
      <c r="B3" s="9" t="s">
        <v>90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7"/>
    </row>
    <row r="4" spans="1:7" x14ac:dyDescent="0.6">
      <c r="A4" s="26">
        <v>45787</v>
      </c>
      <c r="B4" s="9" t="s">
        <v>90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7"/>
    </row>
    <row r="5" spans="1:7" x14ac:dyDescent="0.6">
      <c r="A5" s="26">
        <v>45789</v>
      </c>
      <c r="B5" s="9" t="s">
        <v>95</v>
      </c>
      <c r="C5" s="11">
        <v>192</v>
      </c>
      <c r="D5" s="11">
        <v>0</v>
      </c>
      <c r="E5" s="11">
        <f t="shared" si="0"/>
        <v>39936.310000000005</v>
      </c>
      <c r="F5" s="9" t="s">
        <v>94</v>
      </c>
      <c r="G5" s="27"/>
    </row>
    <row r="6" spans="1:7" x14ac:dyDescent="0.6">
      <c r="A6" s="26">
        <v>45795</v>
      </c>
      <c r="B6" s="9" t="s">
        <v>114</v>
      </c>
      <c r="C6" s="11">
        <v>60</v>
      </c>
      <c r="D6" s="11">
        <v>0</v>
      </c>
      <c r="E6" s="11">
        <f t="shared" si="0"/>
        <v>39876.310000000005</v>
      </c>
      <c r="F6" s="9" t="s">
        <v>94</v>
      </c>
      <c r="G6" s="27"/>
    </row>
    <row r="7" spans="1:7" x14ac:dyDescent="0.6">
      <c r="A7" s="26">
        <v>45793</v>
      </c>
      <c r="B7" s="9" t="s">
        <v>91</v>
      </c>
      <c r="C7" s="11">
        <v>0</v>
      </c>
      <c r="D7" s="11">
        <v>1300</v>
      </c>
      <c r="E7" s="11">
        <f t="shared" si="0"/>
        <v>41176.310000000005</v>
      </c>
      <c r="F7" s="9" t="s">
        <v>94</v>
      </c>
    </row>
    <row r="8" spans="1:7" x14ac:dyDescent="0.6">
      <c r="A8" s="26">
        <v>45800</v>
      </c>
      <c r="B8" s="9" t="s">
        <v>95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94</v>
      </c>
      <c r="G8" s="27"/>
    </row>
    <row r="9" spans="1:7" x14ac:dyDescent="0.6">
      <c r="A9" s="26">
        <v>45800</v>
      </c>
      <c r="B9" s="9" t="s">
        <v>114</v>
      </c>
      <c r="C9" s="11">
        <v>70</v>
      </c>
      <c r="D9" s="11">
        <v>0</v>
      </c>
      <c r="E9" s="11">
        <f t="shared" si="1"/>
        <v>40268.380000000005</v>
      </c>
      <c r="F9" s="9" t="s">
        <v>94</v>
      </c>
      <c r="G9" s="27"/>
    </row>
    <row r="10" spans="1:7" x14ac:dyDescent="0.6">
      <c r="A10" s="26">
        <v>45800</v>
      </c>
      <c r="B10" s="9" t="s">
        <v>114</v>
      </c>
      <c r="C10" s="11">
        <v>1000</v>
      </c>
      <c r="D10" s="11">
        <v>0</v>
      </c>
      <c r="E10" s="11">
        <f t="shared" si="1"/>
        <v>39268.380000000005</v>
      </c>
      <c r="F10" s="9" t="s">
        <v>94</v>
      </c>
      <c r="G10" s="27"/>
    </row>
    <row r="11" spans="1:7" x14ac:dyDescent="0.6">
      <c r="A11" s="26">
        <v>45802</v>
      </c>
      <c r="B11" s="9" t="s">
        <v>114</v>
      </c>
      <c r="C11" s="11">
        <v>245</v>
      </c>
      <c r="D11" s="11">
        <v>0</v>
      </c>
      <c r="E11" s="11">
        <f t="shared" si="1"/>
        <v>39023.380000000005</v>
      </c>
      <c r="F11" s="9" t="s">
        <v>94</v>
      </c>
      <c r="G11" s="27"/>
    </row>
    <row r="12" spans="1:7" x14ac:dyDescent="0.6">
      <c r="A12" s="26">
        <v>45807</v>
      </c>
      <c r="B12" s="9" t="s">
        <v>96</v>
      </c>
      <c r="C12" s="11">
        <v>5000</v>
      </c>
      <c r="D12" s="11">
        <v>0</v>
      </c>
      <c r="E12" s="12">
        <f>SUM(E1:E11)</f>
        <v>421825.39</v>
      </c>
      <c r="F12" s="9" t="s">
        <v>94</v>
      </c>
      <c r="G12" s="27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6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26">
        <v>45748</v>
      </c>
      <c r="B2" s="9" t="s">
        <v>89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6">
        <v>45748</v>
      </c>
      <c r="B3" s="9" t="s">
        <v>96</v>
      </c>
      <c r="C3" s="11">
        <v>27000</v>
      </c>
      <c r="D3" s="11">
        <v>0</v>
      </c>
      <c r="E3" s="11">
        <f>E2-C3+D3</f>
        <v>29455.760000000002</v>
      </c>
      <c r="F3" s="9" t="s">
        <v>94</v>
      </c>
    </row>
    <row r="4" spans="1:6" x14ac:dyDescent="0.6">
      <c r="A4" s="26">
        <v>45748</v>
      </c>
      <c r="B4" s="9" t="s">
        <v>91</v>
      </c>
      <c r="C4" s="11">
        <v>0</v>
      </c>
      <c r="D4" s="11">
        <v>31000</v>
      </c>
      <c r="E4" s="11">
        <f t="shared" ref="E4:E11" si="0">E3-C4+D4</f>
        <v>60455.76</v>
      </c>
      <c r="F4" s="9" t="s">
        <v>94</v>
      </c>
    </row>
    <row r="5" spans="1:6" x14ac:dyDescent="0.6">
      <c r="A5" s="26">
        <v>45752</v>
      </c>
      <c r="B5" s="9" t="s">
        <v>114</v>
      </c>
      <c r="C5" s="11">
        <v>60</v>
      </c>
      <c r="D5" s="11">
        <v>0</v>
      </c>
      <c r="E5" s="11">
        <f t="shared" si="0"/>
        <v>60395.76</v>
      </c>
      <c r="F5" s="9" t="s">
        <v>94</v>
      </c>
    </row>
    <row r="6" spans="1:6" x14ac:dyDescent="0.6">
      <c r="A6" s="26">
        <v>45755</v>
      </c>
      <c r="B6" s="9" t="s">
        <v>100</v>
      </c>
      <c r="C6" s="11">
        <v>0</v>
      </c>
      <c r="D6" s="11">
        <v>899.05</v>
      </c>
      <c r="E6" s="11">
        <f t="shared" si="0"/>
        <v>61294.810000000005</v>
      </c>
      <c r="F6" s="9" t="s">
        <v>94</v>
      </c>
    </row>
    <row r="7" spans="1:6" x14ac:dyDescent="0.6">
      <c r="A7" s="26">
        <v>45756</v>
      </c>
      <c r="B7" s="9" t="s">
        <v>90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6">
        <v>45756</v>
      </c>
      <c r="B8" s="9" t="s">
        <v>90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6">
        <v>45757</v>
      </c>
      <c r="B9" s="9" t="s">
        <v>95</v>
      </c>
      <c r="C9" s="11">
        <v>660.79</v>
      </c>
      <c r="D9" s="11">
        <v>0</v>
      </c>
      <c r="E9" s="11">
        <f t="shared" si="0"/>
        <v>55242.280000000006</v>
      </c>
      <c r="F9" s="9" t="s">
        <v>94</v>
      </c>
    </row>
    <row r="10" spans="1:6" x14ac:dyDescent="0.6">
      <c r="A10" s="26">
        <v>45761</v>
      </c>
      <c r="B10" s="9" t="s">
        <v>91</v>
      </c>
      <c r="C10" s="11">
        <v>0</v>
      </c>
      <c r="D10" s="11">
        <v>1300</v>
      </c>
      <c r="E10" s="11">
        <f t="shared" si="0"/>
        <v>56542.280000000006</v>
      </c>
      <c r="F10" s="9" t="s">
        <v>94</v>
      </c>
    </row>
    <row r="11" spans="1:6" x14ac:dyDescent="0.6">
      <c r="A11" s="26">
        <v>45765</v>
      </c>
      <c r="B11" s="9" t="s">
        <v>114</v>
      </c>
      <c r="C11" s="11">
        <v>60</v>
      </c>
      <c r="D11" s="11">
        <v>0</v>
      </c>
      <c r="E11" s="11">
        <f t="shared" si="0"/>
        <v>56482.280000000006</v>
      </c>
      <c r="F11" s="9" t="s">
        <v>94</v>
      </c>
    </row>
    <row r="12" spans="1:6" x14ac:dyDescent="0.6">
      <c r="A12" s="26">
        <v>45770</v>
      </c>
      <c r="B12" s="9" t="s">
        <v>114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94</v>
      </c>
    </row>
    <row r="13" spans="1:6" x14ac:dyDescent="0.6">
      <c r="A13" s="26">
        <v>45772</v>
      </c>
      <c r="B13" s="9" t="s">
        <v>114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94</v>
      </c>
    </row>
    <row r="14" spans="1:6" x14ac:dyDescent="0.6">
      <c r="A14" s="26">
        <v>45777</v>
      </c>
      <c r="B14" s="9" t="s">
        <v>96</v>
      </c>
      <c r="C14" s="11">
        <v>5000</v>
      </c>
      <c r="D14" s="11">
        <v>0</v>
      </c>
      <c r="E14" s="11">
        <f>E13-C14+D14</f>
        <v>51362.280000000006</v>
      </c>
      <c r="F14" s="9" t="s">
        <v>94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6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26">
        <v>45717</v>
      </c>
      <c r="B2" s="9" t="s">
        <v>122</v>
      </c>
      <c r="C2" s="11">
        <v>0</v>
      </c>
      <c r="D2" s="11">
        <v>0</v>
      </c>
      <c r="E2" s="11">
        <v>32906.370000000039</v>
      </c>
      <c r="F2" s="9" t="s">
        <v>94</v>
      </c>
    </row>
    <row r="3" spans="1:6" x14ac:dyDescent="0.6">
      <c r="A3" s="26">
        <v>45727</v>
      </c>
      <c r="B3" s="9" t="s">
        <v>91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94</v>
      </c>
    </row>
    <row r="4" spans="1:6" x14ac:dyDescent="0.6">
      <c r="A4" s="26">
        <v>45728</v>
      </c>
      <c r="B4" s="9" t="s">
        <v>90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6">
        <v>45728</v>
      </c>
      <c r="B5" s="9" t="s">
        <v>90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6">
        <v>45731</v>
      </c>
      <c r="B6" s="9" t="s">
        <v>91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94</v>
      </c>
    </row>
    <row r="7" spans="1:6" x14ac:dyDescent="0.6">
      <c r="A7" s="26">
        <v>45735</v>
      </c>
      <c r="B7" s="9" t="s">
        <v>95</v>
      </c>
      <c r="C7" s="11">
        <v>518</v>
      </c>
      <c r="D7" s="11">
        <v>0</v>
      </c>
      <c r="E7" s="11">
        <f t="shared" si="1"/>
        <v>66625.760000000038</v>
      </c>
      <c r="F7" s="9" t="s">
        <v>94</v>
      </c>
    </row>
    <row r="8" spans="1:6" x14ac:dyDescent="0.6">
      <c r="A8" s="26">
        <v>45739</v>
      </c>
      <c r="B8" s="9" t="s">
        <v>114</v>
      </c>
      <c r="C8" s="11">
        <v>60</v>
      </c>
      <c r="D8" s="11">
        <v>0</v>
      </c>
      <c r="E8" s="11">
        <f t="shared" si="1"/>
        <v>66565.760000000038</v>
      </c>
      <c r="F8" s="9" t="s">
        <v>94</v>
      </c>
    </row>
    <row r="9" spans="1:6" x14ac:dyDescent="0.6">
      <c r="A9" s="26">
        <v>45741</v>
      </c>
      <c r="B9" s="9" t="s">
        <v>114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94</v>
      </c>
    </row>
    <row r="10" spans="1:6" x14ac:dyDescent="0.6">
      <c r="A10" s="26">
        <v>45747</v>
      </c>
      <c r="B10" s="9" t="s">
        <v>96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6">
        <v>45747</v>
      </c>
      <c r="B11" s="9" t="s">
        <v>114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94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2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1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7" x14ac:dyDescent="0.6">
      <c r="A2" s="21">
        <v>45689</v>
      </c>
      <c r="B2" s="9" t="s">
        <v>89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21">
        <v>45693</v>
      </c>
      <c r="B3" s="9" t="s">
        <v>96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21">
        <v>45695</v>
      </c>
      <c r="B4" s="9" t="s">
        <v>95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94</v>
      </c>
    </row>
    <row r="5" spans="1:7" x14ac:dyDescent="0.6">
      <c r="A5" s="21">
        <v>45697</v>
      </c>
      <c r="B5" s="9" t="s">
        <v>90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21">
        <v>45697</v>
      </c>
      <c r="B6" s="9" t="s">
        <v>90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21">
        <v>45702</v>
      </c>
      <c r="B7" s="9" t="s">
        <v>91</v>
      </c>
      <c r="C7" s="11">
        <v>0</v>
      </c>
      <c r="D7" s="11">
        <v>1300</v>
      </c>
      <c r="E7" s="11">
        <f t="shared" si="0"/>
        <v>26405.970000000038</v>
      </c>
      <c r="F7" s="9" t="s">
        <v>115</v>
      </c>
      <c r="G7" s="23">
        <v>27000</v>
      </c>
    </row>
    <row r="8" spans="1:7" x14ac:dyDescent="0.6">
      <c r="A8" s="21">
        <v>45703</v>
      </c>
      <c r="B8" s="9" t="s">
        <v>91</v>
      </c>
      <c r="C8" s="11">
        <v>0</v>
      </c>
      <c r="D8" s="11">
        <v>25000</v>
      </c>
      <c r="E8" s="11">
        <f t="shared" si="0"/>
        <v>51405.970000000038</v>
      </c>
      <c r="F8" s="9" t="s">
        <v>115</v>
      </c>
      <c r="G8" s="23">
        <v>27000</v>
      </c>
    </row>
    <row r="9" spans="1:7" x14ac:dyDescent="0.6">
      <c r="A9" s="21">
        <v>45706</v>
      </c>
      <c r="B9" s="9" t="s">
        <v>96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21">
        <v>45706</v>
      </c>
      <c r="B10" s="9" t="s">
        <v>96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21">
        <v>45707</v>
      </c>
      <c r="B11" s="9" t="s">
        <v>91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115</v>
      </c>
      <c r="G11" s="23">
        <v>27000</v>
      </c>
    </row>
    <row r="12" spans="1:7" x14ac:dyDescent="0.6">
      <c r="A12" s="21">
        <v>45709</v>
      </c>
      <c r="B12" s="9" t="s">
        <v>95</v>
      </c>
      <c r="C12" s="11">
        <v>518</v>
      </c>
      <c r="D12" s="11">
        <v>0</v>
      </c>
      <c r="E12" s="11">
        <f t="shared" si="1"/>
        <v>49242.370000000039</v>
      </c>
      <c r="F12" s="9" t="s">
        <v>94</v>
      </c>
    </row>
    <row r="13" spans="1:7" x14ac:dyDescent="0.6">
      <c r="A13" s="21">
        <v>45714</v>
      </c>
      <c r="B13" s="9" t="s">
        <v>96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21">
        <v>45716</v>
      </c>
      <c r="B14" s="9" t="s">
        <v>96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9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8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8">
        <v>45658</v>
      </c>
      <c r="B2" s="9" t="s">
        <v>89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96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8">
        <v>45839</v>
      </c>
      <c r="B4" s="9" t="s">
        <v>95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94</v>
      </c>
    </row>
    <row r="5" spans="1:6" x14ac:dyDescent="0.6">
      <c r="A5" s="18">
        <v>45870</v>
      </c>
      <c r="B5" s="9" t="s">
        <v>91</v>
      </c>
      <c r="C5" s="11">
        <v>0</v>
      </c>
      <c r="D5" s="11">
        <v>4017.13</v>
      </c>
      <c r="E5" s="11">
        <f t="shared" si="0"/>
        <v>46946.720000000023</v>
      </c>
      <c r="F5" s="9" t="s">
        <v>97</v>
      </c>
    </row>
    <row r="6" spans="1:6" x14ac:dyDescent="0.6">
      <c r="A6" s="18">
        <v>45665</v>
      </c>
      <c r="B6" s="9" t="s">
        <v>114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92</v>
      </c>
    </row>
    <row r="7" spans="1:6" x14ac:dyDescent="0.6">
      <c r="A7" s="18">
        <v>45666</v>
      </c>
      <c r="B7" s="9" t="s">
        <v>90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8">
        <v>45666</v>
      </c>
      <c r="B8" s="9" t="s">
        <v>90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8">
        <v>45667</v>
      </c>
      <c r="B9" s="9" t="s">
        <v>91</v>
      </c>
      <c r="C9" s="11">
        <v>4017.13</v>
      </c>
      <c r="D9" s="11">
        <v>0</v>
      </c>
      <c r="E9" s="11">
        <f t="shared" si="1"/>
        <v>16499.840000000022</v>
      </c>
      <c r="F9" s="9" t="s">
        <v>94</v>
      </c>
    </row>
    <row r="10" spans="1:6" x14ac:dyDescent="0.6">
      <c r="A10" s="18">
        <v>45667</v>
      </c>
      <c r="B10" s="9" t="s">
        <v>91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92</v>
      </c>
    </row>
    <row r="11" spans="1:6" x14ac:dyDescent="0.6">
      <c r="A11" s="18">
        <v>45668</v>
      </c>
      <c r="B11" s="9" t="s">
        <v>95</v>
      </c>
      <c r="C11" s="11">
        <v>904.27</v>
      </c>
      <c r="D11" s="11">
        <v>0</v>
      </c>
      <c r="E11" s="11">
        <f t="shared" si="2"/>
        <v>65095.570000000029</v>
      </c>
      <c r="F11" s="9" t="s">
        <v>94</v>
      </c>
    </row>
    <row r="12" spans="1:6" x14ac:dyDescent="0.6">
      <c r="A12" s="10">
        <v>45671</v>
      </c>
      <c r="B12" s="9" t="s">
        <v>96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8">
        <v>45672</v>
      </c>
      <c r="B13" s="9" t="s">
        <v>91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92</v>
      </c>
    </row>
    <row r="14" spans="1:6" x14ac:dyDescent="0.6">
      <c r="A14" s="18">
        <v>45684</v>
      </c>
      <c r="B14" s="9" t="s">
        <v>91</v>
      </c>
      <c r="C14" s="11">
        <v>0</v>
      </c>
      <c r="D14" s="11">
        <v>10000</v>
      </c>
      <c r="E14" s="11">
        <f t="shared" si="3"/>
        <v>72295.570000000036</v>
      </c>
      <c r="F14" s="9" t="s">
        <v>97</v>
      </c>
    </row>
    <row r="15" spans="1:6" x14ac:dyDescent="0.6">
      <c r="A15" s="18">
        <v>45685</v>
      </c>
      <c r="B15" s="9" t="s">
        <v>114</v>
      </c>
      <c r="C15" s="11">
        <v>5000</v>
      </c>
      <c r="D15" s="11">
        <v>0</v>
      </c>
      <c r="E15" s="11">
        <f t="shared" si="3"/>
        <v>67295.570000000036</v>
      </c>
      <c r="F15" s="9" t="s">
        <v>92</v>
      </c>
    </row>
    <row r="16" spans="1:6" x14ac:dyDescent="0.6">
      <c r="A16" s="18">
        <v>45685</v>
      </c>
      <c r="B16" s="9" t="s">
        <v>114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92</v>
      </c>
    </row>
    <row r="17" spans="1:6" x14ac:dyDescent="0.6">
      <c r="A17" s="10">
        <v>45688</v>
      </c>
      <c r="B17" s="9" t="s">
        <v>96</v>
      </c>
      <c r="C17" s="11">
        <v>10000</v>
      </c>
      <c r="D17" s="11">
        <v>0</v>
      </c>
      <c r="E17" s="11">
        <f t="shared" si="3"/>
        <v>52295.570000000036</v>
      </c>
      <c r="F17" s="9" t="s">
        <v>97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9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8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8">
        <v>45992</v>
      </c>
      <c r="B2" s="9" t="s">
        <v>89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8">
        <v>45997</v>
      </c>
      <c r="B3" s="9" t="s">
        <v>95</v>
      </c>
      <c r="C3" s="11">
        <v>192</v>
      </c>
      <c r="D3" s="11">
        <v>0</v>
      </c>
      <c r="E3" s="11">
        <f>E2-C3+D3</f>
        <v>118726.17000000003</v>
      </c>
      <c r="F3" s="9" t="s">
        <v>94</v>
      </c>
    </row>
    <row r="4" spans="1:6" x14ac:dyDescent="0.6">
      <c r="A4" s="18">
        <v>46000</v>
      </c>
      <c r="B4" s="9" t="s">
        <v>91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94</v>
      </c>
    </row>
    <row r="5" spans="1:6" x14ac:dyDescent="0.6">
      <c r="A5" s="18">
        <v>46001</v>
      </c>
      <c r="B5" s="9" t="s">
        <v>90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8">
        <v>46001</v>
      </c>
      <c r="B6" s="9" t="s">
        <v>90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8">
        <v>46005</v>
      </c>
      <c r="B7" s="9" t="s">
        <v>95</v>
      </c>
      <c r="C7" s="11">
        <v>660.79</v>
      </c>
      <c r="D7" s="11">
        <v>0</v>
      </c>
      <c r="E7" s="11">
        <f>E6-C7+D7</f>
        <v>100275.80000000003</v>
      </c>
      <c r="F7" s="9" t="s">
        <v>94</v>
      </c>
    </row>
    <row r="8" spans="1:6" x14ac:dyDescent="0.6">
      <c r="A8" s="18">
        <v>46006</v>
      </c>
      <c r="B8" s="9" t="s">
        <v>91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92</v>
      </c>
    </row>
    <row r="9" spans="1:6" x14ac:dyDescent="0.6">
      <c r="A9" s="18">
        <v>46016</v>
      </c>
      <c r="B9" s="9" t="s">
        <v>110</v>
      </c>
      <c r="C9" s="11">
        <v>0</v>
      </c>
      <c r="D9" s="11">
        <v>242.79</v>
      </c>
      <c r="E9" s="11">
        <f t="shared" si="1"/>
        <v>101818.59000000003</v>
      </c>
      <c r="F9" s="9" t="s">
        <v>104</v>
      </c>
    </row>
    <row r="10" spans="1:6" x14ac:dyDescent="0.6">
      <c r="A10" s="19">
        <v>46022</v>
      </c>
      <c r="B10" s="20" t="s">
        <v>111</v>
      </c>
      <c r="C10" s="12">
        <v>300</v>
      </c>
      <c r="D10" s="12">
        <v>0</v>
      </c>
      <c r="E10" s="11">
        <f t="shared" si="1"/>
        <v>101518.59000000003</v>
      </c>
      <c r="F10" t="s">
        <v>94</v>
      </c>
    </row>
    <row r="11" spans="1:6" x14ac:dyDescent="0.6">
      <c r="A11" s="10">
        <v>45596</v>
      </c>
      <c r="B11" s="9" t="s">
        <v>96</v>
      </c>
      <c r="C11" s="11">
        <v>10000</v>
      </c>
      <c r="D11" s="11">
        <v>0</v>
      </c>
      <c r="E11" s="11">
        <f t="shared" si="1"/>
        <v>91518.590000000026</v>
      </c>
      <c r="F11" s="9" t="s">
        <v>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0">
        <v>45597</v>
      </c>
      <c r="B2" s="9" t="s">
        <v>89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90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90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91</v>
      </c>
      <c r="C5" s="11">
        <v>0</v>
      </c>
      <c r="D5" s="11">
        <v>1300</v>
      </c>
      <c r="E5" s="11">
        <f t="shared" si="0"/>
        <v>119284.52000000003</v>
      </c>
      <c r="F5" s="9" t="s">
        <v>92</v>
      </c>
    </row>
    <row r="6" spans="1:6" x14ac:dyDescent="0.6">
      <c r="A6" s="14">
        <v>45609</v>
      </c>
      <c r="B6" t="s">
        <v>93</v>
      </c>
      <c r="C6" s="12">
        <v>330</v>
      </c>
      <c r="D6" s="12">
        <v>0</v>
      </c>
      <c r="E6" s="11">
        <f t="shared" si="0"/>
        <v>118954.52000000003</v>
      </c>
      <c r="F6" t="s">
        <v>94</v>
      </c>
    </row>
    <row r="7" spans="1:6" x14ac:dyDescent="0.6">
      <c r="A7" s="14">
        <v>45614</v>
      </c>
      <c r="B7" t="s">
        <v>93</v>
      </c>
      <c r="C7" s="12">
        <v>518</v>
      </c>
      <c r="D7" s="12">
        <v>0</v>
      </c>
      <c r="E7" s="11">
        <f t="shared" si="0"/>
        <v>118436.52000000003</v>
      </c>
      <c r="F7" t="s">
        <v>94</v>
      </c>
    </row>
    <row r="8" spans="1:6" x14ac:dyDescent="0.6">
      <c r="A8" s="10">
        <v>45596</v>
      </c>
      <c r="B8" s="9" t="s">
        <v>91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0">
        <v>45566</v>
      </c>
      <c r="B2" s="9" t="s">
        <v>89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93</v>
      </c>
      <c r="C3" s="12">
        <v>5000</v>
      </c>
      <c r="D3" s="12">
        <v>0</v>
      </c>
      <c r="E3" s="11">
        <f t="shared" ref="E3:E9" si="0">E2-C3+D3</f>
        <v>183426.47</v>
      </c>
      <c r="F3" t="s">
        <v>94</v>
      </c>
    </row>
    <row r="4" spans="1:6" x14ac:dyDescent="0.6">
      <c r="A4" s="14">
        <v>45572</v>
      </c>
      <c r="B4" t="s">
        <v>95</v>
      </c>
      <c r="C4" s="12">
        <v>639.86</v>
      </c>
      <c r="D4" s="12">
        <v>0</v>
      </c>
      <c r="E4" s="11">
        <f t="shared" si="0"/>
        <v>182786.61000000002</v>
      </c>
      <c r="F4" t="s">
        <v>94</v>
      </c>
    </row>
    <row r="5" spans="1:6" x14ac:dyDescent="0.6">
      <c r="A5" s="10">
        <v>45575</v>
      </c>
      <c r="B5" s="9" t="s">
        <v>90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90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91</v>
      </c>
      <c r="C7" s="11">
        <v>0</v>
      </c>
      <c r="D7" s="11">
        <v>1300</v>
      </c>
      <c r="E7" s="11">
        <f t="shared" si="0"/>
        <v>167480.12000000002</v>
      </c>
      <c r="F7" s="9" t="s">
        <v>92</v>
      </c>
    </row>
    <row r="8" spans="1:6" x14ac:dyDescent="0.6">
      <c r="A8" s="14">
        <v>45581</v>
      </c>
      <c r="B8" t="s">
        <v>93</v>
      </c>
      <c r="C8" s="12">
        <v>245</v>
      </c>
      <c r="D8" s="12">
        <v>0</v>
      </c>
      <c r="E8" s="11">
        <f t="shared" si="0"/>
        <v>167235.12000000002</v>
      </c>
      <c r="F8" t="s">
        <v>94</v>
      </c>
    </row>
    <row r="9" spans="1:6" x14ac:dyDescent="0.6">
      <c r="A9" s="14">
        <v>45582</v>
      </c>
      <c r="B9" t="s">
        <v>93</v>
      </c>
      <c r="C9" s="12">
        <v>15000</v>
      </c>
      <c r="D9" s="12">
        <v>0</v>
      </c>
      <c r="E9" s="11">
        <f t="shared" si="0"/>
        <v>152235.12000000002</v>
      </c>
      <c r="F9" t="s">
        <v>94</v>
      </c>
    </row>
    <row r="10" spans="1:6" x14ac:dyDescent="0.6">
      <c r="A10" s="14">
        <v>45581</v>
      </c>
      <c r="B10" t="s">
        <v>95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94</v>
      </c>
    </row>
    <row r="11" spans="1:6" x14ac:dyDescent="0.6">
      <c r="A11" s="10">
        <v>45596</v>
      </c>
      <c r="B11" s="9" t="s">
        <v>96</v>
      </c>
      <c r="C11" s="11">
        <v>10000</v>
      </c>
      <c r="D11" s="11">
        <v>0</v>
      </c>
      <c r="E11" s="11">
        <f t="shared" si="1"/>
        <v>141717.12000000002</v>
      </c>
      <c r="F11" s="9" t="s">
        <v>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0">
        <v>45536</v>
      </c>
      <c r="B2" s="9" t="s">
        <v>89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93</v>
      </c>
      <c r="C3" s="12">
        <v>500</v>
      </c>
      <c r="D3" s="12">
        <v>0</v>
      </c>
      <c r="E3" s="11">
        <f t="shared" ref="E3" si="0">E2-C3+D3</f>
        <v>100166.74</v>
      </c>
      <c r="F3" t="s">
        <v>94</v>
      </c>
    </row>
    <row r="4" spans="1:6" x14ac:dyDescent="0.6">
      <c r="A4" s="14">
        <v>45539</v>
      </c>
      <c r="B4" t="s">
        <v>93</v>
      </c>
      <c r="C4" s="12">
        <v>100</v>
      </c>
      <c r="D4" s="12">
        <v>0</v>
      </c>
      <c r="E4" s="11">
        <f t="shared" ref="E4:E5" si="1">E3-C4+D4</f>
        <v>100066.74</v>
      </c>
      <c r="F4" t="s">
        <v>94</v>
      </c>
    </row>
    <row r="5" spans="1:6" x14ac:dyDescent="0.6">
      <c r="A5" s="10">
        <v>45544</v>
      </c>
      <c r="B5" s="9" t="s">
        <v>90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90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95</v>
      </c>
      <c r="C7" s="11">
        <v>901.06</v>
      </c>
      <c r="D7" s="11">
        <v>0</v>
      </c>
      <c r="E7" s="11">
        <f t="shared" si="2"/>
        <v>71110.91</v>
      </c>
      <c r="F7" s="9" t="s">
        <v>98</v>
      </c>
    </row>
    <row r="8" spans="1:6" x14ac:dyDescent="0.6">
      <c r="A8" s="10">
        <v>45545</v>
      </c>
      <c r="B8" s="9" t="s">
        <v>91</v>
      </c>
      <c r="C8" s="11">
        <v>40000</v>
      </c>
      <c r="D8" s="11">
        <v>0</v>
      </c>
      <c r="E8" s="11">
        <f t="shared" si="2"/>
        <v>31110.910000000003</v>
      </c>
      <c r="F8" s="9" t="s">
        <v>99</v>
      </c>
    </row>
    <row r="9" spans="1:6" x14ac:dyDescent="0.6">
      <c r="A9" s="10">
        <v>45545</v>
      </c>
      <c r="B9" s="9" t="s">
        <v>91</v>
      </c>
      <c r="C9" s="11">
        <v>0</v>
      </c>
      <c r="D9" s="11">
        <v>1300</v>
      </c>
      <c r="E9" s="11">
        <f t="shared" si="2"/>
        <v>32410.910000000003</v>
      </c>
      <c r="F9" s="9" t="s">
        <v>92</v>
      </c>
    </row>
    <row r="10" spans="1:6" x14ac:dyDescent="0.6">
      <c r="A10" s="14">
        <v>45546</v>
      </c>
      <c r="B10" t="s">
        <v>93</v>
      </c>
      <c r="C10" s="12">
        <v>861.84</v>
      </c>
      <c r="D10" s="12">
        <v>0</v>
      </c>
      <c r="E10" s="11">
        <f t="shared" si="2"/>
        <v>31549.070000000003</v>
      </c>
      <c r="F10" t="s">
        <v>94</v>
      </c>
    </row>
    <row r="11" spans="1:6" x14ac:dyDescent="0.6">
      <c r="A11" s="14">
        <v>45546</v>
      </c>
      <c r="B11" t="s">
        <v>93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94</v>
      </c>
    </row>
    <row r="12" spans="1:6" x14ac:dyDescent="0.6">
      <c r="A12" s="10">
        <v>45547</v>
      </c>
      <c r="B12" s="9" t="s">
        <v>100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101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96</v>
      </c>
      <c r="C14" s="11">
        <v>10000</v>
      </c>
      <c r="D14" s="11">
        <v>0</v>
      </c>
      <c r="E14" s="11">
        <f t="shared" si="4"/>
        <v>188426.47</v>
      </c>
      <c r="F14" s="9" t="s">
        <v>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0">
        <v>45505</v>
      </c>
      <c r="B2" s="9" t="s">
        <v>89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90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90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95</v>
      </c>
      <c r="C5" s="11">
        <v>943.86</v>
      </c>
      <c r="D5" s="11">
        <v>0</v>
      </c>
      <c r="E5" s="11">
        <f t="shared" si="0"/>
        <v>61289.739999999991</v>
      </c>
      <c r="F5" s="9" t="s">
        <v>98</v>
      </c>
    </row>
    <row r="6" spans="1:6" x14ac:dyDescent="0.6">
      <c r="A6" s="10">
        <v>45514</v>
      </c>
      <c r="B6" s="9" t="s">
        <v>91</v>
      </c>
      <c r="C6" s="11">
        <v>0</v>
      </c>
      <c r="D6" s="11">
        <v>40000</v>
      </c>
      <c r="E6" s="11">
        <f t="shared" si="0"/>
        <v>101289.73999999999</v>
      </c>
      <c r="F6" s="9" t="s">
        <v>99</v>
      </c>
    </row>
    <row r="7" spans="1:6" x14ac:dyDescent="0.6">
      <c r="A7" s="14">
        <f>A6+3</f>
        <v>45517</v>
      </c>
      <c r="B7" t="s">
        <v>93</v>
      </c>
      <c r="C7" s="12">
        <v>60</v>
      </c>
      <c r="D7" s="12">
        <v>0</v>
      </c>
      <c r="E7" s="11">
        <f t="shared" si="0"/>
        <v>101229.73999999999</v>
      </c>
      <c r="F7" t="s">
        <v>94</v>
      </c>
    </row>
    <row r="8" spans="1:6" x14ac:dyDescent="0.6">
      <c r="A8" s="10">
        <v>45522</v>
      </c>
      <c r="B8" s="9" t="s">
        <v>91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92</v>
      </c>
    </row>
    <row r="9" spans="1:6" x14ac:dyDescent="0.6">
      <c r="A9" s="14">
        <v>45525</v>
      </c>
      <c r="B9" t="s">
        <v>93</v>
      </c>
      <c r="C9" s="12">
        <v>500</v>
      </c>
      <c r="D9" s="12">
        <v>0</v>
      </c>
      <c r="E9" s="11">
        <f t="shared" si="1"/>
        <v>102029.73999999999</v>
      </c>
      <c r="F9" t="s">
        <v>94</v>
      </c>
    </row>
    <row r="10" spans="1:6" x14ac:dyDescent="0.6">
      <c r="A10" s="10">
        <v>45531</v>
      </c>
      <c r="B10" s="9" t="s">
        <v>96</v>
      </c>
      <c r="C10" s="11">
        <v>26363</v>
      </c>
      <c r="D10" s="11">
        <v>0</v>
      </c>
      <c r="E10" s="11">
        <f t="shared" si="1"/>
        <v>75666.739999999991</v>
      </c>
      <c r="F10" s="9" t="s">
        <v>92</v>
      </c>
    </row>
    <row r="11" spans="1:6" x14ac:dyDescent="0.6">
      <c r="A11" s="10">
        <v>45533</v>
      </c>
      <c r="B11" s="9" t="s">
        <v>91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0">
        <v>45474</v>
      </c>
      <c r="B2" s="9" t="s">
        <v>89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96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96</v>
      </c>
      <c r="C4" s="11">
        <v>21390</v>
      </c>
      <c r="D4" s="11">
        <v>0</v>
      </c>
      <c r="E4" s="11">
        <f>E3-C4+D4</f>
        <v>129069.89999999997</v>
      </c>
      <c r="F4" s="9" t="s">
        <v>102</v>
      </c>
    </row>
    <row r="5" spans="1:6" x14ac:dyDescent="0.6">
      <c r="A5" s="10">
        <v>45481</v>
      </c>
      <c r="B5" s="9" t="s">
        <v>100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103</v>
      </c>
    </row>
    <row r="6" spans="1:6" x14ac:dyDescent="0.6">
      <c r="A6" s="10">
        <v>45483</v>
      </c>
      <c r="B6" s="9" t="s">
        <v>90</v>
      </c>
      <c r="C6" s="11">
        <v>1674.86</v>
      </c>
      <c r="D6" s="11">
        <v>0</v>
      </c>
      <c r="E6" s="11">
        <f t="shared" si="0"/>
        <v>131368.49999999997</v>
      </c>
      <c r="F6" s="9" t="s">
        <v>104</v>
      </c>
    </row>
    <row r="7" spans="1:6" x14ac:dyDescent="0.6">
      <c r="A7" s="10">
        <v>45483</v>
      </c>
      <c r="B7" s="9" t="s">
        <v>90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95</v>
      </c>
      <c r="C8" s="11">
        <v>518</v>
      </c>
      <c r="D8" s="11">
        <v>0</v>
      </c>
      <c r="E8" s="11">
        <f t="shared" si="1"/>
        <v>104168.78999999998</v>
      </c>
      <c r="F8" s="9" t="s">
        <v>105</v>
      </c>
    </row>
    <row r="9" spans="1:6" x14ac:dyDescent="0.6">
      <c r="A9" s="10">
        <v>45488</v>
      </c>
      <c r="B9" s="9" t="s">
        <v>91</v>
      </c>
      <c r="C9" s="11">
        <v>0</v>
      </c>
      <c r="D9" s="11">
        <v>1300</v>
      </c>
      <c r="E9" s="11">
        <f t="shared" si="1"/>
        <v>105468.78999999998</v>
      </c>
      <c r="F9" s="9" t="s">
        <v>92</v>
      </c>
    </row>
    <row r="10" spans="1:6" x14ac:dyDescent="0.6">
      <c r="A10" s="10">
        <v>45504</v>
      </c>
      <c r="B10" s="9" t="s">
        <v>96</v>
      </c>
      <c r="C10" s="11">
        <v>10000</v>
      </c>
      <c r="D10" s="11">
        <v>0</v>
      </c>
      <c r="E10" s="11">
        <f t="shared" si="1"/>
        <v>95468.789999999979</v>
      </c>
      <c r="F10" s="9" t="s">
        <v>97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83</v>
      </c>
      <c r="B1" s="9" t="s">
        <v>84</v>
      </c>
      <c r="C1" s="11" t="s">
        <v>85</v>
      </c>
      <c r="D1" s="11" t="s">
        <v>86</v>
      </c>
      <c r="E1" s="11" t="s">
        <v>87</v>
      </c>
      <c r="F1" s="9" t="s">
        <v>88</v>
      </c>
    </row>
    <row r="2" spans="1:6" x14ac:dyDescent="0.6">
      <c r="A2" s="10">
        <v>45444</v>
      </c>
      <c r="B2" s="9" t="s">
        <v>89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90</v>
      </c>
      <c r="C3" s="11">
        <v>393</v>
      </c>
      <c r="D3" s="11">
        <v>0</v>
      </c>
      <c r="E3" s="11">
        <f>E2-C3+D3</f>
        <v>30486.11</v>
      </c>
      <c r="F3" s="9" t="s">
        <v>104</v>
      </c>
    </row>
    <row r="4" spans="1:6" x14ac:dyDescent="0.6">
      <c r="A4" s="10">
        <v>45452</v>
      </c>
      <c r="B4" s="9" t="s">
        <v>90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104</v>
      </c>
    </row>
    <row r="5" spans="1:6" x14ac:dyDescent="0.6">
      <c r="A5" s="10">
        <v>45453</v>
      </c>
      <c r="B5" s="9" t="s">
        <v>106</v>
      </c>
      <c r="C5" s="11">
        <v>0</v>
      </c>
      <c r="D5" s="11">
        <v>3396.97</v>
      </c>
      <c r="E5" s="11">
        <f t="shared" si="0"/>
        <v>20677.440000000002</v>
      </c>
      <c r="F5" s="9" t="s">
        <v>107</v>
      </c>
    </row>
    <row r="6" spans="1:6" x14ac:dyDescent="0.6">
      <c r="A6" s="10">
        <v>45453</v>
      </c>
      <c r="B6" s="9" t="s">
        <v>96</v>
      </c>
      <c r="C6" s="11">
        <v>7400</v>
      </c>
      <c r="D6" s="11">
        <v>0</v>
      </c>
      <c r="E6" s="11">
        <f t="shared" si="0"/>
        <v>13277.440000000002</v>
      </c>
      <c r="F6" s="9" t="s">
        <v>94</v>
      </c>
    </row>
    <row r="7" spans="1:6" x14ac:dyDescent="0.6">
      <c r="A7" s="10">
        <v>45453</v>
      </c>
      <c r="B7" s="9" t="s">
        <v>108</v>
      </c>
      <c r="C7" s="11">
        <v>3300</v>
      </c>
      <c r="D7" s="11">
        <v>0</v>
      </c>
      <c r="E7" s="11">
        <f t="shared" si="0"/>
        <v>9977.4400000000023</v>
      </c>
      <c r="F7" s="9" t="s">
        <v>94</v>
      </c>
    </row>
    <row r="8" spans="1:6" x14ac:dyDescent="0.6">
      <c r="A8" s="10">
        <v>45453</v>
      </c>
      <c r="B8" s="9" t="s">
        <v>91</v>
      </c>
      <c r="C8" s="11">
        <v>0</v>
      </c>
      <c r="D8" s="11">
        <v>49000</v>
      </c>
      <c r="E8" s="11">
        <f t="shared" si="0"/>
        <v>58977.440000000002</v>
      </c>
      <c r="F8" s="9" t="s">
        <v>94</v>
      </c>
    </row>
    <row r="9" spans="1:6" x14ac:dyDescent="0.6">
      <c r="A9" s="10">
        <v>45454</v>
      </c>
      <c r="B9" s="9" t="s">
        <v>106</v>
      </c>
      <c r="C9" s="11">
        <v>0</v>
      </c>
      <c r="D9" s="11">
        <v>181498.8</v>
      </c>
      <c r="E9" s="11">
        <f t="shared" si="0"/>
        <v>240476.24</v>
      </c>
      <c r="F9" s="9" t="s">
        <v>107</v>
      </c>
    </row>
    <row r="10" spans="1:6" x14ac:dyDescent="0.6">
      <c r="A10" s="10">
        <v>45454</v>
      </c>
      <c r="B10" s="9" t="s">
        <v>100</v>
      </c>
      <c r="C10" s="11">
        <v>0</v>
      </c>
      <c r="D10" s="11">
        <v>40380.22</v>
      </c>
      <c r="E10" s="11">
        <f t="shared" si="0"/>
        <v>280856.45999999996</v>
      </c>
      <c r="F10" s="9" t="s">
        <v>107</v>
      </c>
    </row>
    <row r="11" spans="1:6" x14ac:dyDescent="0.6">
      <c r="A11" s="10">
        <v>45454</v>
      </c>
      <c r="B11" s="9" t="s">
        <v>91</v>
      </c>
      <c r="C11" s="11">
        <v>0</v>
      </c>
      <c r="D11" s="11">
        <v>10000</v>
      </c>
      <c r="E11" s="11">
        <f t="shared" si="0"/>
        <v>290856.45999999996</v>
      </c>
      <c r="F11" s="9" t="s">
        <v>107</v>
      </c>
    </row>
    <row r="12" spans="1:6" x14ac:dyDescent="0.6">
      <c r="A12" s="10">
        <v>45455</v>
      </c>
      <c r="B12" s="9" t="s">
        <v>100</v>
      </c>
      <c r="C12" s="11">
        <v>0</v>
      </c>
      <c r="D12" s="11">
        <v>2956.6</v>
      </c>
      <c r="E12" s="11">
        <f t="shared" si="0"/>
        <v>293813.05999999994</v>
      </c>
      <c r="F12" s="9" t="s">
        <v>94</v>
      </c>
    </row>
    <row r="13" spans="1:6" x14ac:dyDescent="0.6">
      <c r="A13" s="10">
        <v>45455</v>
      </c>
      <c r="B13" s="9" t="s">
        <v>96</v>
      </c>
      <c r="C13" s="11">
        <v>43000</v>
      </c>
      <c r="D13" s="11">
        <v>0</v>
      </c>
      <c r="E13" s="11">
        <f t="shared" si="0"/>
        <v>250813.05999999994</v>
      </c>
      <c r="F13" s="9" t="s">
        <v>94</v>
      </c>
    </row>
    <row r="14" spans="1:6" x14ac:dyDescent="0.6">
      <c r="A14" s="10">
        <v>45456</v>
      </c>
      <c r="B14" s="9" t="s">
        <v>109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96</v>
      </c>
      <c r="C15" s="11">
        <v>43000</v>
      </c>
      <c r="D15" s="11">
        <v>0</v>
      </c>
      <c r="E15" s="11">
        <f t="shared" si="0"/>
        <v>217813.05999999994</v>
      </c>
      <c r="F15" s="9" t="s">
        <v>94</v>
      </c>
    </row>
    <row r="16" spans="1:6" x14ac:dyDescent="0.6">
      <c r="A16" s="10">
        <v>45457</v>
      </c>
      <c r="B16" s="9" t="s">
        <v>96</v>
      </c>
      <c r="C16" s="11">
        <v>49733.17</v>
      </c>
      <c r="D16" s="11">
        <v>0</v>
      </c>
      <c r="E16" s="11">
        <f t="shared" si="0"/>
        <v>168079.88999999996</v>
      </c>
      <c r="F16" s="9" t="s">
        <v>94</v>
      </c>
    </row>
    <row r="17" spans="1:6" x14ac:dyDescent="0.6">
      <c r="A17" s="10">
        <v>45458</v>
      </c>
      <c r="B17" s="9" t="s">
        <v>91</v>
      </c>
      <c r="C17" s="11">
        <v>0</v>
      </c>
      <c r="D17" s="11">
        <v>1300</v>
      </c>
      <c r="E17" s="11">
        <f t="shared" si="0"/>
        <v>169379.88999999996</v>
      </c>
      <c r="F17" s="9" t="s">
        <v>94</v>
      </c>
    </row>
    <row r="18" spans="1:6" x14ac:dyDescent="0.6">
      <c r="A18" s="10">
        <v>45461</v>
      </c>
      <c r="B18" s="9" t="s">
        <v>108</v>
      </c>
      <c r="C18" s="11">
        <v>1115</v>
      </c>
      <c r="D18" s="11">
        <v>0</v>
      </c>
      <c r="E18" s="11">
        <f t="shared" si="0"/>
        <v>168264.88999999996</v>
      </c>
      <c r="F18" s="9" t="s">
        <v>94</v>
      </c>
    </row>
    <row r="19" spans="1:6" x14ac:dyDescent="0.6">
      <c r="A19" s="10">
        <v>45462</v>
      </c>
      <c r="B19" s="9" t="s">
        <v>95</v>
      </c>
      <c r="C19" s="11">
        <v>518</v>
      </c>
      <c r="D19" s="11">
        <v>0</v>
      </c>
      <c r="E19" s="11">
        <f t="shared" si="0"/>
        <v>167746.88999999996</v>
      </c>
      <c r="F19" s="9" t="s">
        <v>94</v>
      </c>
    </row>
    <row r="20" spans="1:6" x14ac:dyDescent="0.6">
      <c r="A20" s="10">
        <v>45468</v>
      </c>
      <c r="B20" s="9" t="s">
        <v>110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104</v>
      </c>
    </row>
    <row r="21" spans="1:6" x14ac:dyDescent="0.6">
      <c r="A21" s="10">
        <v>45471</v>
      </c>
      <c r="B21" s="9" t="s">
        <v>95</v>
      </c>
      <c r="C21" s="11">
        <v>192</v>
      </c>
      <c r="D21" s="11">
        <v>0</v>
      </c>
      <c r="E21" s="11">
        <f t="shared" si="1"/>
        <v>167659.89999999997</v>
      </c>
      <c r="F21" s="9" t="s">
        <v>94</v>
      </c>
    </row>
    <row r="22" spans="1:6" x14ac:dyDescent="0.6">
      <c r="A22" s="10">
        <v>45473</v>
      </c>
      <c r="B22" s="9" t="s">
        <v>96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2026-01-03T15:04:11Z</dcterms:modified>
  <cp:category/>
  <cp:contentStatus/>
</cp:coreProperties>
</file>