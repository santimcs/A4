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3835" windowHeight="9000"/>
  </bookViews>
  <sheets>
    <sheet name="SCIB" sheetId="1" r:id="rId1"/>
    <sheet name="BBL-2507" sheetId="17" r:id="rId2"/>
    <sheet name="BBL-2506" sheetId="16" r:id="rId3"/>
    <sheet name="BBL-2505" sheetId="15" r:id="rId4"/>
    <sheet name="BBL-2504" sheetId="14" r:id="rId5"/>
    <sheet name="BBL-2503" sheetId="13" r:id="rId6"/>
    <sheet name="BBL-2502" sheetId="12" r:id="rId7"/>
    <sheet name="BBL-2501" sheetId="11" r:id="rId8"/>
    <sheet name="BBL-12" sheetId="10" r:id="rId9"/>
    <sheet name="BBL-11" sheetId="9" r:id="rId10"/>
    <sheet name="BBL-10" sheetId="8" r:id="rId11"/>
    <sheet name="BBL-09" sheetId="6" r:id="rId12"/>
    <sheet name="BBL-08" sheetId="5" r:id="rId13"/>
    <sheet name="BBL-07" sheetId="4" r:id="rId14"/>
    <sheet name="BBL-06" sheetId="3" r:id="rId1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<sst xmlns="http://schemas.openxmlformats.org/spreadsheetml/2006/main" count="1238" uniqueCount="165">
  <si>
    <t>TRANSACT</t>
  </si>
  <si>
    <t>EFFECTIVE</t>
  </si>
  <si>
    <t>ITEM</t>
  </si>
  <si>
    <t>DEBIT</t>
  </si>
  <si>
    <t>CREDIT</t>
  </si>
  <si>
    <t>BALANCE</t>
  </si>
  <si>
    <t xml:space="preserve"> </t>
  </si>
  <si>
    <t>Credit Card</t>
  </si>
  <si>
    <t>To BBL</t>
  </si>
  <si>
    <t>To BAY</t>
  </si>
  <si>
    <t>BCH</t>
  </si>
  <si>
    <t>FEE</t>
  </si>
  <si>
    <t>TFFIF</t>
  </si>
  <si>
    <t>?</t>
  </si>
  <si>
    <t>STA</t>
  </si>
  <si>
    <t>Insurance</t>
  </si>
  <si>
    <t>SMS</t>
  </si>
  <si>
    <t>Credit Card Fee</t>
  </si>
  <si>
    <t>SSF</t>
  </si>
  <si>
    <t>BEM</t>
  </si>
  <si>
    <t>CRC</t>
  </si>
  <si>
    <t>MAM</t>
  </si>
  <si>
    <t>Mother</t>
  </si>
  <si>
    <t>To SCB</t>
  </si>
  <si>
    <t>ATM</t>
  </si>
  <si>
    <t>DIF</t>
  </si>
  <si>
    <t>GVREIT</t>
  </si>
  <si>
    <t>Car Inurance</t>
  </si>
  <si>
    <t>DIF-Div</t>
  </si>
  <si>
    <t xml:space="preserve">DIF </t>
  </si>
  <si>
    <t>GVREIT-Div</t>
  </si>
  <si>
    <t>CPNREIT-Div</t>
  </si>
  <si>
    <t>POM</t>
  </si>
  <si>
    <t>3BBIF-Div</t>
  </si>
  <si>
    <t>TFFIF-Div</t>
  </si>
  <si>
    <t>WHART-Div</t>
  </si>
  <si>
    <t>Tax</t>
  </si>
  <si>
    <t>AIMIRT-Div</t>
  </si>
  <si>
    <t>WHAIR-Div</t>
  </si>
  <si>
    <t>Yothin</t>
  </si>
  <si>
    <t>To TTB</t>
  </si>
  <si>
    <t>SCC-Div</t>
  </si>
  <si>
    <t>PTTGC-Div</t>
  </si>
  <si>
    <t>ASK-Div</t>
  </si>
  <si>
    <t>TMT-Div</t>
  </si>
  <si>
    <t>MCS-Div</t>
  </si>
  <si>
    <t>JMT-Div</t>
  </si>
  <si>
    <t>POM SCB</t>
  </si>
  <si>
    <t>STA-Div</t>
  </si>
  <si>
    <t>SYNEX-Div</t>
  </si>
  <si>
    <t>NER-Div</t>
  </si>
  <si>
    <t>KCE-Div</t>
  </si>
  <si>
    <t>ASP-Div</t>
  </si>
  <si>
    <t>RCL-Div</t>
  </si>
  <si>
    <t>PTG-Div</t>
  </si>
  <si>
    <t>BCH-Div</t>
  </si>
  <si>
    <t>IVL-Div</t>
  </si>
  <si>
    <t>ORI-Div</t>
  </si>
  <si>
    <t>AWC-Div</t>
  </si>
  <si>
    <t>SENA-Div</t>
  </si>
  <si>
    <t>AH-Div</t>
  </si>
  <si>
    <t>TOA-Div</t>
  </si>
  <si>
    <t>WHART</t>
  </si>
  <si>
    <t>MAM-3BBIF</t>
  </si>
  <si>
    <t>DONATE</t>
  </si>
  <si>
    <t>JMT</t>
  </si>
  <si>
    <t>Chanin</t>
  </si>
  <si>
    <t>Veerapong</t>
  </si>
  <si>
    <t>To BAY?</t>
  </si>
  <si>
    <t>True Vision</t>
  </si>
  <si>
    <t>IVL</t>
  </si>
  <si>
    <t>AIMIRT</t>
  </si>
  <si>
    <t>ORI</t>
  </si>
  <si>
    <t>BBL</t>
  </si>
  <si>
    <t>CPNREIT</t>
  </si>
  <si>
    <t>3BBIF</t>
  </si>
  <si>
    <t>3BBIF-MAM</t>
  </si>
  <si>
    <t>MCS</t>
  </si>
  <si>
    <t>Adjust</t>
  </si>
  <si>
    <t>JMART-Div</t>
  </si>
  <si>
    <t>ASK</t>
  </si>
  <si>
    <t>TVO</t>
  </si>
  <si>
    <t>NER-W2</t>
  </si>
  <si>
    <t>ATM FEE</t>
  </si>
  <si>
    <t>Revenue</t>
  </si>
  <si>
    <t>TMT</t>
  </si>
  <si>
    <t>TFR TO OTH</t>
  </si>
  <si>
    <t>3BBIF-Mam</t>
  </si>
  <si>
    <t>TFR TO BBL</t>
  </si>
  <si>
    <t>TFR TO BAY</t>
  </si>
  <si>
    <t xml:space="preserve">KCE </t>
  </si>
  <si>
    <t>TTB</t>
  </si>
  <si>
    <t>Funeral</t>
  </si>
  <si>
    <t>Pom</t>
  </si>
  <si>
    <t>TVO-Div</t>
  </si>
  <si>
    <t xml:space="preserve">ASP  </t>
  </si>
  <si>
    <t xml:space="preserve">WHAIR </t>
  </si>
  <si>
    <t>Plum Condo</t>
  </si>
  <si>
    <t xml:space="preserve">NER </t>
  </si>
  <si>
    <t>WHAIR</t>
  </si>
  <si>
    <t>NER</t>
  </si>
  <si>
    <t xml:space="preserve">SYNEX </t>
  </si>
  <si>
    <t xml:space="preserve">JMART </t>
  </si>
  <si>
    <t xml:space="preserve">AIMIRT  </t>
  </si>
  <si>
    <t xml:space="preserve">PTT  </t>
  </si>
  <si>
    <t xml:space="preserve">RCL </t>
  </si>
  <si>
    <t>RCL</t>
  </si>
  <si>
    <t>CPF</t>
  </si>
  <si>
    <t>ORI-W2</t>
  </si>
  <si>
    <t xml:space="preserve">MCS </t>
  </si>
  <si>
    <t>PTT</t>
  </si>
  <si>
    <t>A/C</t>
  </si>
  <si>
    <t>WHART-Refund</t>
  </si>
  <si>
    <t>CPNREIT-Refund</t>
  </si>
  <si>
    <t>CPNREIT-Pom</t>
  </si>
  <si>
    <t>Food</t>
  </si>
  <si>
    <t>CPF-Div</t>
  </si>
  <si>
    <t>PTT-Div</t>
  </si>
  <si>
    <t>BAY</t>
  </si>
  <si>
    <t>Supalai</t>
  </si>
  <si>
    <t>Medicine</t>
  </si>
  <si>
    <t>26/1/10</t>
  </si>
  <si>
    <t>ATM fee</t>
  </si>
  <si>
    <t>Tax refund</t>
  </si>
  <si>
    <t>Vehicle Insur</t>
  </si>
  <si>
    <t>Earthquake</t>
  </si>
  <si>
    <t>ADVANC</t>
  </si>
  <si>
    <t xml:space="preserve">TFFIF </t>
  </si>
  <si>
    <t xml:space="preserve">SCC </t>
  </si>
  <si>
    <t>Regent A/C</t>
  </si>
  <si>
    <t>PROSPECT</t>
  </si>
  <si>
    <t>lenovo</t>
  </si>
  <si>
    <t>PROSPECT-Div</t>
  </si>
  <si>
    <t>Mam</t>
  </si>
  <si>
    <t>Date</t>
  </si>
  <si>
    <t>Transaction</t>
  </si>
  <si>
    <t>Debit</t>
  </si>
  <si>
    <t>Credit</t>
  </si>
  <si>
    <t>Balance</t>
  </si>
  <si>
    <t>Method</t>
  </si>
  <si>
    <t>Balance Forward</t>
  </si>
  <si>
    <t>BBL CREDIT CARD</t>
  </si>
  <si>
    <t>TRF FR OTH BK</t>
  </si>
  <si>
    <t>mPhone</t>
  </si>
  <si>
    <t>TRF PROMPTPAY</t>
  </si>
  <si>
    <t>PMT FOR GOODS</t>
  </si>
  <si>
    <t>TRF TO OTH BK</t>
  </si>
  <si>
    <t>TRANSFER</t>
  </si>
  <si>
    <t>B/F</t>
  </si>
  <si>
    <t>Maam</t>
  </si>
  <si>
    <t>Rent</t>
  </si>
  <si>
    <t>INTEREST PAID</t>
  </si>
  <si>
    <t>Auto</t>
  </si>
  <si>
    <t>ATM ANNUAL FEE</t>
  </si>
  <si>
    <t>Prompt Pay</t>
  </si>
  <si>
    <t>dtac+netflix</t>
  </si>
  <si>
    <t>From BAY</t>
  </si>
  <si>
    <t>CASH DEPOSIT</t>
  </si>
  <si>
    <t>Bed</t>
  </si>
  <si>
    <t>JAS</t>
  </si>
  <si>
    <t>BBQ</t>
  </si>
  <si>
    <t>SHARE PAYMENT</t>
  </si>
  <si>
    <t>LTF</t>
  </si>
  <si>
    <t>TRF. PROMPTPAY</t>
  </si>
  <si>
    <t>SMART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</si>
</sst>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&quot;฿&quot;#,##0.00"/>
    <numFmt numFmtId="179" formatCode="[$-1010000]d/m/yyyy;@"/>
    <numFmt numFmtId="180" formatCode="yyyy/mm/dd;@"/>
    <numFmt numFmtId="181" formatCode="[$-409]d\-mmm\-yyyy;@"/>
    <numFmt numFmtId="182" formatCode="[$฿-41E]#,##0.00"/>
    <numFmt numFmtId="183" formatCode="dd/mm/yy;@"/>
    <numFmt numFmtId="184" formatCode="yyyy\-mm\-dd;@"/>
    <numFmt numFmtId="185" formatCode="#,##0.00000000000"/>
    <numFmt numFmtId="186" formatCode="#,##0.0"/>
    <numFmt numFmtId="187" formatCode="#,##0.0000000000"/>
  </numFmts>
  <fonts count="31">
    <font>
      <sz val="14"/>
      <color rgb="FF000000"/>
      <name val="Cordia New"/>
      <charset val="134"/>
    </font>
    <font>
      <sz val="10"/>
      <color rgb="FF000000"/>
      <name val="Calibri"/>
      <charset val="134"/>
    </font>
    <font>
      <sz val="14"/>
      <color rgb="FF000000"/>
      <name val="Calibri"/>
      <charset val="134"/>
    </font>
    <font>
      <b/>
      <sz val="14"/>
      <color rgb="FF000000"/>
      <name val="Calibri"/>
      <charset val="134"/>
    </font>
    <font>
      <sz val="14"/>
      <name val="Calibri"/>
      <charset val="134"/>
    </font>
    <font>
      <sz val="14"/>
      <color rgb="FF333333"/>
      <name val="Calibri"/>
      <charset val="134"/>
    </font>
    <font>
      <sz val="10"/>
      <color rgb="FF333333"/>
      <name val="Verdana"/>
      <charset val="134"/>
    </font>
    <font>
      <sz val="14"/>
      <color theme="1"/>
      <name val="Calibri"/>
      <charset val="134"/>
      <scheme val="minor"/>
    </font>
    <font>
      <b/>
      <sz val="10"/>
      <color rgb="FF333333"/>
      <name val="Verdana"/>
      <charset val="134"/>
    </font>
    <font>
      <b/>
      <sz val="14"/>
      <name val="Calibri"/>
      <charset val="134"/>
    </font>
    <font>
      <sz val="14"/>
      <color rgb="FF333333"/>
      <name val="Calibri"/>
      <charset val="134"/>
      <scheme val="minor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1" fillId="0" borderId="0" applyFont="0" applyFill="0" applyBorder="0" applyAlignment="0" applyProtection="0">
      <alignment vertical="center"/>
    </xf>
    <xf numFmtId="44" fontId="11" fillId="0" borderId="0" applyFont="0" applyFill="0" applyBorder="0" applyAlignment="0" applyProtection="0">
      <alignment vertical="center"/>
    </xf>
    <xf numFmtId="9" fontId="11" fillId="0" borderId="0" applyFont="0" applyFill="0" applyBorder="0" applyAlignment="0" applyProtection="0">
      <alignment vertical="center"/>
    </xf>
    <xf numFmtId="177" fontId="11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1" fillId="3" borderId="1" applyNumberFormat="0" applyFon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2" applyNumberFormat="0" applyFill="0" applyAlignment="0" applyProtection="0">
      <alignment vertical="center"/>
    </xf>
    <xf numFmtId="0" fontId="18" fillId="0" borderId="2" applyNumberFormat="0" applyFill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4" borderId="4" applyNumberFormat="0" applyAlignment="0" applyProtection="0">
      <alignment vertical="center"/>
    </xf>
    <xf numFmtId="0" fontId="21" fillId="5" borderId="5" applyNumberFormat="0" applyAlignment="0" applyProtection="0">
      <alignment vertical="center"/>
    </xf>
    <xf numFmtId="0" fontId="22" fillId="5" borderId="4" applyNumberFormat="0" applyAlignment="0" applyProtection="0">
      <alignment vertical="center"/>
    </xf>
    <xf numFmtId="0" fontId="23" fillId="6" borderId="6" applyNumberFormat="0" applyAlignment="0" applyProtection="0">
      <alignment vertical="center"/>
    </xf>
    <xf numFmtId="0" fontId="24" fillId="0" borderId="7" applyNumberFormat="0" applyFill="0" applyAlignment="0" applyProtection="0">
      <alignment vertical="center"/>
    </xf>
    <xf numFmtId="0" fontId="25" fillId="0" borderId="8" applyNumberFormat="0" applyFill="0" applyAlignment="0" applyProtection="0">
      <alignment vertical="center"/>
    </xf>
    <xf numFmtId="0" fontId="26" fillId="7" borderId="0" applyNumberFormat="0" applyBorder="0" applyAlignment="0" applyProtection="0">
      <alignment vertical="center"/>
    </xf>
    <xf numFmtId="0" fontId="27" fillId="8" borderId="0" applyNumberFormat="0" applyBorder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0" fillId="12" borderId="0" applyNumberFormat="0" applyBorder="0" applyAlignment="0" applyProtection="0">
      <alignment vertical="center"/>
    </xf>
    <xf numFmtId="0" fontId="29" fillId="13" borderId="0" applyNumberFormat="0" applyBorder="0" applyAlignment="0" applyProtection="0">
      <alignment vertical="center"/>
    </xf>
    <xf numFmtId="0" fontId="29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0" fillId="16" borderId="0" applyNumberFormat="0" applyBorder="0" applyAlignment="0" applyProtection="0">
      <alignment vertical="center"/>
    </xf>
    <xf numFmtId="0" fontId="29" fillId="17" borderId="0" applyNumberFormat="0" applyBorder="0" applyAlignment="0" applyProtection="0">
      <alignment vertical="center"/>
    </xf>
    <xf numFmtId="0" fontId="29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0" fillId="20" borderId="0" applyNumberFormat="0" applyBorder="0" applyAlignment="0" applyProtection="0">
      <alignment vertical="center"/>
    </xf>
    <xf numFmtId="0" fontId="29" fillId="21" borderId="0" applyNumberFormat="0" applyBorder="0" applyAlignment="0" applyProtection="0">
      <alignment vertical="center"/>
    </xf>
    <xf numFmtId="0" fontId="29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24" borderId="0" applyNumberFormat="0" applyBorder="0" applyAlignment="0" applyProtection="0">
      <alignment vertical="center"/>
    </xf>
    <xf numFmtId="0" fontId="29" fillId="25" borderId="0" applyNumberFormat="0" applyBorder="0" applyAlignment="0" applyProtection="0">
      <alignment vertical="center"/>
    </xf>
    <xf numFmtId="0" fontId="29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28" borderId="0" applyNumberFormat="0" applyBorder="0" applyAlignment="0" applyProtection="0">
      <alignment vertical="center"/>
    </xf>
    <xf numFmtId="0" fontId="29" fillId="29" borderId="0" applyNumberFormat="0" applyBorder="0" applyAlignment="0" applyProtection="0">
      <alignment vertical="center"/>
    </xf>
    <xf numFmtId="0" fontId="29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0" fillId="32" borderId="0" applyNumberFormat="0" applyBorder="0" applyAlignment="0" applyProtection="0">
      <alignment vertical="center"/>
    </xf>
    <xf numFmtId="0" fontId="29" fillId="33" borderId="0" applyNumberFormat="0" applyBorder="0" applyAlignment="0" applyProtection="0">
      <alignment vertical="center"/>
    </xf>
  </cellStyleXfs>
  <cellXfs count="37">
    <xf numFmtId="0" fontId="0" fillId="0" borderId="0" xfId="0"/>
    <xf numFmtId="178" fontId="0" fillId="0" borderId="0" xfId="0" applyNumberFormat="1"/>
    <xf numFmtId="0" fontId="1" fillId="0" borderId="0" xfId="0" applyFont="1"/>
    <xf numFmtId="178" fontId="1" fillId="0" borderId="0" xfId="0" applyNumberFormat="1" applyFont="1"/>
    <xf numFmtId="58" fontId="1" fillId="0" borderId="0" xfId="0" applyNumberFormat="1" applyFont="1"/>
    <xf numFmtId="179" fontId="0" fillId="0" borderId="0" xfId="0" applyNumberFormat="1"/>
    <xf numFmtId="180" fontId="0" fillId="0" borderId="0" xfId="0" applyNumberFormat="1"/>
    <xf numFmtId="180" fontId="1" fillId="0" borderId="0" xfId="0" applyNumberFormat="1" applyFont="1"/>
    <xf numFmtId="0" fontId="0" fillId="0" borderId="0" xfId="0" applyFont="1"/>
    <xf numFmtId="181" fontId="0" fillId="0" borderId="0" xfId="0" applyNumberFormat="1"/>
    <xf numFmtId="181" fontId="1" fillId="0" borderId="0" xfId="0" applyNumberFormat="1" applyFont="1"/>
    <xf numFmtId="182" fontId="0" fillId="0" borderId="0" xfId="0" applyNumberFormat="1"/>
    <xf numFmtId="183" fontId="0" fillId="0" borderId="0" xfId="0" applyNumberFormat="1"/>
    <xf numFmtId="183" fontId="1" fillId="0" borderId="0" xfId="0" applyNumberFormat="1" applyFont="1"/>
    <xf numFmtId="184" fontId="2" fillId="0" borderId="0" xfId="0" applyNumberFormat="1" applyFont="1"/>
    <xf numFmtId="0" fontId="2" fillId="0" borderId="0" xfId="0" applyFont="1"/>
    <xf numFmtId="178" fontId="2" fillId="0" borderId="0" xfId="0" applyNumberFormat="1" applyFont="1"/>
    <xf numFmtId="184" fontId="3" fillId="0" borderId="0" xfId="0" applyNumberFormat="1" applyFont="1"/>
    <xf numFmtId="0" fontId="3" fillId="0" borderId="0" xfId="0" applyFont="1"/>
    <xf numFmtId="178" fontId="3" fillId="0" borderId="0" xfId="0" applyNumberFormat="1" applyFont="1"/>
    <xf numFmtId="184" fontId="4" fillId="0" borderId="0" xfId="0" applyNumberFormat="1" applyFont="1"/>
    <xf numFmtId="0" fontId="4" fillId="0" borderId="0" xfId="0" applyFont="1"/>
    <xf numFmtId="178" fontId="5" fillId="0" borderId="0" xfId="0" applyNumberFormat="1" applyFont="1"/>
    <xf numFmtId="178" fontId="4" fillId="0" borderId="0" xfId="0" applyNumberFormat="1" applyFont="1"/>
    <xf numFmtId="16" fontId="2" fillId="0" borderId="0" xfId="0" applyNumberFormat="1" applyFont="1"/>
    <xf numFmtId="4" fontId="6" fillId="0" borderId="0" xfId="0" applyNumberFormat="1" applyFont="1"/>
    <xf numFmtId="4" fontId="5" fillId="0" borderId="0" xfId="0" applyNumberFormat="1" applyFont="1"/>
    <xf numFmtId="4" fontId="2" fillId="0" borderId="0" xfId="0" applyNumberFormat="1" applyFont="1"/>
    <xf numFmtId="182" fontId="7" fillId="0" borderId="0" xfId="0" applyNumberFormat="1" applyFont="1"/>
    <xf numFmtId="4" fontId="8" fillId="0" borderId="0" xfId="0" applyNumberFormat="1" applyFont="1"/>
    <xf numFmtId="178" fontId="9" fillId="0" borderId="0" xfId="0" applyNumberFormat="1" applyFont="1"/>
    <xf numFmtId="185" fontId="2" fillId="0" borderId="0" xfId="0" applyNumberFormat="1" applyFont="1"/>
    <xf numFmtId="4" fontId="10" fillId="0" borderId="0" xfId="0" applyNumberFormat="1" applyFont="1"/>
    <xf numFmtId="186" fontId="2" fillId="0" borderId="0" xfId="0" applyNumberFormat="1" applyFont="1"/>
    <xf numFmtId="187" fontId="2" fillId="0" borderId="0" xfId="0" applyNumberFormat="1" applyFont="1"/>
    <xf numFmtId="178" fontId="5" fillId="2" borderId="0" xfId="0" applyNumberFormat="1" applyFont="1" applyFill="1"/>
    <xf numFmtId="4" fontId="10" fillId="2" borderId="0" xfId="0" applyNumberFormat="1" applyFont="1" applyFill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8" Type="http://schemas.openxmlformats.org/officeDocument/2006/relationships/styles" Target="styles.xml"/><Relationship Id="rId17" Type="http://schemas.openxmlformats.org/officeDocument/2006/relationships/sharedStrings" Target="sharedStrings.xml"/><Relationship Id="rId16" Type="http://schemas.openxmlformats.org/officeDocument/2006/relationships/theme" Target="theme/theme1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606"/>
  <sheetViews>
    <sheetView tabSelected="1" workbookViewId="0">
      <pane ySplit="2" topLeftCell="A587" activePane="bottomLeft" state="frozen"/>
      <selection/>
      <selection pane="bottomLeft" activeCell="E606" sqref="E606"/>
    </sheetView>
  </sheetViews>
  <sheetFormatPr defaultColWidth="10.125" defaultRowHeight="15" customHeight="1" outlineLevelCol="7"/>
  <cols>
    <col min="1" max="2" width="15" style="14" customWidth="1"/>
    <col min="3" max="3" width="15.75" style="15" customWidth="1"/>
    <col min="4" max="4" width="16.375" style="16" customWidth="1"/>
    <col min="5" max="5" width="16" style="16" customWidth="1"/>
    <col min="6" max="6" width="16.375" style="15" customWidth="1"/>
    <col min="7" max="7" width="14.75" style="15" customWidth="1"/>
    <col min="8" max="8" width="25.625" style="15" customWidth="1"/>
    <col min="9" max="11" width="10.125" style="15"/>
    <col min="12" max="12" width="10.25" style="15" customWidth="1"/>
    <col min="13" max="16384" width="10.125" style="15"/>
  </cols>
  <sheetData>
    <row r="1" customHeight="1" spans="1:6">
      <c r="A1" s="17" t="s">
        <v>0</v>
      </c>
      <c r="B1" s="17" t="s">
        <v>1</v>
      </c>
      <c r="C1" s="18" t="s">
        <v>2</v>
      </c>
      <c r="D1" s="19" t="s">
        <v>3</v>
      </c>
      <c r="E1" s="19" t="s">
        <v>4</v>
      </c>
      <c r="F1" s="15" t="s">
        <v>5</v>
      </c>
    </row>
    <row r="2" customHeight="1" spans="1:6">
      <c r="A2" s="20" t="s">
        <v>6</v>
      </c>
      <c r="B2" s="20">
        <v>44927</v>
      </c>
      <c r="C2" s="21" t="s">
        <v>7</v>
      </c>
      <c r="D2" s="22">
        <v>1310</v>
      </c>
      <c r="E2" s="22">
        <v>0</v>
      </c>
      <c r="F2" s="23">
        <v>214038.730000001</v>
      </c>
    </row>
    <row r="3" customHeight="1" spans="1:6">
      <c r="A3" s="20" t="s">
        <v>6</v>
      </c>
      <c r="B3" s="20">
        <v>45293</v>
      </c>
      <c r="C3" s="21" t="s">
        <v>8</v>
      </c>
      <c r="D3" s="22">
        <v>30000</v>
      </c>
      <c r="E3" s="22">
        <v>0</v>
      </c>
      <c r="F3" s="23">
        <v>37293.86</v>
      </c>
    </row>
    <row r="4" customHeight="1" spans="1:6">
      <c r="A4" s="20" t="s">
        <v>6</v>
      </c>
      <c r="B4" s="20">
        <v>45293</v>
      </c>
      <c r="C4" s="21" t="s">
        <v>9</v>
      </c>
      <c r="D4" s="22">
        <v>30000</v>
      </c>
      <c r="E4" s="22">
        <v>0</v>
      </c>
      <c r="F4" s="23">
        <f t="shared" ref="F4:F6" si="0">F3-D4+E4</f>
        <v>7293.86</v>
      </c>
    </row>
    <row r="5" customHeight="1" spans="1:6">
      <c r="A5" s="20">
        <v>45287</v>
      </c>
      <c r="B5" s="20">
        <v>45293</v>
      </c>
      <c r="C5" s="24" t="s">
        <v>10</v>
      </c>
      <c r="D5" s="16">
        <v>0</v>
      </c>
      <c r="E5" s="16">
        <v>89401.55</v>
      </c>
      <c r="F5" s="23">
        <f t="shared" si="0"/>
        <v>96695.41</v>
      </c>
    </row>
    <row r="6" customHeight="1" spans="1:6">
      <c r="A6" s="20">
        <v>45287</v>
      </c>
      <c r="B6" s="20">
        <v>45293</v>
      </c>
      <c r="C6" s="21" t="s">
        <v>11</v>
      </c>
      <c r="D6" s="22">
        <v>14.98</v>
      </c>
      <c r="E6" s="22">
        <v>0</v>
      </c>
      <c r="F6" s="23">
        <f t="shared" si="0"/>
        <v>96680.43</v>
      </c>
    </row>
    <row r="7" customHeight="1" spans="1:6">
      <c r="A7" s="20">
        <v>45293</v>
      </c>
      <c r="B7" s="20">
        <v>45295</v>
      </c>
      <c r="C7" s="24" t="s">
        <v>12</v>
      </c>
      <c r="D7" s="16">
        <v>0</v>
      </c>
      <c r="E7" s="16">
        <v>16712.9</v>
      </c>
      <c r="F7" s="23">
        <v>113393.34694</v>
      </c>
    </row>
    <row r="8" customHeight="1" spans="1:6">
      <c r="A8" s="20">
        <v>45293</v>
      </c>
      <c r="B8" s="20">
        <v>45295</v>
      </c>
      <c r="C8" s="21" t="s">
        <v>11</v>
      </c>
      <c r="D8" s="22">
        <v>14.98</v>
      </c>
      <c r="E8" s="22">
        <v>0</v>
      </c>
      <c r="F8" s="23">
        <f t="shared" ref="F8:F15" si="1">F7-D8+E8</f>
        <v>113378.36694</v>
      </c>
    </row>
    <row r="9" customHeight="1" spans="1:6">
      <c r="A9" s="20" t="s">
        <v>6</v>
      </c>
      <c r="B9" s="20">
        <v>45295</v>
      </c>
      <c r="C9" s="21" t="s">
        <v>13</v>
      </c>
      <c r="D9" s="22">
        <v>5900</v>
      </c>
      <c r="E9" s="22">
        <v>0</v>
      </c>
      <c r="F9" s="23">
        <f t="shared" si="1"/>
        <v>107478.36694</v>
      </c>
    </row>
    <row r="10" customHeight="1" spans="1:6">
      <c r="A10" s="20">
        <v>45294</v>
      </c>
      <c r="B10" s="20">
        <v>45296</v>
      </c>
      <c r="C10" s="24" t="s">
        <v>14</v>
      </c>
      <c r="D10" s="16">
        <v>0</v>
      </c>
      <c r="E10" s="16">
        <v>42156.42</v>
      </c>
      <c r="F10" s="23">
        <f t="shared" si="1"/>
        <v>149634.78694</v>
      </c>
    </row>
    <row r="11" customHeight="1" spans="1:6">
      <c r="A11" s="20">
        <v>45294</v>
      </c>
      <c r="B11" s="20">
        <v>45296</v>
      </c>
      <c r="C11" s="21" t="s">
        <v>11</v>
      </c>
      <c r="D11" s="22">
        <v>14.98</v>
      </c>
      <c r="E11" s="22">
        <v>0</v>
      </c>
      <c r="F11" s="23">
        <f t="shared" si="1"/>
        <v>149619.80694</v>
      </c>
    </row>
    <row r="12" customHeight="1" spans="1:6">
      <c r="A12" s="20">
        <v>45295</v>
      </c>
      <c r="B12" s="20">
        <v>45299</v>
      </c>
      <c r="C12" s="24" t="s">
        <v>12</v>
      </c>
      <c r="D12" s="16">
        <v>0</v>
      </c>
      <c r="E12" s="16">
        <v>17461.23</v>
      </c>
      <c r="F12" s="23">
        <f t="shared" si="1"/>
        <v>167081.03694</v>
      </c>
    </row>
    <row r="13" customHeight="1" spans="1:6">
      <c r="A13" s="20">
        <v>45295</v>
      </c>
      <c r="B13" s="20">
        <v>45299</v>
      </c>
      <c r="C13" s="24" t="s">
        <v>10</v>
      </c>
      <c r="D13" s="16">
        <v>0</v>
      </c>
      <c r="E13" s="16">
        <v>45698.55</v>
      </c>
      <c r="F13" s="23">
        <f t="shared" si="1"/>
        <v>212779.58694</v>
      </c>
    </row>
    <row r="14" customHeight="1" spans="1:6">
      <c r="A14" s="20">
        <v>45295</v>
      </c>
      <c r="B14" s="20">
        <v>45299</v>
      </c>
      <c r="C14" s="21" t="s">
        <v>11</v>
      </c>
      <c r="D14" s="22">
        <v>14.98</v>
      </c>
      <c r="E14" s="22">
        <v>0</v>
      </c>
      <c r="F14" s="23">
        <f t="shared" si="1"/>
        <v>212764.60694</v>
      </c>
    </row>
    <row r="15" customHeight="1" spans="1:6">
      <c r="A15" s="20" t="s">
        <v>6</v>
      </c>
      <c r="B15" s="20">
        <v>45302</v>
      </c>
      <c r="C15" s="21" t="s">
        <v>15</v>
      </c>
      <c r="D15" s="22">
        <v>8075</v>
      </c>
      <c r="E15" s="22">
        <v>0</v>
      </c>
      <c r="F15" s="23">
        <f t="shared" si="1"/>
        <v>204689.60694</v>
      </c>
    </row>
    <row r="16" customHeight="1" spans="1:6">
      <c r="A16" s="20" t="s">
        <v>6</v>
      </c>
      <c r="B16" s="20">
        <v>45304</v>
      </c>
      <c r="C16" s="21" t="s">
        <v>16</v>
      </c>
      <c r="D16" s="22">
        <v>20</v>
      </c>
      <c r="E16" s="22">
        <v>0</v>
      </c>
      <c r="F16" s="23">
        <f t="shared" ref="F16:F31" si="2">F15-D16+E16</f>
        <v>204669.60694</v>
      </c>
    </row>
    <row r="17" customHeight="1" spans="1:6">
      <c r="A17" s="20" t="s">
        <v>6</v>
      </c>
      <c r="B17" s="20">
        <v>45305</v>
      </c>
      <c r="C17" s="21" t="s">
        <v>17</v>
      </c>
      <c r="D17" s="22">
        <v>250</v>
      </c>
      <c r="E17" s="22">
        <v>0</v>
      </c>
      <c r="F17" s="23">
        <f t="shared" si="2"/>
        <v>204419.60694</v>
      </c>
    </row>
    <row r="18" customHeight="1" spans="1:6">
      <c r="A18" s="20" t="s">
        <v>6</v>
      </c>
      <c r="B18" s="20">
        <v>45306</v>
      </c>
      <c r="C18" s="21" t="s">
        <v>18</v>
      </c>
      <c r="D18" s="22">
        <v>432</v>
      </c>
      <c r="E18" s="22">
        <v>0</v>
      </c>
      <c r="F18" s="23">
        <f t="shared" si="2"/>
        <v>203987.60694</v>
      </c>
    </row>
    <row r="19" customHeight="1" spans="1:6">
      <c r="A19" s="20">
        <v>45310</v>
      </c>
      <c r="B19" s="20">
        <v>45314</v>
      </c>
      <c r="C19" s="24" t="s">
        <v>19</v>
      </c>
      <c r="D19" s="16">
        <v>22549.84</v>
      </c>
      <c r="E19" s="16">
        <v>0</v>
      </c>
      <c r="F19" s="23">
        <f t="shared" si="2"/>
        <v>181437.76694</v>
      </c>
    </row>
    <row r="20" customHeight="1" spans="1:6">
      <c r="A20" s="20">
        <v>45310</v>
      </c>
      <c r="B20" s="20">
        <v>45314</v>
      </c>
      <c r="C20" s="24" t="s">
        <v>20</v>
      </c>
      <c r="D20" s="16">
        <v>21046.51</v>
      </c>
      <c r="E20" s="16">
        <v>0</v>
      </c>
      <c r="F20" s="23">
        <f t="shared" si="2"/>
        <v>160391.25694</v>
      </c>
    </row>
    <row r="21" customHeight="1" spans="1:6">
      <c r="A21" s="20">
        <v>45310</v>
      </c>
      <c r="B21" s="20">
        <v>45314</v>
      </c>
      <c r="C21" s="21" t="s">
        <v>11</v>
      </c>
      <c r="D21" s="22">
        <v>14.98</v>
      </c>
      <c r="E21" s="22">
        <v>0</v>
      </c>
      <c r="F21" s="23">
        <f t="shared" si="2"/>
        <v>160376.27694</v>
      </c>
    </row>
    <row r="22" customHeight="1" spans="1:6">
      <c r="A22" s="20">
        <v>45315</v>
      </c>
      <c r="B22" s="20">
        <v>45317</v>
      </c>
      <c r="C22" s="24" t="s">
        <v>20</v>
      </c>
      <c r="D22" s="16">
        <v>0</v>
      </c>
      <c r="E22" s="16">
        <v>21103.16</v>
      </c>
      <c r="F22" s="23">
        <f t="shared" si="2"/>
        <v>181479.43694</v>
      </c>
    </row>
    <row r="23" customHeight="1" spans="1:6">
      <c r="A23" s="20">
        <v>45315</v>
      </c>
      <c r="B23" s="20">
        <v>45317</v>
      </c>
      <c r="C23" s="21" t="s">
        <v>11</v>
      </c>
      <c r="D23" s="22">
        <v>14.98</v>
      </c>
      <c r="E23" s="22">
        <v>0</v>
      </c>
      <c r="F23" s="23">
        <f t="shared" si="2"/>
        <v>181464.45694</v>
      </c>
    </row>
    <row r="24" customHeight="1" spans="1:6">
      <c r="A24" s="20" t="s">
        <v>6</v>
      </c>
      <c r="B24" s="20">
        <v>45322</v>
      </c>
      <c r="C24" s="21" t="s">
        <v>21</v>
      </c>
      <c r="D24" s="22">
        <v>10000</v>
      </c>
      <c r="E24" s="22">
        <v>0</v>
      </c>
      <c r="F24" s="23">
        <f t="shared" si="2"/>
        <v>171464.45694</v>
      </c>
    </row>
    <row r="25" customHeight="1" spans="1:6">
      <c r="A25" s="20" t="s">
        <v>6</v>
      </c>
      <c r="B25" s="20">
        <v>45323</v>
      </c>
      <c r="C25" s="21" t="s">
        <v>22</v>
      </c>
      <c r="D25" s="22">
        <v>5000</v>
      </c>
      <c r="E25" s="22">
        <v>0</v>
      </c>
      <c r="F25" s="23">
        <f t="shared" si="2"/>
        <v>166464.45694</v>
      </c>
    </row>
    <row r="26" customHeight="1" spans="1:6">
      <c r="A26" s="20" t="s">
        <v>6</v>
      </c>
      <c r="B26" s="20">
        <v>45323</v>
      </c>
      <c r="C26" s="21" t="s">
        <v>7</v>
      </c>
      <c r="D26" s="22">
        <v>2350</v>
      </c>
      <c r="E26" s="22">
        <v>0</v>
      </c>
      <c r="F26" s="23">
        <f t="shared" si="2"/>
        <v>164114.45694</v>
      </c>
    </row>
    <row r="27" customHeight="1" spans="1:6">
      <c r="A27" s="20" t="s">
        <v>6</v>
      </c>
      <c r="B27" s="20">
        <v>45324</v>
      </c>
      <c r="C27" s="21" t="s">
        <v>23</v>
      </c>
      <c r="D27" s="22">
        <v>51300</v>
      </c>
      <c r="E27" s="22">
        <v>0</v>
      </c>
      <c r="F27" s="23">
        <f t="shared" si="2"/>
        <v>112814.45694</v>
      </c>
    </row>
    <row r="28" customHeight="1" spans="1:6">
      <c r="A28" s="20" t="s">
        <v>6</v>
      </c>
      <c r="B28" s="20">
        <v>45325</v>
      </c>
      <c r="C28" s="21" t="s">
        <v>8</v>
      </c>
      <c r="D28" s="22">
        <v>9000</v>
      </c>
      <c r="E28" s="22">
        <v>0</v>
      </c>
      <c r="F28" s="23">
        <f t="shared" si="2"/>
        <v>103814.45694</v>
      </c>
    </row>
    <row r="29" customHeight="1" spans="1:6">
      <c r="A29" s="20" t="s">
        <v>6</v>
      </c>
      <c r="B29" s="20">
        <v>45330</v>
      </c>
      <c r="C29" s="21" t="s">
        <v>24</v>
      </c>
      <c r="D29" s="22">
        <v>1900</v>
      </c>
      <c r="E29" s="22">
        <v>0</v>
      </c>
      <c r="F29" s="23">
        <f t="shared" si="2"/>
        <v>101914.45694</v>
      </c>
    </row>
    <row r="30" customHeight="1" spans="1:6">
      <c r="A30" s="20">
        <v>45328</v>
      </c>
      <c r="B30" s="20">
        <v>45330</v>
      </c>
      <c r="C30" s="24" t="s">
        <v>19</v>
      </c>
      <c r="D30" s="16">
        <v>0</v>
      </c>
      <c r="E30" s="16">
        <v>22599.83</v>
      </c>
      <c r="F30" s="23">
        <f t="shared" si="2"/>
        <v>124514.28694</v>
      </c>
    </row>
    <row r="31" customHeight="1" spans="1:6">
      <c r="A31" s="20">
        <v>45328</v>
      </c>
      <c r="B31" s="20">
        <v>45330</v>
      </c>
      <c r="C31" s="21" t="s">
        <v>11</v>
      </c>
      <c r="D31" s="22">
        <v>14.98</v>
      </c>
      <c r="E31" s="22">
        <v>0</v>
      </c>
      <c r="F31" s="23">
        <f t="shared" si="2"/>
        <v>124499.30694</v>
      </c>
    </row>
    <row r="32" customHeight="1" spans="1:6">
      <c r="A32" s="20" t="s">
        <v>6</v>
      </c>
      <c r="B32" s="20">
        <v>45331</v>
      </c>
      <c r="C32" s="21" t="s">
        <v>24</v>
      </c>
      <c r="D32" s="22">
        <v>6000</v>
      </c>
      <c r="E32" s="22">
        <v>0</v>
      </c>
      <c r="F32" s="23">
        <f t="shared" ref="F32:F33" si="3">F31-D32+E32</f>
        <v>118499.30694</v>
      </c>
    </row>
    <row r="33" customHeight="1" spans="1:6">
      <c r="A33" s="20" t="s">
        <v>6</v>
      </c>
      <c r="B33" s="20">
        <v>45332</v>
      </c>
      <c r="C33" s="21" t="s">
        <v>16</v>
      </c>
      <c r="D33" s="22">
        <v>20</v>
      </c>
      <c r="E33" s="22">
        <v>0</v>
      </c>
      <c r="F33" s="23">
        <f t="shared" si="3"/>
        <v>118479.30694</v>
      </c>
    </row>
    <row r="34" customHeight="1" spans="1:6">
      <c r="A34" s="20" t="s">
        <v>6</v>
      </c>
      <c r="B34" s="20">
        <v>45332</v>
      </c>
      <c r="C34" s="21" t="s">
        <v>24</v>
      </c>
      <c r="D34" s="22">
        <v>10000</v>
      </c>
      <c r="E34" s="22">
        <v>0</v>
      </c>
      <c r="F34" s="23">
        <f t="shared" ref="F34:F39" si="4">F33-D34+E34</f>
        <v>108479.30694</v>
      </c>
    </row>
    <row r="35" customHeight="1" spans="1:6">
      <c r="A35" s="20">
        <v>45330</v>
      </c>
      <c r="B35" s="20">
        <v>45334</v>
      </c>
      <c r="C35" s="24" t="s">
        <v>25</v>
      </c>
      <c r="D35" s="16">
        <v>23902.83</v>
      </c>
      <c r="E35" s="16">
        <v>0</v>
      </c>
      <c r="F35" s="23">
        <f t="shared" si="4"/>
        <v>84576.4769399999</v>
      </c>
    </row>
    <row r="36" customHeight="1" spans="1:6">
      <c r="A36" s="20">
        <v>45330</v>
      </c>
      <c r="B36" s="20">
        <v>45334</v>
      </c>
      <c r="C36" s="21" t="s">
        <v>11</v>
      </c>
      <c r="D36" s="22">
        <v>14.98</v>
      </c>
      <c r="E36" s="22">
        <v>0</v>
      </c>
      <c r="F36" s="23">
        <f t="shared" si="4"/>
        <v>84561.4969399999</v>
      </c>
    </row>
    <row r="37" customHeight="1" spans="1:6">
      <c r="A37" s="20" t="s">
        <v>6</v>
      </c>
      <c r="B37" s="20">
        <v>45337</v>
      </c>
      <c r="C37" s="21" t="s">
        <v>18</v>
      </c>
      <c r="D37" s="22">
        <v>432</v>
      </c>
      <c r="E37" s="22">
        <v>0</v>
      </c>
      <c r="F37" s="23">
        <f t="shared" si="4"/>
        <v>84129.4969399999</v>
      </c>
    </row>
    <row r="38" customHeight="1" spans="1:6">
      <c r="A38" s="20">
        <v>45337</v>
      </c>
      <c r="B38" s="20">
        <v>45341</v>
      </c>
      <c r="C38" s="24" t="s">
        <v>26</v>
      </c>
      <c r="D38" s="16">
        <v>36079.74</v>
      </c>
      <c r="E38" s="16">
        <v>0</v>
      </c>
      <c r="F38" s="23">
        <f t="shared" si="4"/>
        <v>48049.7569399999</v>
      </c>
    </row>
    <row r="39" customHeight="1" spans="1:6">
      <c r="A39" s="20">
        <v>45337</v>
      </c>
      <c r="B39" s="20">
        <v>45341</v>
      </c>
      <c r="C39" s="21" t="s">
        <v>11</v>
      </c>
      <c r="D39" s="22">
        <v>14.98</v>
      </c>
      <c r="E39" s="22">
        <v>0</v>
      </c>
      <c r="F39" s="23">
        <f t="shared" si="4"/>
        <v>48034.7769399999</v>
      </c>
    </row>
    <row r="40" customHeight="1" spans="1:6">
      <c r="A40" s="20" t="s">
        <v>6</v>
      </c>
      <c r="B40" s="20">
        <v>45343</v>
      </c>
      <c r="C40" s="21" t="s">
        <v>24</v>
      </c>
      <c r="D40" s="22">
        <v>0</v>
      </c>
      <c r="E40" s="22">
        <v>30000</v>
      </c>
      <c r="F40" s="23">
        <f t="shared" ref="F40:F48" si="5">F39-D40+E40</f>
        <v>78034.7769399999</v>
      </c>
    </row>
    <row r="41" customHeight="1" spans="1:6">
      <c r="A41" s="20" t="s">
        <v>6</v>
      </c>
      <c r="B41" s="20">
        <v>45347</v>
      </c>
      <c r="C41" s="21" t="s">
        <v>27</v>
      </c>
      <c r="D41" s="22">
        <v>11600</v>
      </c>
      <c r="E41" s="22">
        <v>0</v>
      </c>
      <c r="F41" s="23">
        <f t="shared" si="5"/>
        <v>66434.7769399999</v>
      </c>
    </row>
    <row r="42" customHeight="1" spans="1:6">
      <c r="A42" s="20" t="s">
        <v>6</v>
      </c>
      <c r="B42" s="20">
        <v>45350</v>
      </c>
      <c r="C42" s="21" t="s">
        <v>24</v>
      </c>
      <c r="D42" s="22">
        <v>42767</v>
      </c>
      <c r="E42" s="22">
        <v>0</v>
      </c>
      <c r="F42" s="23">
        <f t="shared" si="5"/>
        <v>23667.7769399999</v>
      </c>
    </row>
    <row r="43" customHeight="1" spans="1:6">
      <c r="A43" s="20" t="s">
        <v>6</v>
      </c>
      <c r="B43" s="20">
        <v>45351</v>
      </c>
      <c r="C43" s="21" t="s">
        <v>21</v>
      </c>
      <c r="D43" s="22">
        <v>10000</v>
      </c>
      <c r="E43" s="22">
        <v>0</v>
      </c>
      <c r="F43" s="23">
        <f t="shared" si="5"/>
        <v>13667.7769399999</v>
      </c>
    </row>
    <row r="44" customHeight="1" spans="1:6">
      <c r="A44" s="20" t="s">
        <v>6</v>
      </c>
      <c r="B44" s="20">
        <v>45354</v>
      </c>
      <c r="C44" s="21" t="s">
        <v>7</v>
      </c>
      <c r="D44" s="22">
        <v>1310</v>
      </c>
      <c r="E44" s="22">
        <v>0</v>
      </c>
      <c r="F44" s="23">
        <f t="shared" si="5"/>
        <v>12357.7769399999</v>
      </c>
    </row>
    <row r="45" customHeight="1" spans="1:6">
      <c r="A45" s="20" t="s">
        <v>6</v>
      </c>
      <c r="B45" s="20">
        <v>45355</v>
      </c>
      <c r="C45" s="21" t="s">
        <v>28</v>
      </c>
      <c r="D45" s="22">
        <v>0</v>
      </c>
      <c r="E45" s="22">
        <v>6112.8</v>
      </c>
      <c r="F45" s="23">
        <f t="shared" si="5"/>
        <v>18470.5769399999</v>
      </c>
    </row>
    <row r="46" customHeight="1" spans="1:6">
      <c r="A46" s="20" t="s">
        <v>6</v>
      </c>
      <c r="B46" s="20">
        <v>45355</v>
      </c>
      <c r="C46" s="21" t="s">
        <v>8</v>
      </c>
      <c r="D46" s="22">
        <v>10000</v>
      </c>
      <c r="E46" s="22">
        <v>0</v>
      </c>
      <c r="F46" s="23">
        <f t="shared" si="5"/>
        <v>8470.57693999986</v>
      </c>
    </row>
    <row r="47" customHeight="1" spans="1:6">
      <c r="A47" s="20">
        <v>45355</v>
      </c>
      <c r="B47" s="20">
        <v>45357</v>
      </c>
      <c r="C47" s="24" t="s">
        <v>29</v>
      </c>
      <c r="D47" s="16">
        <v>0</v>
      </c>
      <c r="E47" s="16">
        <v>23647.51</v>
      </c>
      <c r="F47" s="23">
        <f t="shared" si="5"/>
        <v>32118.0869399999</v>
      </c>
    </row>
    <row r="48" customHeight="1" spans="1:6">
      <c r="A48" s="20">
        <v>45355</v>
      </c>
      <c r="B48" s="20">
        <v>45357</v>
      </c>
      <c r="C48" s="21" t="s">
        <v>11</v>
      </c>
      <c r="D48" s="22">
        <v>14.98</v>
      </c>
      <c r="E48" s="22">
        <v>0</v>
      </c>
      <c r="F48" s="23">
        <f t="shared" si="5"/>
        <v>32103.1069399999</v>
      </c>
    </row>
    <row r="49" customHeight="1" spans="1:6">
      <c r="A49" s="20" t="s">
        <v>6</v>
      </c>
      <c r="B49" s="20">
        <v>45357</v>
      </c>
      <c r="C49" s="21" t="s">
        <v>8</v>
      </c>
      <c r="D49" s="22">
        <v>12000</v>
      </c>
      <c r="E49" s="22">
        <v>0</v>
      </c>
      <c r="F49" s="23">
        <f t="shared" ref="F49:F58" si="6">F48-D49+E49</f>
        <v>20103.1069399999</v>
      </c>
    </row>
    <row r="50" customHeight="1" spans="1:6">
      <c r="A50" s="20" t="s">
        <v>6</v>
      </c>
      <c r="B50" s="20">
        <v>45360</v>
      </c>
      <c r="C50" s="21" t="s">
        <v>16</v>
      </c>
      <c r="D50" s="22">
        <v>20</v>
      </c>
      <c r="E50" s="22">
        <v>0</v>
      </c>
      <c r="F50" s="23">
        <f t="shared" si="6"/>
        <v>20083.1069399999</v>
      </c>
    </row>
    <row r="51" customHeight="1" spans="1:6">
      <c r="A51" s="20" t="s">
        <v>6</v>
      </c>
      <c r="B51" s="20">
        <v>45364</v>
      </c>
      <c r="C51" s="21" t="s">
        <v>30</v>
      </c>
      <c r="D51" s="22">
        <v>0</v>
      </c>
      <c r="E51" s="22">
        <v>12141.36</v>
      </c>
      <c r="F51" s="23">
        <f t="shared" si="6"/>
        <v>32224.4669399999</v>
      </c>
    </row>
    <row r="52" customHeight="1" spans="1:6">
      <c r="A52" s="20" t="s">
        <v>6</v>
      </c>
      <c r="B52" s="20">
        <v>45364</v>
      </c>
      <c r="C52" s="21" t="s">
        <v>8</v>
      </c>
      <c r="D52" s="22">
        <v>30000</v>
      </c>
      <c r="E52" s="22">
        <v>0</v>
      </c>
      <c r="F52" s="23">
        <v>2224.44</v>
      </c>
    </row>
    <row r="53" customHeight="1" spans="1:6">
      <c r="A53" s="20" t="s">
        <v>6</v>
      </c>
      <c r="B53" s="20">
        <v>45366</v>
      </c>
      <c r="C53" s="21" t="s">
        <v>31</v>
      </c>
      <c r="D53" s="22">
        <v>0</v>
      </c>
      <c r="E53" s="22">
        <v>19429.2</v>
      </c>
      <c r="F53" s="23">
        <f t="shared" si="6"/>
        <v>21653.64</v>
      </c>
    </row>
    <row r="54" customHeight="1" spans="1:6">
      <c r="A54" s="20" t="s">
        <v>6</v>
      </c>
      <c r="B54" s="20">
        <v>45366</v>
      </c>
      <c r="C54" s="21" t="s">
        <v>32</v>
      </c>
      <c r="D54" s="22">
        <v>5551.2</v>
      </c>
      <c r="E54" s="22">
        <v>0</v>
      </c>
      <c r="F54" s="23">
        <f t="shared" si="6"/>
        <v>16102.44</v>
      </c>
    </row>
    <row r="55" customHeight="1" spans="1:6">
      <c r="A55" s="20" t="s">
        <v>6</v>
      </c>
      <c r="B55" s="20">
        <v>45366</v>
      </c>
      <c r="C55" s="21" t="s">
        <v>18</v>
      </c>
      <c r="D55" s="22">
        <v>432</v>
      </c>
      <c r="E55" s="22">
        <v>0</v>
      </c>
      <c r="F55" s="23">
        <f t="shared" si="6"/>
        <v>15670.44</v>
      </c>
    </row>
    <row r="56" customHeight="1" spans="1:6">
      <c r="A56" s="20" t="s">
        <v>6</v>
      </c>
      <c r="B56" s="20">
        <v>45369</v>
      </c>
      <c r="C56" s="21" t="s">
        <v>33</v>
      </c>
      <c r="D56" s="22">
        <v>0</v>
      </c>
      <c r="E56" s="22">
        <v>25600</v>
      </c>
      <c r="F56" s="23">
        <f t="shared" si="6"/>
        <v>41270.44</v>
      </c>
    </row>
    <row r="57" customHeight="1" spans="1:6">
      <c r="A57" s="20" t="s">
        <v>6</v>
      </c>
      <c r="B57" s="20">
        <v>45369</v>
      </c>
      <c r="C57" s="21" t="s">
        <v>21</v>
      </c>
      <c r="D57" s="22">
        <v>4800</v>
      </c>
      <c r="E57" s="22">
        <v>0</v>
      </c>
      <c r="F57" s="23">
        <f t="shared" si="6"/>
        <v>36470.44</v>
      </c>
    </row>
    <row r="58" customHeight="1" spans="1:6">
      <c r="A58" s="20" t="s">
        <v>6</v>
      </c>
      <c r="B58" s="20">
        <v>45371</v>
      </c>
      <c r="C58" s="21" t="s">
        <v>34</v>
      </c>
      <c r="D58" s="22">
        <v>0</v>
      </c>
      <c r="E58" s="22">
        <v>2078</v>
      </c>
      <c r="F58" s="23">
        <f t="shared" si="6"/>
        <v>38548.44</v>
      </c>
    </row>
    <row r="59" customHeight="1" spans="1:6">
      <c r="A59" s="20" t="s">
        <v>6</v>
      </c>
      <c r="B59" s="20">
        <v>45373</v>
      </c>
      <c r="C59" s="21" t="s">
        <v>35</v>
      </c>
      <c r="D59" s="22">
        <v>0</v>
      </c>
      <c r="E59" s="22">
        <v>2340</v>
      </c>
      <c r="F59" s="23">
        <f t="shared" ref="F59" si="7">F58-D59+E59</f>
        <v>40888.44</v>
      </c>
    </row>
    <row r="60" customHeight="1" spans="1:6">
      <c r="A60" s="20" t="s">
        <v>6</v>
      </c>
      <c r="B60" s="20">
        <v>45378</v>
      </c>
      <c r="C60" s="21" t="s">
        <v>36</v>
      </c>
      <c r="D60" s="22">
        <v>0</v>
      </c>
      <c r="E60" s="22">
        <v>66490.89</v>
      </c>
      <c r="F60" s="23">
        <f t="shared" ref="F60:F67" si="8">F59-D60+E60</f>
        <v>107379.33</v>
      </c>
    </row>
    <row r="61" customHeight="1" spans="1:6">
      <c r="A61" s="20" t="s">
        <v>6</v>
      </c>
      <c r="B61" s="20">
        <v>45379</v>
      </c>
      <c r="C61" s="21" t="s">
        <v>37</v>
      </c>
      <c r="D61" s="22">
        <v>0</v>
      </c>
      <c r="E61" s="22">
        <v>1935</v>
      </c>
      <c r="F61" s="23">
        <f t="shared" si="8"/>
        <v>109314.33</v>
      </c>
    </row>
    <row r="62" customHeight="1" spans="1:6">
      <c r="A62" s="20" t="s">
        <v>6</v>
      </c>
      <c r="B62" s="20">
        <v>45380</v>
      </c>
      <c r="C62" s="21" t="s">
        <v>38</v>
      </c>
      <c r="D62" s="22">
        <v>0</v>
      </c>
      <c r="E62" s="22">
        <v>6160.5</v>
      </c>
      <c r="F62" s="23">
        <f t="shared" si="8"/>
        <v>115474.83</v>
      </c>
    </row>
    <row r="63" customHeight="1" spans="1:6">
      <c r="A63" s="20" t="s">
        <v>6</v>
      </c>
      <c r="B63" s="20">
        <v>45380</v>
      </c>
      <c r="C63" s="21" t="s">
        <v>9</v>
      </c>
      <c r="D63" s="22">
        <v>25000</v>
      </c>
      <c r="E63" s="22">
        <v>0</v>
      </c>
      <c r="F63" s="23">
        <f t="shared" si="8"/>
        <v>90474.83</v>
      </c>
    </row>
    <row r="64" customHeight="1" spans="1:6">
      <c r="A64" s="20" t="s">
        <v>6</v>
      </c>
      <c r="B64" s="20">
        <v>45381</v>
      </c>
      <c r="C64" s="21" t="s">
        <v>39</v>
      </c>
      <c r="D64" s="22">
        <v>0</v>
      </c>
      <c r="E64" s="22">
        <v>200000</v>
      </c>
      <c r="F64" s="23">
        <f t="shared" si="8"/>
        <v>290474.83</v>
      </c>
    </row>
    <row r="65" customHeight="1" spans="1:6">
      <c r="A65" s="20" t="s">
        <v>6</v>
      </c>
      <c r="B65" s="20">
        <v>45382</v>
      </c>
      <c r="C65" s="21" t="s">
        <v>21</v>
      </c>
      <c r="D65" s="22">
        <v>10000</v>
      </c>
      <c r="E65" s="22">
        <v>0</v>
      </c>
      <c r="F65" s="23">
        <f t="shared" si="8"/>
        <v>280474.83</v>
      </c>
    </row>
    <row r="66" customHeight="1" spans="1:6">
      <c r="A66" s="20" t="s">
        <v>6</v>
      </c>
      <c r="B66" s="20">
        <v>45382</v>
      </c>
      <c r="C66" s="21" t="s">
        <v>40</v>
      </c>
      <c r="D66" s="22">
        <v>50000</v>
      </c>
      <c r="E66" s="22">
        <v>0</v>
      </c>
      <c r="F66" s="23">
        <f t="shared" si="8"/>
        <v>230474.83</v>
      </c>
    </row>
    <row r="67" customHeight="1" spans="1:6">
      <c r="A67" s="20" t="s">
        <v>6</v>
      </c>
      <c r="B67" s="20">
        <v>45386</v>
      </c>
      <c r="C67" s="21" t="s">
        <v>7</v>
      </c>
      <c r="D67" s="22">
        <v>1320</v>
      </c>
      <c r="E67" s="22">
        <v>0</v>
      </c>
      <c r="F67" s="23">
        <f t="shared" si="8"/>
        <v>229154.83</v>
      </c>
    </row>
    <row r="68" customHeight="1" spans="1:6">
      <c r="A68" s="20" t="s">
        <v>6</v>
      </c>
      <c r="B68" s="20">
        <v>45386</v>
      </c>
      <c r="C68" s="21" t="s">
        <v>21</v>
      </c>
      <c r="D68" s="22">
        <v>6500</v>
      </c>
      <c r="E68" s="22">
        <v>0</v>
      </c>
      <c r="F68" s="23">
        <f t="shared" ref="F68" si="9">F67-D68+E68</f>
        <v>222654.83</v>
      </c>
    </row>
    <row r="69" customHeight="1" spans="1:6">
      <c r="A69" s="20" t="s">
        <v>6</v>
      </c>
      <c r="B69" s="20">
        <v>45391</v>
      </c>
      <c r="C69" s="21" t="s">
        <v>24</v>
      </c>
      <c r="D69" s="22">
        <v>900</v>
      </c>
      <c r="E69" s="22">
        <v>0</v>
      </c>
      <c r="F69" s="23">
        <f t="shared" ref="F69:F70" si="10">F68-D69+E69</f>
        <v>221754.83</v>
      </c>
    </row>
    <row r="70" customHeight="1" spans="1:6">
      <c r="A70" s="20" t="s">
        <v>6</v>
      </c>
      <c r="B70" s="20">
        <v>45392</v>
      </c>
      <c r="C70" s="21" t="s">
        <v>8</v>
      </c>
      <c r="D70" s="22">
        <v>35000</v>
      </c>
      <c r="E70" s="22">
        <v>0</v>
      </c>
      <c r="F70" s="23">
        <f t="shared" si="10"/>
        <v>186754.83</v>
      </c>
    </row>
    <row r="71" customHeight="1" spans="1:6">
      <c r="A71" s="20" t="s">
        <v>6</v>
      </c>
      <c r="B71" s="20">
        <v>45392</v>
      </c>
      <c r="C71" s="21" t="s">
        <v>9</v>
      </c>
      <c r="D71" s="22">
        <v>19000</v>
      </c>
      <c r="E71" s="22">
        <v>0</v>
      </c>
      <c r="F71" s="23">
        <f t="shared" ref="F71:F76" si="11">F70-D71+E71</f>
        <v>167754.83</v>
      </c>
    </row>
    <row r="72" customHeight="1" spans="1:6">
      <c r="A72" s="20" t="s">
        <v>6</v>
      </c>
      <c r="B72" s="20">
        <v>45395</v>
      </c>
      <c r="C72" s="21" t="s">
        <v>16</v>
      </c>
      <c r="D72" s="22">
        <v>20</v>
      </c>
      <c r="E72" s="22">
        <v>0</v>
      </c>
      <c r="F72" s="23">
        <f t="shared" si="11"/>
        <v>167734.83</v>
      </c>
    </row>
    <row r="73" customHeight="1" spans="1:6">
      <c r="A73" s="20" t="s">
        <v>6</v>
      </c>
      <c r="B73" s="20">
        <v>45399</v>
      </c>
      <c r="C73" s="21" t="s">
        <v>18</v>
      </c>
      <c r="D73" s="22">
        <v>432</v>
      </c>
      <c r="E73" s="22">
        <v>0</v>
      </c>
      <c r="F73" s="23">
        <f t="shared" si="11"/>
        <v>167302.83</v>
      </c>
    </row>
    <row r="74" customHeight="1" spans="1:6">
      <c r="A74" s="20" t="s">
        <v>6</v>
      </c>
      <c r="B74" s="20">
        <v>45405</v>
      </c>
      <c r="C74" s="21" t="s">
        <v>41</v>
      </c>
      <c r="D74" s="22">
        <v>0</v>
      </c>
      <c r="E74" s="22">
        <v>1890</v>
      </c>
      <c r="F74" s="23">
        <f t="shared" si="11"/>
        <v>169192.83</v>
      </c>
    </row>
    <row r="75" customHeight="1" spans="1:6">
      <c r="A75" s="20" t="s">
        <v>6</v>
      </c>
      <c r="B75" s="20">
        <v>45406</v>
      </c>
      <c r="C75" s="21" t="s">
        <v>42</v>
      </c>
      <c r="D75" s="22">
        <v>0</v>
      </c>
      <c r="E75" s="22">
        <v>4050</v>
      </c>
      <c r="F75" s="23">
        <f t="shared" si="11"/>
        <v>173242.83</v>
      </c>
    </row>
    <row r="76" customHeight="1" spans="1:6">
      <c r="A76" s="20" t="s">
        <v>6</v>
      </c>
      <c r="B76" s="20">
        <v>45412</v>
      </c>
      <c r="C76" s="21" t="s">
        <v>21</v>
      </c>
      <c r="D76" s="22">
        <v>10000</v>
      </c>
      <c r="E76" s="22">
        <v>0</v>
      </c>
      <c r="F76" s="23">
        <f t="shared" si="11"/>
        <v>163242.83</v>
      </c>
    </row>
    <row r="77" customHeight="1" spans="1:6">
      <c r="A77" s="20" t="s">
        <v>6</v>
      </c>
      <c r="B77" s="20">
        <v>45412</v>
      </c>
      <c r="C77" s="21" t="s">
        <v>43</v>
      </c>
      <c r="D77" s="22">
        <v>0</v>
      </c>
      <c r="E77" s="22">
        <v>4698</v>
      </c>
      <c r="F77" s="23">
        <f t="shared" ref="F77" si="12">F76-D77+E77</f>
        <v>167940.83</v>
      </c>
    </row>
    <row r="78" customHeight="1" spans="1:6">
      <c r="A78" s="20" t="s">
        <v>6</v>
      </c>
      <c r="B78" s="20">
        <v>45412</v>
      </c>
      <c r="C78" s="21" t="s">
        <v>44</v>
      </c>
      <c r="D78" s="22">
        <v>0</v>
      </c>
      <c r="E78" s="22">
        <v>4860</v>
      </c>
      <c r="F78" s="23">
        <f t="shared" ref="F78" si="13">F77-D78+E78</f>
        <v>172800.83</v>
      </c>
    </row>
    <row r="79" customHeight="1" spans="1:6">
      <c r="A79" s="20" t="s">
        <v>6</v>
      </c>
      <c r="B79" s="20">
        <v>45414</v>
      </c>
      <c r="C79" s="21" t="s">
        <v>45</v>
      </c>
      <c r="D79" s="22">
        <v>0</v>
      </c>
      <c r="E79" s="22">
        <v>24960</v>
      </c>
      <c r="F79" s="23">
        <f t="shared" ref="F79:F80" si="14">F78-D79+E79</f>
        <v>197760.83</v>
      </c>
    </row>
    <row r="80" customHeight="1" spans="1:6">
      <c r="A80" s="20" t="s">
        <v>6</v>
      </c>
      <c r="B80" s="20">
        <v>45414</v>
      </c>
      <c r="C80" s="21" t="s">
        <v>7</v>
      </c>
      <c r="D80" s="22">
        <v>3270</v>
      </c>
      <c r="E80" s="22">
        <v>0</v>
      </c>
      <c r="F80" s="23">
        <f t="shared" si="14"/>
        <v>194490.83</v>
      </c>
    </row>
    <row r="81" customHeight="1" spans="1:6">
      <c r="A81" s="20" t="s">
        <v>6</v>
      </c>
      <c r="B81" s="20">
        <v>45415</v>
      </c>
      <c r="C81" s="21" t="s">
        <v>46</v>
      </c>
      <c r="D81" s="22">
        <v>0</v>
      </c>
      <c r="E81" s="22">
        <v>1852.2</v>
      </c>
      <c r="F81" s="23">
        <f t="shared" ref="F81:F82" si="15">F80-D81+E81</f>
        <v>196343.03</v>
      </c>
    </row>
    <row r="82" customHeight="1" spans="1:6">
      <c r="A82" s="20" t="s">
        <v>6</v>
      </c>
      <c r="B82" s="20">
        <v>45415</v>
      </c>
      <c r="C82" s="21" t="s">
        <v>47</v>
      </c>
      <c r="D82" s="22">
        <v>8600</v>
      </c>
      <c r="E82" s="22">
        <v>0</v>
      </c>
      <c r="F82" s="23">
        <f t="shared" si="15"/>
        <v>187743.03</v>
      </c>
    </row>
    <row r="83" customHeight="1" spans="1:6">
      <c r="A83" s="20" t="s">
        <v>6</v>
      </c>
      <c r="B83" s="20">
        <v>45420</v>
      </c>
      <c r="C83" s="21" t="s">
        <v>48</v>
      </c>
      <c r="D83" s="22">
        <v>0</v>
      </c>
      <c r="E83" s="22">
        <v>4500</v>
      </c>
      <c r="F83" s="23">
        <f t="shared" ref="F83" si="16">F82-D83+E83</f>
        <v>192243.03</v>
      </c>
    </row>
    <row r="84" customHeight="1" spans="1:6">
      <c r="A84" s="20" t="s">
        <v>6</v>
      </c>
      <c r="B84" s="20">
        <v>45420</v>
      </c>
      <c r="C84" s="21" t="s">
        <v>49</v>
      </c>
      <c r="D84" s="22">
        <v>0</v>
      </c>
      <c r="E84" s="22">
        <v>3510</v>
      </c>
      <c r="F84" s="23">
        <f t="shared" ref="F84:F85" si="17">F83-D84+E84</f>
        <v>195753.03</v>
      </c>
    </row>
    <row r="85" customHeight="1" spans="1:6">
      <c r="A85" s="20" t="s">
        <v>6</v>
      </c>
      <c r="B85" s="20">
        <v>45421</v>
      </c>
      <c r="C85" s="21" t="s">
        <v>50</v>
      </c>
      <c r="D85" s="22">
        <v>0</v>
      </c>
      <c r="E85" s="22">
        <v>7830</v>
      </c>
      <c r="F85" s="23">
        <f t="shared" si="17"/>
        <v>203583.03</v>
      </c>
    </row>
    <row r="86" customHeight="1" spans="1:6">
      <c r="A86" s="20" t="s">
        <v>6</v>
      </c>
      <c r="B86" s="20">
        <v>45422</v>
      </c>
      <c r="C86" s="21" t="s">
        <v>51</v>
      </c>
      <c r="D86" s="22">
        <v>0</v>
      </c>
      <c r="E86" s="22">
        <v>6300</v>
      </c>
      <c r="F86" s="23">
        <f t="shared" ref="F86:F115" si="18">F85-D86+E86</f>
        <v>209883.03</v>
      </c>
    </row>
    <row r="87" customHeight="1" spans="1:6">
      <c r="A87" s="20" t="s">
        <v>6</v>
      </c>
      <c r="B87" s="20">
        <v>45423</v>
      </c>
      <c r="C87" s="21" t="s">
        <v>16</v>
      </c>
      <c r="D87" s="22">
        <v>20</v>
      </c>
      <c r="E87" s="22">
        <v>0</v>
      </c>
      <c r="F87" s="23">
        <f t="shared" si="18"/>
        <v>209863.03</v>
      </c>
    </row>
    <row r="88" customHeight="1" spans="1:6">
      <c r="A88" s="20" t="s">
        <v>6</v>
      </c>
      <c r="B88" s="20">
        <v>45427</v>
      </c>
      <c r="C88" s="21" t="s">
        <v>18</v>
      </c>
      <c r="D88" s="22">
        <v>432</v>
      </c>
      <c r="E88" s="22">
        <v>0</v>
      </c>
      <c r="F88" s="23">
        <f t="shared" si="18"/>
        <v>209431.03</v>
      </c>
    </row>
    <row r="89" customHeight="1" spans="1:6">
      <c r="A89" s="20" t="s">
        <v>6</v>
      </c>
      <c r="B89" s="20">
        <v>45429</v>
      </c>
      <c r="C89" s="21" t="s">
        <v>31</v>
      </c>
      <c r="D89" s="22">
        <v>0</v>
      </c>
      <c r="E89" s="22">
        <v>27352.08</v>
      </c>
      <c r="F89" s="23">
        <f t="shared" si="18"/>
        <v>236783.11</v>
      </c>
    </row>
    <row r="90" customHeight="1" spans="1:6">
      <c r="A90" s="20" t="s">
        <v>6</v>
      </c>
      <c r="B90" s="20">
        <v>45429</v>
      </c>
      <c r="C90" s="21" t="s">
        <v>52</v>
      </c>
      <c r="D90" s="22">
        <v>0</v>
      </c>
      <c r="E90" s="22">
        <v>2700</v>
      </c>
      <c r="F90" s="23">
        <f t="shared" si="18"/>
        <v>239483.11</v>
      </c>
    </row>
    <row r="91" customHeight="1" spans="1:6">
      <c r="A91" s="20" t="s">
        <v>6</v>
      </c>
      <c r="B91" s="20">
        <v>45429</v>
      </c>
      <c r="C91" s="21" t="s">
        <v>53</v>
      </c>
      <c r="D91" s="22">
        <v>0</v>
      </c>
      <c r="E91" s="22">
        <v>13500</v>
      </c>
      <c r="F91" s="23">
        <f t="shared" si="18"/>
        <v>252983.11</v>
      </c>
    </row>
    <row r="92" customHeight="1" spans="1:6">
      <c r="A92" s="20" t="s">
        <v>6</v>
      </c>
      <c r="B92" s="20">
        <v>45429</v>
      </c>
      <c r="C92" s="21" t="s">
        <v>32</v>
      </c>
      <c r="D92" s="22">
        <v>7815</v>
      </c>
      <c r="E92" s="22">
        <v>0</v>
      </c>
      <c r="F92" s="23">
        <f t="shared" si="18"/>
        <v>245168.11</v>
      </c>
    </row>
    <row r="93" customHeight="1" spans="1:6">
      <c r="A93" s="20" t="s">
        <v>6</v>
      </c>
      <c r="B93" s="20">
        <v>45429</v>
      </c>
      <c r="C93" s="21" t="s">
        <v>54</v>
      </c>
      <c r="D93" s="22">
        <v>0</v>
      </c>
      <c r="E93" s="22">
        <v>1134</v>
      </c>
      <c r="F93" s="23">
        <f t="shared" si="18"/>
        <v>246302.11</v>
      </c>
    </row>
    <row r="94" customHeight="1" spans="1:6">
      <c r="A94" s="20" t="s">
        <v>6</v>
      </c>
      <c r="B94" s="20">
        <v>45435</v>
      </c>
      <c r="C94" s="21" t="s">
        <v>55</v>
      </c>
      <c r="D94" s="22">
        <v>0</v>
      </c>
      <c r="E94" s="22">
        <v>900</v>
      </c>
      <c r="F94" s="23">
        <f t="shared" si="18"/>
        <v>247202.11</v>
      </c>
    </row>
    <row r="95" customHeight="1" spans="1:6">
      <c r="A95" s="20" t="s">
        <v>6</v>
      </c>
      <c r="B95" s="20">
        <v>45435</v>
      </c>
      <c r="C95" s="21" t="s">
        <v>56</v>
      </c>
      <c r="D95" s="22">
        <v>0</v>
      </c>
      <c r="E95" s="22">
        <v>1134</v>
      </c>
      <c r="F95" s="23">
        <f t="shared" si="18"/>
        <v>248336.11</v>
      </c>
    </row>
    <row r="96" customHeight="1" spans="1:6">
      <c r="A96" s="20" t="s">
        <v>6</v>
      </c>
      <c r="B96" s="20">
        <v>45435</v>
      </c>
      <c r="C96" s="21" t="s">
        <v>57</v>
      </c>
      <c r="D96" s="22">
        <v>0</v>
      </c>
      <c r="E96" s="22">
        <v>12150</v>
      </c>
      <c r="F96" s="23">
        <f t="shared" si="18"/>
        <v>260486.11</v>
      </c>
    </row>
    <row r="97" customHeight="1" spans="1:6">
      <c r="A97" s="20" t="s">
        <v>6</v>
      </c>
      <c r="B97" s="20">
        <v>45436</v>
      </c>
      <c r="C97" s="21" t="s">
        <v>58</v>
      </c>
      <c r="D97" s="22">
        <v>0</v>
      </c>
      <c r="E97" s="22">
        <v>405</v>
      </c>
      <c r="F97" s="23">
        <f t="shared" si="18"/>
        <v>260891.11</v>
      </c>
    </row>
    <row r="98" customHeight="1" spans="1:6">
      <c r="A98" s="20" t="s">
        <v>6</v>
      </c>
      <c r="B98" s="20">
        <v>45436</v>
      </c>
      <c r="C98" s="21" t="s">
        <v>59</v>
      </c>
      <c r="D98" s="22">
        <v>0</v>
      </c>
      <c r="E98" s="22">
        <v>22190.24</v>
      </c>
      <c r="F98" s="23">
        <f t="shared" si="18"/>
        <v>283081.35</v>
      </c>
    </row>
    <row r="99" customHeight="1" spans="1:6">
      <c r="A99" s="20" t="s">
        <v>6</v>
      </c>
      <c r="B99" s="20">
        <v>45436</v>
      </c>
      <c r="C99" s="21" t="s">
        <v>60</v>
      </c>
      <c r="D99" s="22">
        <v>0</v>
      </c>
      <c r="E99" s="22">
        <v>1026</v>
      </c>
      <c r="F99" s="23">
        <f t="shared" si="18"/>
        <v>284107.35</v>
      </c>
    </row>
    <row r="100" customHeight="1" spans="1:6">
      <c r="A100" s="20" t="s">
        <v>6</v>
      </c>
      <c r="B100" s="20">
        <v>45438</v>
      </c>
      <c r="C100" s="21" t="s">
        <v>21</v>
      </c>
      <c r="D100" s="22">
        <v>11320</v>
      </c>
      <c r="E100" s="22">
        <v>0</v>
      </c>
      <c r="F100" s="23">
        <f t="shared" si="18"/>
        <v>272787.35</v>
      </c>
    </row>
    <row r="101" customHeight="1" spans="1:6">
      <c r="A101" s="20" t="s">
        <v>6</v>
      </c>
      <c r="B101" s="20">
        <v>45440</v>
      </c>
      <c r="C101" s="21" t="s">
        <v>61</v>
      </c>
      <c r="D101" s="22">
        <v>0</v>
      </c>
      <c r="E101" s="22">
        <v>315</v>
      </c>
      <c r="F101" s="23">
        <f t="shared" si="18"/>
        <v>273102.35</v>
      </c>
    </row>
    <row r="102" customHeight="1" spans="1:6">
      <c r="A102" s="20">
        <v>45436</v>
      </c>
      <c r="B102" s="20">
        <v>45440</v>
      </c>
      <c r="C102" s="24" t="s">
        <v>62</v>
      </c>
      <c r="D102" s="16">
        <v>44097.46</v>
      </c>
      <c r="E102" s="16">
        <v>0</v>
      </c>
      <c r="F102" s="23">
        <f t="shared" si="18"/>
        <v>229004.89</v>
      </c>
    </row>
    <row r="103" customHeight="1" spans="1:6">
      <c r="A103" s="20">
        <v>45436</v>
      </c>
      <c r="B103" s="20">
        <v>45440</v>
      </c>
      <c r="C103" s="21" t="s">
        <v>11</v>
      </c>
      <c r="D103" s="22">
        <v>14.98</v>
      </c>
      <c r="E103" s="22">
        <v>0</v>
      </c>
      <c r="F103" s="23">
        <f t="shared" si="18"/>
        <v>228989.91</v>
      </c>
    </row>
    <row r="104" customHeight="1" spans="1:6">
      <c r="A104" s="20" t="s">
        <v>6</v>
      </c>
      <c r="B104" s="20">
        <v>45443</v>
      </c>
      <c r="C104" s="21" t="s">
        <v>33</v>
      </c>
      <c r="D104" s="22">
        <v>0</v>
      </c>
      <c r="E104" s="22">
        <v>30400</v>
      </c>
      <c r="F104" s="23">
        <f t="shared" si="18"/>
        <v>259389.91</v>
      </c>
    </row>
    <row r="105" customHeight="1" spans="1:6">
      <c r="A105" s="20" t="s">
        <v>6</v>
      </c>
      <c r="B105" s="20">
        <v>45443</v>
      </c>
      <c r="C105" s="21" t="s">
        <v>63</v>
      </c>
      <c r="D105" s="22">
        <v>5700</v>
      </c>
      <c r="E105" s="22">
        <v>0</v>
      </c>
      <c r="F105" s="23">
        <f t="shared" si="18"/>
        <v>253689.91</v>
      </c>
    </row>
    <row r="106" customHeight="1" spans="1:6">
      <c r="A106" s="20" t="s">
        <v>6</v>
      </c>
      <c r="B106" s="20">
        <v>45443</v>
      </c>
      <c r="C106" s="21" t="s">
        <v>21</v>
      </c>
      <c r="D106" s="22">
        <v>10000</v>
      </c>
      <c r="E106" s="22">
        <v>0</v>
      </c>
      <c r="F106" s="23">
        <f t="shared" si="18"/>
        <v>243689.91</v>
      </c>
    </row>
    <row r="107" customHeight="1" spans="3:6">
      <c r="C107" s="15" t="s">
        <v>64</v>
      </c>
      <c r="E107" s="16">
        <v>29000</v>
      </c>
      <c r="F107" s="23">
        <f t="shared" si="18"/>
        <v>272689.91</v>
      </c>
    </row>
    <row r="108" customHeight="1" spans="1:6">
      <c r="A108" s="20">
        <v>45447</v>
      </c>
      <c r="B108" s="20">
        <v>45449</v>
      </c>
      <c r="C108" s="24" t="s">
        <v>65</v>
      </c>
      <c r="D108" s="16">
        <v>25075.42</v>
      </c>
      <c r="E108" s="16">
        <v>0</v>
      </c>
      <c r="F108" s="23">
        <f t="shared" si="18"/>
        <v>247614.49</v>
      </c>
    </row>
    <row r="109" customHeight="1" spans="1:6">
      <c r="A109" s="20">
        <v>45447</v>
      </c>
      <c r="B109" s="20">
        <v>45449</v>
      </c>
      <c r="C109" s="21" t="s">
        <v>11</v>
      </c>
      <c r="D109" s="22">
        <v>14.98</v>
      </c>
      <c r="E109" s="22">
        <v>0</v>
      </c>
      <c r="F109" s="23">
        <f t="shared" si="18"/>
        <v>247599.51</v>
      </c>
    </row>
    <row r="110" customHeight="1" spans="1:6">
      <c r="A110" s="20">
        <v>45448</v>
      </c>
      <c r="B110" s="20">
        <v>45450</v>
      </c>
      <c r="C110" s="24" t="s">
        <v>65</v>
      </c>
      <c r="D110" s="16">
        <v>0</v>
      </c>
      <c r="E110" s="16">
        <v>26221.79</v>
      </c>
      <c r="F110" s="23">
        <f t="shared" si="18"/>
        <v>273821.3</v>
      </c>
    </row>
    <row r="111" customHeight="1" spans="1:6">
      <c r="A111" s="20">
        <v>45448</v>
      </c>
      <c r="B111" s="20">
        <v>45450</v>
      </c>
      <c r="C111" s="21" t="s">
        <v>11</v>
      </c>
      <c r="D111" s="22">
        <v>14.98</v>
      </c>
      <c r="E111" s="22">
        <v>0</v>
      </c>
      <c r="F111" s="23">
        <f t="shared" si="18"/>
        <v>273806.32</v>
      </c>
    </row>
    <row r="112" customHeight="1" spans="1:6">
      <c r="A112" s="20" t="s">
        <v>6</v>
      </c>
      <c r="B112" s="20">
        <v>45450</v>
      </c>
      <c r="C112" s="21" t="s">
        <v>28</v>
      </c>
      <c r="D112" s="22">
        <v>0</v>
      </c>
      <c r="E112" s="22">
        <v>5999.4</v>
      </c>
      <c r="F112" s="23">
        <f t="shared" si="18"/>
        <v>279805.72</v>
      </c>
    </row>
    <row r="113" customHeight="1" spans="1:6">
      <c r="A113" s="20" t="s">
        <v>6</v>
      </c>
      <c r="B113" s="20">
        <v>45450</v>
      </c>
      <c r="C113" s="21" t="s">
        <v>35</v>
      </c>
      <c r="D113" s="22">
        <v>0</v>
      </c>
      <c r="E113" s="22">
        <v>3447</v>
      </c>
      <c r="F113" s="23">
        <f t="shared" si="18"/>
        <v>283252.72</v>
      </c>
    </row>
    <row r="114" customHeight="1" spans="2:6">
      <c r="B114" s="20">
        <v>45450</v>
      </c>
      <c r="C114" s="15" t="s">
        <v>64</v>
      </c>
      <c r="D114" s="16">
        <v>20000</v>
      </c>
      <c r="E114" s="16">
        <v>0</v>
      </c>
      <c r="F114" s="23">
        <f t="shared" si="18"/>
        <v>263252.72</v>
      </c>
    </row>
    <row r="115" customHeight="1" spans="1:6">
      <c r="A115" s="20" t="s">
        <v>6</v>
      </c>
      <c r="B115" s="20">
        <v>45451</v>
      </c>
      <c r="C115" s="21" t="s">
        <v>16</v>
      </c>
      <c r="D115" s="22">
        <v>20</v>
      </c>
      <c r="E115" s="22">
        <v>0</v>
      </c>
      <c r="F115" s="23">
        <f t="shared" si="18"/>
        <v>263232.72</v>
      </c>
    </row>
    <row r="116" customHeight="1" spans="2:6">
      <c r="B116" s="20">
        <v>45453</v>
      </c>
      <c r="C116" s="15" t="s">
        <v>8</v>
      </c>
      <c r="D116" s="16">
        <v>49000</v>
      </c>
      <c r="E116" s="16">
        <v>0</v>
      </c>
      <c r="F116" s="23">
        <f t="shared" ref="F116" si="19">F115-D116+E116</f>
        <v>214232.72</v>
      </c>
    </row>
    <row r="117" customHeight="1" spans="2:6">
      <c r="B117" s="20">
        <v>45453</v>
      </c>
      <c r="C117" s="15" t="s">
        <v>66</v>
      </c>
      <c r="D117" s="16">
        <v>0</v>
      </c>
      <c r="E117" s="16">
        <v>1700</v>
      </c>
      <c r="F117" s="23">
        <f t="shared" ref="F117" si="20">F116-D117+E117</f>
        <v>215932.72</v>
      </c>
    </row>
    <row r="118" customHeight="1" spans="2:6">
      <c r="B118" s="20">
        <v>45453</v>
      </c>
      <c r="C118" s="15" t="s">
        <v>67</v>
      </c>
      <c r="D118" s="16">
        <v>0</v>
      </c>
      <c r="E118" s="16">
        <v>1667</v>
      </c>
      <c r="F118" s="23">
        <f t="shared" ref="F118:F120" si="21">F117-D118+E118</f>
        <v>217599.72</v>
      </c>
    </row>
    <row r="119" customHeight="1" spans="1:6">
      <c r="A119" s="20" t="s">
        <v>6</v>
      </c>
      <c r="B119" s="20">
        <v>45455</v>
      </c>
      <c r="C119" s="21" t="s">
        <v>56</v>
      </c>
      <c r="D119" s="22">
        <v>0</v>
      </c>
      <c r="E119" s="22">
        <v>1134</v>
      </c>
      <c r="F119" s="23">
        <f t="shared" si="21"/>
        <v>218733.72</v>
      </c>
    </row>
    <row r="120" customHeight="1" spans="2:6">
      <c r="B120" s="20">
        <v>45455</v>
      </c>
      <c r="C120" s="15" t="s">
        <v>68</v>
      </c>
      <c r="D120" s="16">
        <v>43110.22</v>
      </c>
      <c r="E120" s="16">
        <v>0</v>
      </c>
      <c r="F120" s="23">
        <f t="shared" si="21"/>
        <v>175623.5</v>
      </c>
    </row>
    <row r="121" customHeight="1" spans="2:6">
      <c r="B121" s="20">
        <v>45455</v>
      </c>
      <c r="C121" s="15" t="s">
        <v>69</v>
      </c>
      <c r="D121" s="16">
        <v>22800</v>
      </c>
      <c r="E121" s="16">
        <v>0</v>
      </c>
      <c r="F121" s="23">
        <f t="shared" ref="F121:F127" si="22">F120-D121+E121</f>
        <v>152823.5</v>
      </c>
    </row>
    <row r="122" customHeight="1" spans="1:6">
      <c r="A122" s="20" t="s">
        <v>6</v>
      </c>
      <c r="B122" s="20">
        <v>45456</v>
      </c>
      <c r="C122" s="21" t="s">
        <v>37</v>
      </c>
      <c r="D122" s="22">
        <v>0</v>
      </c>
      <c r="E122" s="22">
        <v>2580.3</v>
      </c>
      <c r="F122" s="23">
        <f t="shared" si="22"/>
        <v>155403.8</v>
      </c>
    </row>
    <row r="123" customHeight="1" spans="1:6">
      <c r="A123" s="20" t="s">
        <v>6</v>
      </c>
      <c r="B123" s="20">
        <v>45456</v>
      </c>
      <c r="C123" s="21" t="s">
        <v>30</v>
      </c>
      <c r="D123" s="22">
        <v>0</v>
      </c>
      <c r="E123" s="22">
        <v>11375.1</v>
      </c>
      <c r="F123" s="23">
        <f t="shared" si="22"/>
        <v>166778.9</v>
      </c>
    </row>
    <row r="124" customHeight="1" spans="1:6">
      <c r="A124" s="20" t="s">
        <v>6</v>
      </c>
      <c r="B124" s="20">
        <v>45457</v>
      </c>
      <c r="C124" s="21" t="s">
        <v>34</v>
      </c>
      <c r="D124" s="22">
        <v>0</v>
      </c>
      <c r="E124" s="22">
        <v>2198</v>
      </c>
      <c r="F124" s="23">
        <f t="shared" si="22"/>
        <v>168976.9</v>
      </c>
    </row>
    <row r="125" customHeight="1" spans="1:6">
      <c r="A125" s="20">
        <v>45455</v>
      </c>
      <c r="B125" s="20">
        <v>45457</v>
      </c>
      <c r="C125" s="24" t="s">
        <v>70</v>
      </c>
      <c r="D125" s="16">
        <v>16035.44</v>
      </c>
      <c r="E125" s="16">
        <v>0</v>
      </c>
      <c r="F125" s="23">
        <f t="shared" si="22"/>
        <v>152941.46</v>
      </c>
    </row>
    <row r="126" customHeight="1" spans="1:6">
      <c r="A126" s="20">
        <v>45455</v>
      </c>
      <c r="B126" s="20">
        <v>45457</v>
      </c>
      <c r="C126" s="21" t="s">
        <v>11</v>
      </c>
      <c r="D126" s="22">
        <v>14.98</v>
      </c>
      <c r="E126" s="22">
        <v>0</v>
      </c>
      <c r="F126" s="23">
        <f t="shared" si="22"/>
        <v>152926.48</v>
      </c>
    </row>
    <row r="127" customHeight="1" spans="1:6">
      <c r="A127" s="20" t="s">
        <v>6</v>
      </c>
      <c r="B127" s="20">
        <v>45460</v>
      </c>
      <c r="C127" s="21" t="s">
        <v>18</v>
      </c>
      <c r="D127" s="22">
        <v>432</v>
      </c>
      <c r="E127" s="22">
        <v>0</v>
      </c>
      <c r="F127" s="23">
        <f t="shared" si="22"/>
        <v>152494.48</v>
      </c>
    </row>
    <row r="128" customHeight="1" spans="1:6">
      <c r="A128" s="20">
        <v>45460</v>
      </c>
      <c r="B128" s="20">
        <v>45462</v>
      </c>
      <c r="C128" s="24" t="s">
        <v>71</v>
      </c>
      <c r="D128" s="16">
        <v>26308.14</v>
      </c>
      <c r="E128" s="16">
        <v>0</v>
      </c>
      <c r="F128" s="23">
        <f t="shared" ref="F128:F134" si="23">F127-D128+E128</f>
        <v>126186.34</v>
      </c>
    </row>
    <row r="129" customHeight="1" spans="1:6">
      <c r="A129" s="20">
        <v>45460</v>
      </c>
      <c r="B129" s="20">
        <v>45462</v>
      </c>
      <c r="C129" s="21" t="s">
        <v>11</v>
      </c>
      <c r="D129" s="22">
        <v>14.98</v>
      </c>
      <c r="E129" s="22">
        <v>0</v>
      </c>
      <c r="F129" s="23">
        <f t="shared" si="23"/>
        <v>126171.36</v>
      </c>
    </row>
    <row r="130" customHeight="1" spans="1:6">
      <c r="A130" s="20" t="s">
        <v>6</v>
      </c>
      <c r="B130" s="20">
        <v>45467</v>
      </c>
      <c r="C130" s="21" t="s">
        <v>38</v>
      </c>
      <c r="D130" s="22">
        <v>0</v>
      </c>
      <c r="E130" s="22">
        <v>6174</v>
      </c>
      <c r="F130" s="23">
        <f t="shared" si="23"/>
        <v>132345.36</v>
      </c>
    </row>
    <row r="131" customHeight="1" spans="1:6">
      <c r="A131" s="20">
        <v>45471</v>
      </c>
      <c r="B131" s="20">
        <v>45475</v>
      </c>
      <c r="C131" s="24" t="s">
        <v>65</v>
      </c>
      <c r="D131" s="16">
        <v>23451.82866</v>
      </c>
      <c r="E131" s="16">
        <v>0</v>
      </c>
      <c r="F131" s="23">
        <f t="shared" si="23"/>
        <v>108893.53134</v>
      </c>
    </row>
    <row r="132" customHeight="1" spans="1:6">
      <c r="A132" s="20">
        <v>45471</v>
      </c>
      <c r="B132" s="20">
        <v>45475</v>
      </c>
      <c r="C132" s="21" t="s">
        <v>11</v>
      </c>
      <c r="D132" s="22">
        <v>14.98</v>
      </c>
      <c r="E132" s="22">
        <v>0</v>
      </c>
      <c r="F132" s="23">
        <f t="shared" si="23"/>
        <v>108878.55134</v>
      </c>
    </row>
    <row r="133" customHeight="1" spans="1:6">
      <c r="A133" s="20" t="s">
        <v>6</v>
      </c>
      <c r="B133" s="20">
        <v>45475</v>
      </c>
      <c r="C133" s="21" t="s">
        <v>7</v>
      </c>
      <c r="D133" s="22">
        <v>3420</v>
      </c>
      <c r="E133" s="22">
        <v>0</v>
      </c>
      <c r="F133" s="23">
        <f t="shared" si="23"/>
        <v>105458.55134</v>
      </c>
    </row>
    <row r="134" customHeight="1" spans="1:6">
      <c r="A134" s="20" t="s">
        <v>6</v>
      </c>
      <c r="B134" s="20">
        <v>45486</v>
      </c>
      <c r="C134" s="21" t="s">
        <v>16</v>
      </c>
      <c r="D134" s="22">
        <v>20</v>
      </c>
      <c r="E134" s="22">
        <v>0</v>
      </c>
      <c r="F134" s="23">
        <f t="shared" si="23"/>
        <v>105438.55134</v>
      </c>
    </row>
    <row r="135" customHeight="1" spans="1:6">
      <c r="A135" s="20" t="s">
        <v>6</v>
      </c>
      <c r="B135" s="20">
        <v>45489</v>
      </c>
      <c r="C135" s="21" t="s">
        <v>18</v>
      </c>
      <c r="D135" s="22">
        <v>432</v>
      </c>
      <c r="E135" s="22">
        <v>0</v>
      </c>
      <c r="F135" s="23">
        <f t="shared" ref="F135:F137" si="24">F134-D135+E135</f>
        <v>105006.55134</v>
      </c>
    </row>
    <row r="136" customHeight="1" spans="1:6">
      <c r="A136" s="20">
        <v>45489</v>
      </c>
      <c r="B136" s="20">
        <v>45491</v>
      </c>
      <c r="C136" s="24" t="s">
        <v>72</v>
      </c>
      <c r="D136" s="25">
        <v>13830.57</v>
      </c>
      <c r="E136" s="16">
        <v>0</v>
      </c>
      <c r="F136" s="23">
        <f t="shared" si="24"/>
        <v>91175.9813400001</v>
      </c>
    </row>
    <row r="137" customHeight="1" spans="1:6">
      <c r="A137" s="20">
        <v>45489</v>
      </c>
      <c r="B137" s="20">
        <v>45491</v>
      </c>
      <c r="C137" s="21" t="s">
        <v>11</v>
      </c>
      <c r="D137" s="22">
        <v>14.98</v>
      </c>
      <c r="E137" s="22">
        <v>0</v>
      </c>
      <c r="F137" s="23">
        <f t="shared" si="24"/>
        <v>91161.0013400001</v>
      </c>
    </row>
    <row r="138" customHeight="1" spans="1:6">
      <c r="A138" s="20">
        <v>45495</v>
      </c>
      <c r="B138" s="20">
        <v>45497</v>
      </c>
      <c r="C138" s="24" t="s">
        <v>65</v>
      </c>
      <c r="D138" s="25">
        <v>17288.21</v>
      </c>
      <c r="E138" s="16">
        <v>0</v>
      </c>
      <c r="F138" s="23">
        <f t="shared" ref="F138:F141" si="25">F137-D138+E138</f>
        <v>73872.7913400001</v>
      </c>
    </row>
    <row r="139" customHeight="1" spans="1:6">
      <c r="A139" s="20">
        <v>45495</v>
      </c>
      <c r="B139" s="20">
        <v>45497</v>
      </c>
      <c r="C139" s="21" t="s">
        <v>11</v>
      </c>
      <c r="D139" s="22">
        <v>14.98</v>
      </c>
      <c r="E139" s="22">
        <v>0</v>
      </c>
      <c r="F139" s="23">
        <f t="shared" si="25"/>
        <v>73857.8113400001</v>
      </c>
    </row>
    <row r="140" customHeight="1" spans="1:6">
      <c r="A140" s="20" t="s">
        <v>6</v>
      </c>
      <c r="B140" s="20">
        <v>45505</v>
      </c>
      <c r="C140" s="21" t="s">
        <v>7</v>
      </c>
      <c r="D140" s="22">
        <v>1430</v>
      </c>
      <c r="E140" s="22">
        <v>0</v>
      </c>
      <c r="F140" s="23">
        <f t="shared" si="25"/>
        <v>72427.8113400001</v>
      </c>
    </row>
    <row r="141" customHeight="1" spans="1:6">
      <c r="A141" s="20" t="s">
        <v>6</v>
      </c>
      <c r="B141" s="20">
        <v>45514</v>
      </c>
      <c r="C141" s="21" t="s">
        <v>16</v>
      </c>
      <c r="D141" s="22">
        <v>20</v>
      </c>
      <c r="E141" s="22">
        <v>0</v>
      </c>
      <c r="F141" s="23">
        <f t="shared" si="25"/>
        <v>72407.8113400001</v>
      </c>
    </row>
    <row r="142" customHeight="1" spans="1:6">
      <c r="A142" s="20" t="s">
        <v>6</v>
      </c>
      <c r="B142" s="20">
        <v>45519</v>
      </c>
      <c r="C142" s="21" t="s">
        <v>18</v>
      </c>
      <c r="D142" s="22">
        <v>432</v>
      </c>
      <c r="E142" s="22">
        <v>0</v>
      </c>
      <c r="F142" s="23">
        <f t="shared" ref="F142:F159" si="26">F141-D142+E142</f>
        <v>71975.8113400001</v>
      </c>
    </row>
    <row r="143" customHeight="1" spans="1:6">
      <c r="A143" s="20" t="s">
        <v>6</v>
      </c>
      <c r="B143" s="20">
        <v>45527</v>
      </c>
      <c r="C143" s="24" t="s">
        <v>41</v>
      </c>
      <c r="D143" s="25">
        <v>0</v>
      </c>
      <c r="E143" s="16">
        <v>1350</v>
      </c>
      <c r="F143" s="23">
        <f t="shared" si="26"/>
        <v>73325.8113400001</v>
      </c>
    </row>
    <row r="144" customHeight="1" spans="1:6">
      <c r="A144" s="20">
        <v>45525</v>
      </c>
      <c r="B144" s="20">
        <v>45527</v>
      </c>
      <c r="C144" s="24" t="s">
        <v>62</v>
      </c>
      <c r="D144" s="25">
        <v>0</v>
      </c>
      <c r="E144" s="16">
        <v>50388.14</v>
      </c>
      <c r="F144" s="23">
        <f t="shared" si="26"/>
        <v>123713.95134</v>
      </c>
    </row>
    <row r="145" customHeight="1" spans="1:6">
      <c r="A145" s="20">
        <v>45525</v>
      </c>
      <c r="B145" s="20">
        <v>45527</v>
      </c>
      <c r="C145" s="21" t="s">
        <v>11</v>
      </c>
      <c r="D145" s="22">
        <v>14.98</v>
      </c>
      <c r="E145" s="22">
        <v>0</v>
      </c>
      <c r="F145" s="23">
        <f t="shared" si="26"/>
        <v>123698.97134</v>
      </c>
    </row>
    <row r="146" customHeight="1" spans="1:6">
      <c r="A146" s="20">
        <v>45526</v>
      </c>
      <c r="B146" s="20">
        <v>45530</v>
      </c>
      <c r="C146" s="24" t="s">
        <v>65</v>
      </c>
      <c r="D146" s="25">
        <v>0</v>
      </c>
      <c r="E146" s="16">
        <v>22300.5</v>
      </c>
      <c r="F146" s="23">
        <f t="shared" si="26"/>
        <v>145999.47134</v>
      </c>
    </row>
    <row r="147" customHeight="1" spans="1:6">
      <c r="A147" s="20">
        <v>45526</v>
      </c>
      <c r="B147" s="20">
        <v>45530</v>
      </c>
      <c r="C147" s="21" t="s">
        <v>11</v>
      </c>
      <c r="D147" s="22">
        <v>14.98</v>
      </c>
      <c r="E147" s="22">
        <v>0</v>
      </c>
      <c r="F147" s="23">
        <f t="shared" si="26"/>
        <v>145984.49134</v>
      </c>
    </row>
    <row r="148" customHeight="1" spans="1:6">
      <c r="A148" s="20">
        <v>45530</v>
      </c>
      <c r="B148" s="20">
        <v>45532</v>
      </c>
      <c r="C148" s="24" t="s">
        <v>62</v>
      </c>
      <c r="D148" s="25">
        <v>0</v>
      </c>
      <c r="E148" s="16">
        <v>51385.93</v>
      </c>
      <c r="F148" s="23">
        <f t="shared" si="26"/>
        <v>197370.42134</v>
      </c>
    </row>
    <row r="149" customHeight="1" spans="1:6">
      <c r="A149" s="20">
        <v>45530</v>
      </c>
      <c r="B149" s="20">
        <v>45532</v>
      </c>
      <c r="C149" s="21" t="s">
        <v>11</v>
      </c>
      <c r="D149" s="22">
        <v>14.98</v>
      </c>
      <c r="E149" s="22">
        <v>0</v>
      </c>
      <c r="F149" s="23">
        <f t="shared" si="26"/>
        <v>197355.44134</v>
      </c>
    </row>
    <row r="150" customHeight="1" spans="1:6">
      <c r="A150" s="20" t="s">
        <v>6</v>
      </c>
      <c r="B150" s="20">
        <v>45533</v>
      </c>
      <c r="C150" s="21" t="s">
        <v>73</v>
      </c>
      <c r="D150" s="22">
        <v>25000</v>
      </c>
      <c r="E150" s="22">
        <v>0</v>
      </c>
      <c r="F150" s="23">
        <f t="shared" si="26"/>
        <v>172355.44134</v>
      </c>
    </row>
    <row r="151" customHeight="1" spans="1:6">
      <c r="A151" s="20">
        <v>45531</v>
      </c>
      <c r="B151" s="20">
        <v>45533</v>
      </c>
      <c r="C151" s="24" t="s">
        <v>65</v>
      </c>
      <c r="D151" s="25">
        <v>0</v>
      </c>
      <c r="E151" s="16">
        <v>29454.61</v>
      </c>
      <c r="F151" s="23">
        <f t="shared" si="26"/>
        <v>201810.05134</v>
      </c>
    </row>
    <row r="152" customHeight="1" spans="1:6">
      <c r="A152" s="20">
        <v>45531</v>
      </c>
      <c r="B152" s="20">
        <v>45533</v>
      </c>
      <c r="C152" s="21" t="s">
        <v>11</v>
      </c>
      <c r="D152" s="22">
        <v>14.98</v>
      </c>
      <c r="E152" s="22">
        <v>0</v>
      </c>
      <c r="F152" s="23">
        <f t="shared" si="26"/>
        <v>201795.07134</v>
      </c>
    </row>
    <row r="153" customHeight="1" spans="1:6">
      <c r="A153" s="20" t="s">
        <v>6</v>
      </c>
      <c r="B153" s="20">
        <v>45535</v>
      </c>
      <c r="C153" s="21" t="s">
        <v>21</v>
      </c>
      <c r="D153" s="22">
        <v>10000</v>
      </c>
      <c r="E153" s="22">
        <v>0</v>
      </c>
      <c r="F153" s="23">
        <f t="shared" si="26"/>
        <v>191795.07134</v>
      </c>
    </row>
    <row r="154" customHeight="1" spans="1:6">
      <c r="A154" s="20" t="s">
        <v>6</v>
      </c>
      <c r="B154" s="20">
        <v>45540</v>
      </c>
      <c r="C154" s="24" t="s">
        <v>28</v>
      </c>
      <c r="D154" s="25">
        <v>0</v>
      </c>
      <c r="E154" s="16">
        <v>5999.4</v>
      </c>
      <c r="F154" s="23">
        <f t="shared" si="26"/>
        <v>197794.47134</v>
      </c>
    </row>
    <row r="155" customHeight="1" spans="1:6">
      <c r="A155" s="20" t="s">
        <v>6</v>
      </c>
      <c r="B155" s="20">
        <v>45540</v>
      </c>
      <c r="C155" s="24" t="s">
        <v>46</v>
      </c>
      <c r="D155" s="25">
        <v>0</v>
      </c>
      <c r="E155" s="16">
        <v>2565</v>
      </c>
      <c r="F155" s="23">
        <f t="shared" si="26"/>
        <v>200359.47134</v>
      </c>
    </row>
    <row r="156" customHeight="1" spans="1:6">
      <c r="A156" s="20" t="s">
        <v>6</v>
      </c>
      <c r="B156" s="20">
        <v>45541</v>
      </c>
      <c r="C156" s="24" t="s">
        <v>50</v>
      </c>
      <c r="D156" s="25">
        <v>0</v>
      </c>
      <c r="E156" s="16">
        <v>1350</v>
      </c>
      <c r="F156" s="23">
        <f t="shared" si="26"/>
        <v>201709.47134</v>
      </c>
    </row>
    <row r="157" customHeight="1" spans="1:6">
      <c r="A157" s="20" t="s">
        <v>6</v>
      </c>
      <c r="B157" s="20">
        <v>45541</v>
      </c>
      <c r="C157" s="24" t="s">
        <v>53</v>
      </c>
      <c r="D157" s="25">
        <v>0</v>
      </c>
      <c r="E157" s="16">
        <v>12150</v>
      </c>
      <c r="F157" s="23">
        <f t="shared" si="26"/>
        <v>213859.47134</v>
      </c>
    </row>
    <row r="158" customHeight="1" spans="1:6">
      <c r="A158" s="20" t="s">
        <v>6</v>
      </c>
      <c r="B158" s="20">
        <v>45541</v>
      </c>
      <c r="C158" s="24" t="s">
        <v>44</v>
      </c>
      <c r="D158" s="25">
        <v>0</v>
      </c>
      <c r="E158" s="16">
        <v>1620</v>
      </c>
      <c r="F158" s="23">
        <f t="shared" si="26"/>
        <v>215479.47134</v>
      </c>
    </row>
    <row r="159" customHeight="1" spans="1:6">
      <c r="A159" s="20" t="s">
        <v>6</v>
      </c>
      <c r="B159" s="20">
        <v>45541</v>
      </c>
      <c r="C159" s="24" t="s">
        <v>35</v>
      </c>
      <c r="D159" s="25">
        <v>0</v>
      </c>
      <c r="E159" s="16">
        <v>5211</v>
      </c>
      <c r="F159" s="23">
        <f t="shared" si="26"/>
        <v>220690.47134</v>
      </c>
    </row>
    <row r="160" customHeight="1" spans="1:6">
      <c r="A160" s="20" t="s">
        <v>6</v>
      </c>
      <c r="B160" s="20">
        <v>45545</v>
      </c>
      <c r="C160" s="24" t="s">
        <v>45</v>
      </c>
      <c r="D160" s="25">
        <v>0</v>
      </c>
      <c r="E160" s="16">
        <v>15600</v>
      </c>
      <c r="F160" s="23">
        <f t="shared" ref="F160:F163" si="27">F159-D160+E160</f>
        <v>236290.47134</v>
      </c>
    </row>
    <row r="161" customHeight="1" spans="1:6">
      <c r="A161" s="20" t="s">
        <v>6</v>
      </c>
      <c r="B161" s="20">
        <v>45545</v>
      </c>
      <c r="C161" s="24" t="s">
        <v>49</v>
      </c>
      <c r="D161" s="25">
        <v>0</v>
      </c>
      <c r="E161" s="16">
        <v>1350</v>
      </c>
      <c r="F161" s="23">
        <f t="shared" si="27"/>
        <v>237640.47134</v>
      </c>
    </row>
    <row r="162" customHeight="1" spans="1:6">
      <c r="A162" s="20">
        <v>45541</v>
      </c>
      <c r="B162" s="20">
        <v>45545</v>
      </c>
      <c r="C162" s="24" t="s">
        <v>72</v>
      </c>
      <c r="D162" s="25">
        <v>0</v>
      </c>
      <c r="E162" s="16">
        <v>16762.79</v>
      </c>
      <c r="F162" s="23">
        <f t="shared" si="27"/>
        <v>254403.26134</v>
      </c>
    </row>
    <row r="163" customHeight="1" spans="1:7">
      <c r="A163" s="20">
        <v>45541</v>
      </c>
      <c r="B163" s="20">
        <v>45545</v>
      </c>
      <c r="C163" s="21" t="s">
        <v>11</v>
      </c>
      <c r="D163" s="22">
        <v>14.98</v>
      </c>
      <c r="E163" s="22">
        <v>0</v>
      </c>
      <c r="F163" s="23">
        <f t="shared" si="27"/>
        <v>254388.28134</v>
      </c>
      <c r="G163" s="16"/>
    </row>
    <row r="164" customHeight="1" spans="1:6">
      <c r="A164" s="20" t="s">
        <v>6</v>
      </c>
      <c r="B164" s="20">
        <v>45546</v>
      </c>
      <c r="C164" s="24" t="s">
        <v>60</v>
      </c>
      <c r="D164" s="25">
        <v>0</v>
      </c>
      <c r="E164" s="16">
        <v>328.8</v>
      </c>
      <c r="F164" s="23">
        <f t="shared" ref="F164:F174" si="28">F163-D164+E164</f>
        <v>254717.08134</v>
      </c>
    </row>
    <row r="165" customHeight="1" spans="1:6">
      <c r="A165" s="20" t="s">
        <v>6</v>
      </c>
      <c r="B165" s="20">
        <v>45546</v>
      </c>
      <c r="C165" s="24" t="s">
        <v>31</v>
      </c>
      <c r="D165" s="25">
        <v>0</v>
      </c>
      <c r="E165" s="16">
        <v>3016.44</v>
      </c>
      <c r="F165" s="23">
        <f t="shared" si="28"/>
        <v>257733.52134</v>
      </c>
    </row>
    <row r="166" customHeight="1" spans="1:6">
      <c r="A166" s="20" t="s">
        <v>6</v>
      </c>
      <c r="B166" s="20">
        <v>45546</v>
      </c>
      <c r="C166" s="24" t="s">
        <v>51</v>
      </c>
      <c r="D166" s="25">
        <v>0</v>
      </c>
      <c r="E166" s="16">
        <v>5520</v>
      </c>
      <c r="F166" s="23">
        <f t="shared" si="28"/>
        <v>263253.52134</v>
      </c>
    </row>
    <row r="167" customHeight="1" spans="1:6">
      <c r="A167" s="20" t="s">
        <v>6</v>
      </c>
      <c r="B167" s="20">
        <v>45546</v>
      </c>
      <c r="C167" s="24" t="s">
        <v>31</v>
      </c>
      <c r="D167" s="25">
        <v>0</v>
      </c>
      <c r="E167" s="16">
        <v>10777.2</v>
      </c>
      <c r="F167" s="23">
        <f t="shared" si="28"/>
        <v>274030.72134</v>
      </c>
    </row>
    <row r="168" customHeight="1" spans="1:6">
      <c r="A168" s="20" t="s">
        <v>6</v>
      </c>
      <c r="B168" s="20">
        <v>45547</v>
      </c>
      <c r="C168" s="24" t="s">
        <v>37</v>
      </c>
      <c r="D168" s="25">
        <v>0</v>
      </c>
      <c r="E168" s="16">
        <v>1612.22</v>
      </c>
      <c r="F168" s="23">
        <f t="shared" si="28"/>
        <v>275642.94134</v>
      </c>
    </row>
    <row r="169" customHeight="1" spans="1:6">
      <c r="A169" s="20" t="s">
        <v>6</v>
      </c>
      <c r="B169" s="20">
        <v>45547</v>
      </c>
      <c r="C169" s="24" t="s">
        <v>52</v>
      </c>
      <c r="D169" s="25">
        <v>0</v>
      </c>
      <c r="E169" s="16">
        <v>1890</v>
      </c>
      <c r="F169" s="23">
        <f t="shared" si="28"/>
        <v>277532.94134</v>
      </c>
    </row>
    <row r="170" customHeight="1" spans="1:6">
      <c r="A170" s="20" t="s">
        <v>6</v>
      </c>
      <c r="B170" s="20">
        <v>45547</v>
      </c>
      <c r="C170" s="24" t="s">
        <v>55</v>
      </c>
      <c r="D170" s="25">
        <v>0</v>
      </c>
      <c r="E170" s="16">
        <v>432</v>
      </c>
      <c r="F170" s="23">
        <f t="shared" si="28"/>
        <v>277964.94134</v>
      </c>
    </row>
    <row r="171" customHeight="1" spans="1:6">
      <c r="A171" s="20" t="s">
        <v>6</v>
      </c>
      <c r="B171" s="20">
        <v>45547</v>
      </c>
      <c r="C171" s="24" t="s">
        <v>30</v>
      </c>
      <c r="D171" s="25">
        <v>0</v>
      </c>
      <c r="E171" s="16">
        <v>11660.22</v>
      </c>
      <c r="F171" s="23">
        <f t="shared" si="28"/>
        <v>289625.16134</v>
      </c>
    </row>
    <row r="172" customHeight="1" spans="1:6">
      <c r="A172" s="20" t="s">
        <v>6</v>
      </c>
      <c r="B172" s="20">
        <v>45547</v>
      </c>
      <c r="C172" s="24" t="s">
        <v>56</v>
      </c>
      <c r="D172" s="25">
        <v>0</v>
      </c>
      <c r="E172" s="16">
        <v>1260</v>
      </c>
      <c r="F172" s="23">
        <f t="shared" si="28"/>
        <v>290885.16134</v>
      </c>
    </row>
    <row r="173" customHeight="1" spans="1:6">
      <c r="A173" s="20">
        <v>45545</v>
      </c>
      <c r="B173" s="20">
        <v>45547</v>
      </c>
      <c r="C173" s="24" t="s">
        <v>74</v>
      </c>
      <c r="D173" s="25">
        <v>0</v>
      </c>
      <c r="E173" s="16">
        <v>63359.35</v>
      </c>
      <c r="F173" s="23">
        <f t="shared" si="28"/>
        <v>354244.51134</v>
      </c>
    </row>
    <row r="174" customHeight="1" spans="1:6">
      <c r="A174" s="20">
        <v>45545</v>
      </c>
      <c r="B174" s="20">
        <v>45547</v>
      </c>
      <c r="C174" s="21" t="s">
        <v>11</v>
      </c>
      <c r="D174" s="22">
        <v>14.98</v>
      </c>
      <c r="E174" s="22">
        <v>0</v>
      </c>
      <c r="F174" s="23">
        <f t="shared" si="28"/>
        <v>354229.53134</v>
      </c>
    </row>
    <row r="175" customHeight="1" spans="1:6">
      <c r="A175" s="20" t="s">
        <v>6</v>
      </c>
      <c r="B175" s="20">
        <v>45548</v>
      </c>
      <c r="C175" s="24" t="s">
        <v>34</v>
      </c>
      <c r="D175" s="25">
        <v>0</v>
      </c>
      <c r="E175" s="16">
        <v>2204</v>
      </c>
      <c r="F175" s="23">
        <f t="shared" ref="F175:F176" si="29">F174-D175+E175</f>
        <v>356433.53134</v>
      </c>
    </row>
    <row r="176" customHeight="1" spans="1:6">
      <c r="A176" s="20" t="s">
        <v>6</v>
      </c>
      <c r="B176" s="20">
        <v>45548</v>
      </c>
      <c r="C176" s="24" t="s">
        <v>61</v>
      </c>
      <c r="D176" s="25">
        <v>0</v>
      </c>
      <c r="E176" s="16">
        <v>297</v>
      </c>
      <c r="F176" s="23">
        <f t="shared" si="29"/>
        <v>356730.53134</v>
      </c>
    </row>
    <row r="177" customHeight="1" spans="1:6">
      <c r="A177" s="20" t="s">
        <v>6</v>
      </c>
      <c r="B177" s="20">
        <v>45549</v>
      </c>
      <c r="C177" s="21" t="s">
        <v>16</v>
      </c>
      <c r="D177" s="22">
        <v>20</v>
      </c>
      <c r="E177" s="22">
        <v>0</v>
      </c>
      <c r="F177" s="23">
        <f t="shared" ref="F177:F200" si="30">F176-D177+E177</f>
        <v>356710.53134</v>
      </c>
    </row>
    <row r="178" customHeight="1" spans="1:6">
      <c r="A178" s="20" t="s">
        <v>6</v>
      </c>
      <c r="B178" s="20">
        <v>45551</v>
      </c>
      <c r="C178" s="21" t="s">
        <v>18</v>
      </c>
      <c r="D178" s="22">
        <v>432</v>
      </c>
      <c r="E178" s="22">
        <v>0</v>
      </c>
      <c r="F178" s="23">
        <f t="shared" si="30"/>
        <v>356278.53134</v>
      </c>
    </row>
    <row r="179" customHeight="1" spans="1:6">
      <c r="A179" s="20">
        <v>45551</v>
      </c>
      <c r="B179" s="20">
        <v>45553</v>
      </c>
      <c r="C179" s="24" t="s">
        <v>70</v>
      </c>
      <c r="D179" s="25">
        <v>0</v>
      </c>
      <c r="E179" s="16">
        <v>19077.65</v>
      </c>
      <c r="F179" s="23">
        <f t="shared" si="30"/>
        <v>375356.18134</v>
      </c>
    </row>
    <row r="180" customHeight="1" spans="1:6">
      <c r="A180" s="20">
        <v>45551</v>
      </c>
      <c r="B180" s="20">
        <v>45553</v>
      </c>
      <c r="C180" s="21" t="s">
        <v>11</v>
      </c>
      <c r="D180" s="22">
        <v>14.98</v>
      </c>
      <c r="E180" s="22">
        <v>0</v>
      </c>
      <c r="F180" s="23">
        <f t="shared" si="30"/>
        <v>375341.20134</v>
      </c>
    </row>
    <row r="181" customHeight="1" spans="1:6">
      <c r="A181" s="20">
        <v>45554</v>
      </c>
      <c r="B181" s="20">
        <v>45558</v>
      </c>
      <c r="C181" s="24" t="s">
        <v>26</v>
      </c>
      <c r="D181" s="25">
        <v>0</v>
      </c>
      <c r="E181" s="16">
        <v>41607.64</v>
      </c>
      <c r="F181" s="23">
        <f t="shared" si="30"/>
        <v>416948.84134</v>
      </c>
    </row>
    <row r="182" customHeight="1" spans="1:6">
      <c r="A182" s="20">
        <v>45554</v>
      </c>
      <c r="B182" s="20">
        <v>45558</v>
      </c>
      <c r="C182" s="21" t="s">
        <v>11</v>
      </c>
      <c r="D182" s="22">
        <v>14.98</v>
      </c>
      <c r="E182" s="22">
        <v>0</v>
      </c>
      <c r="F182" s="23">
        <f t="shared" si="30"/>
        <v>416933.86134</v>
      </c>
    </row>
    <row r="183" customHeight="1" spans="1:6">
      <c r="A183" s="20" t="s">
        <v>6</v>
      </c>
      <c r="B183" s="20">
        <v>45558</v>
      </c>
      <c r="C183" s="24" t="s">
        <v>75</v>
      </c>
      <c r="D183" s="25">
        <v>0</v>
      </c>
      <c r="E183" s="16">
        <v>30400</v>
      </c>
      <c r="F183" s="23">
        <f t="shared" si="30"/>
        <v>447333.86134</v>
      </c>
    </row>
    <row r="184" customHeight="1" spans="1:6">
      <c r="A184" s="20" t="s">
        <v>6</v>
      </c>
      <c r="B184" s="20">
        <v>45558</v>
      </c>
      <c r="C184" s="24" t="s">
        <v>76</v>
      </c>
      <c r="D184" s="25">
        <v>5700</v>
      </c>
      <c r="E184" s="16">
        <v>0</v>
      </c>
      <c r="F184" s="23">
        <f t="shared" si="30"/>
        <v>441633.86134</v>
      </c>
    </row>
    <row r="185" customHeight="1" spans="1:6">
      <c r="A185" s="20" t="s">
        <v>6</v>
      </c>
      <c r="B185" s="20">
        <v>45559</v>
      </c>
      <c r="C185" s="24" t="s">
        <v>38</v>
      </c>
      <c r="D185" s="25">
        <v>0</v>
      </c>
      <c r="E185" s="16">
        <v>6174</v>
      </c>
      <c r="F185" s="23">
        <f t="shared" si="30"/>
        <v>447807.86134</v>
      </c>
    </row>
    <row r="186" customHeight="1" spans="1:6">
      <c r="A186" s="20">
        <v>45555</v>
      </c>
      <c r="B186" s="20">
        <v>45559</v>
      </c>
      <c r="C186" s="24" t="s">
        <v>75</v>
      </c>
      <c r="D186" s="25">
        <v>0</v>
      </c>
      <c r="E186" s="16">
        <v>64856.03</v>
      </c>
      <c r="F186" s="23">
        <f t="shared" si="30"/>
        <v>512663.89134</v>
      </c>
    </row>
    <row r="187" customHeight="1" spans="1:6">
      <c r="A187" s="20">
        <v>45554</v>
      </c>
      <c r="B187" s="20">
        <v>45558</v>
      </c>
      <c r="C187" s="21" t="s">
        <v>11</v>
      </c>
      <c r="D187" s="22">
        <v>14.98</v>
      </c>
      <c r="E187" s="22">
        <v>0</v>
      </c>
      <c r="F187" s="23">
        <f t="shared" si="30"/>
        <v>512648.91134</v>
      </c>
    </row>
    <row r="188" customHeight="1" spans="1:6">
      <c r="A188" s="20">
        <v>45560</v>
      </c>
      <c r="B188" s="20">
        <v>45562</v>
      </c>
      <c r="C188" s="24" t="s">
        <v>77</v>
      </c>
      <c r="D188" s="25">
        <v>0</v>
      </c>
      <c r="E188" s="16">
        <v>24096.1</v>
      </c>
      <c r="F188" s="23">
        <f t="shared" si="30"/>
        <v>536745.01134</v>
      </c>
    </row>
    <row r="189" customHeight="1" spans="1:6">
      <c r="A189" s="20">
        <v>45560</v>
      </c>
      <c r="B189" s="20">
        <v>45562</v>
      </c>
      <c r="C189" s="21" t="s">
        <v>11</v>
      </c>
      <c r="D189" s="22">
        <v>14.98</v>
      </c>
      <c r="E189" s="22">
        <v>0</v>
      </c>
      <c r="F189" s="23">
        <f t="shared" si="30"/>
        <v>536730.03134</v>
      </c>
    </row>
    <row r="190" customHeight="1" spans="1:6">
      <c r="A190" s="20">
        <v>45561</v>
      </c>
      <c r="B190" s="20">
        <v>45565</v>
      </c>
      <c r="C190" s="24" t="s">
        <v>72</v>
      </c>
      <c r="D190" s="25">
        <v>25055.37</v>
      </c>
      <c r="E190" s="16">
        <v>0</v>
      </c>
      <c r="F190" s="23">
        <f t="shared" si="30"/>
        <v>511674.66134</v>
      </c>
    </row>
    <row r="191" customHeight="1" spans="1:6">
      <c r="A191" s="20">
        <v>45561</v>
      </c>
      <c r="B191" s="20">
        <v>45565</v>
      </c>
      <c r="C191" s="21" t="s">
        <v>11</v>
      </c>
      <c r="D191" s="22">
        <v>14.98</v>
      </c>
      <c r="E191" s="22">
        <v>0</v>
      </c>
      <c r="F191" s="23">
        <f t="shared" si="30"/>
        <v>511659.68134</v>
      </c>
    </row>
    <row r="192" customHeight="1" spans="1:6">
      <c r="A192" s="20" t="s">
        <v>6</v>
      </c>
      <c r="B192" s="20">
        <v>45568</v>
      </c>
      <c r="C192" s="24" t="s">
        <v>78</v>
      </c>
      <c r="D192" s="25">
        <v>0</v>
      </c>
      <c r="E192" s="16">
        <v>0.32</v>
      </c>
      <c r="F192" s="23">
        <f t="shared" si="30"/>
        <v>511660.00134</v>
      </c>
    </row>
    <row r="193" customHeight="1" spans="1:6">
      <c r="A193" s="20">
        <v>45569</v>
      </c>
      <c r="B193" s="20">
        <v>45573</v>
      </c>
      <c r="C193" s="24" t="s">
        <v>14</v>
      </c>
      <c r="D193" s="25">
        <v>53618.5</v>
      </c>
      <c r="E193" s="16">
        <v>0</v>
      </c>
      <c r="F193" s="23">
        <f t="shared" si="30"/>
        <v>458041.50134</v>
      </c>
    </row>
    <row r="194" customHeight="1" spans="1:6">
      <c r="A194" s="20">
        <v>45569</v>
      </c>
      <c r="B194" s="20">
        <v>45573</v>
      </c>
      <c r="C194" s="21" t="s">
        <v>11</v>
      </c>
      <c r="D194" s="22">
        <v>14.98</v>
      </c>
      <c r="E194" s="22">
        <v>0</v>
      </c>
      <c r="F194" s="23">
        <f t="shared" si="30"/>
        <v>458026.52134</v>
      </c>
    </row>
    <row r="195" customHeight="1" spans="1:6">
      <c r="A195" s="20" t="s">
        <v>6</v>
      </c>
      <c r="B195" s="20">
        <v>45576</v>
      </c>
      <c r="C195" s="24" t="s">
        <v>79</v>
      </c>
      <c r="D195" s="25">
        <v>0</v>
      </c>
      <c r="E195" s="16">
        <v>1468.8</v>
      </c>
      <c r="F195" s="23">
        <f t="shared" si="30"/>
        <v>459495.32134</v>
      </c>
    </row>
    <row r="196" customHeight="1" spans="1:6">
      <c r="A196" s="20" t="s">
        <v>6</v>
      </c>
      <c r="B196" s="20">
        <v>45577</v>
      </c>
      <c r="C196" s="21" t="s">
        <v>16</v>
      </c>
      <c r="D196" s="22">
        <v>20</v>
      </c>
      <c r="E196" s="22">
        <v>0</v>
      </c>
      <c r="F196" s="23">
        <f t="shared" si="30"/>
        <v>459475.32134</v>
      </c>
    </row>
    <row r="197" customHeight="1" spans="1:6">
      <c r="A197" s="20" t="s">
        <v>6</v>
      </c>
      <c r="B197" s="20">
        <v>45580</v>
      </c>
      <c r="C197" s="21" t="s">
        <v>18</v>
      </c>
      <c r="D197" s="22">
        <v>432</v>
      </c>
      <c r="E197" s="22">
        <v>0</v>
      </c>
      <c r="F197" s="23">
        <f t="shared" si="30"/>
        <v>459043.32134</v>
      </c>
    </row>
    <row r="198" customHeight="1" spans="1:6">
      <c r="A198" s="20" t="s">
        <v>6</v>
      </c>
      <c r="B198" s="20">
        <v>45593</v>
      </c>
      <c r="C198" s="21" t="s">
        <v>24</v>
      </c>
      <c r="D198" s="22">
        <v>2000</v>
      </c>
      <c r="E198" s="22">
        <v>0</v>
      </c>
      <c r="F198" s="23">
        <f t="shared" si="30"/>
        <v>457043.32134</v>
      </c>
    </row>
    <row r="199" customHeight="1" spans="1:6">
      <c r="A199" s="20">
        <v>45590</v>
      </c>
      <c r="B199" s="20">
        <v>45573</v>
      </c>
      <c r="C199" s="24" t="s">
        <v>80</v>
      </c>
      <c r="D199" s="25">
        <v>18039.87</v>
      </c>
      <c r="E199" s="16">
        <v>0</v>
      </c>
      <c r="F199" s="23">
        <f t="shared" si="30"/>
        <v>439003.45134</v>
      </c>
    </row>
    <row r="200" customHeight="1" spans="1:6">
      <c r="A200" s="20">
        <v>45590</v>
      </c>
      <c r="B200" s="20">
        <v>45573</v>
      </c>
      <c r="C200" s="21" t="s">
        <v>11</v>
      </c>
      <c r="D200" s="22">
        <v>14.98</v>
      </c>
      <c r="E200" s="22">
        <v>0</v>
      </c>
      <c r="F200" s="23">
        <f t="shared" si="30"/>
        <v>438988.47134</v>
      </c>
    </row>
    <row r="201" customHeight="1" spans="1:6">
      <c r="A201" s="20" t="s">
        <v>6</v>
      </c>
      <c r="B201" s="20">
        <v>45597</v>
      </c>
      <c r="C201" s="21" t="s">
        <v>7</v>
      </c>
      <c r="D201" s="22">
        <v>1300</v>
      </c>
      <c r="E201" s="22">
        <v>0</v>
      </c>
      <c r="F201" s="23">
        <f t="shared" ref="F201:F204" si="31">F200-D201+E201</f>
        <v>437688.47134</v>
      </c>
    </row>
    <row r="202" customHeight="1" spans="1:6">
      <c r="A202" s="20">
        <v>45602</v>
      </c>
      <c r="B202" s="20">
        <v>45604</v>
      </c>
      <c r="C202" s="24" t="s">
        <v>81</v>
      </c>
      <c r="D202" s="25">
        <v>99820.6</v>
      </c>
      <c r="E202" s="16">
        <v>0</v>
      </c>
      <c r="F202" s="23">
        <f t="shared" si="31"/>
        <v>337867.87134</v>
      </c>
    </row>
    <row r="203" customHeight="1" spans="1:6">
      <c r="A203" s="20">
        <v>45602</v>
      </c>
      <c r="B203" s="20">
        <v>45604</v>
      </c>
      <c r="C203" s="21" t="s">
        <v>11</v>
      </c>
      <c r="D203" s="22">
        <v>14.98</v>
      </c>
      <c r="E203" s="22">
        <v>0</v>
      </c>
      <c r="F203" s="23">
        <f t="shared" si="31"/>
        <v>337852.89134</v>
      </c>
    </row>
    <row r="204" customHeight="1" spans="1:6">
      <c r="A204" s="20" t="s">
        <v>6</v>
      </c>
      <c r="B204" s="20">
        <v>45605</v>
      </c>
      <c r="C204" s="21" t="s">
        <v>16</v>
      </c>
      <c r="D204" s="22">
        <v>20</v>
      </c>
      <c r="E204" s="22">
        <v>0</v>
      </c>
      <c r="F204" s="23">
        <f t="shared" si="31"/>
        <v>337832.89134</v>
      </c>
    </row>
    <row r="205" customHeight="1" spans="1:6">
      <c r="A205" s="20">
        <v>45604</v>
      </c>
      <c r="B205" s="20">
        <v>45608</v>
      </c>
      <c r="C205" s="24" t="s">
        <v>25</v>
      </c>
      <c r="D205" s="25">
        <v>45600.78</v>
      </c>
      <c r="E205" s="16">
        <v>0</v>
      </c>
      <c r="F205" s="23">
        <f t="shared" ref="F205:F212" si="32">F204-D205+E205</f>
        <v>292232.11134</v>
      </c>
    </row>
    <row r="206" customHeight="1" spans="1:6">
      <c r="A206" s="20">
        <v>45604</v>
      </c>
      <c r="B206" s="20">
        <v>45608</v>
      </c>
      <c r="C206" s="21" t="s">
        <v>11</v>
      </c>
      <c r="D206" s="22">
        <v>14.98</v>
      </c>
      <c r="E206" s="22">
        <v>0</v>
      </c>
      <c r="F206" s="23">
        <f t="shared" si="32"/>
        <v>292217.13134</v>
      </c>
    </row>
    <row r="207" customHeight="1" spans="1:6">
      <c r="A207" s="20">
        <v>45608</v>
      </c>
      <c r="B207" s="20">
        <v>45610</v>
      </c>
      <c r="C207" s="24" t="s">
        <v>14</v>
      </c>
      <c r="D207" s="25">
        <v>46603</v>
      </c>
      <c r="E207" s="16">
        <v>0</v>
      </c>
      <c r="F207" s="23">
        <f t="shared" si="32"/>
        <v>245614.13134</v>
      </c>
    </row>
    <row r="208" customHeight="1" spans="1:6">
      <c r="A208" s="20">
        <v>45608</v>
      </c>
      <c r="B208" s="20">
        <v>45610</v>
      </c>
      <c r="C208" s="21" t="s">
        <v>11</v>
      </c>
      <c r="D208" s="22">
        <v>14.98</v>
      </c>
      <c r="E208" s="22">
        <v>0</v>
      </c>
      <c r="F208" s="23">
        <f t="shared" si="32"/>
        <v>245599.15134</v>
      </c>
    </row>
    <row r="209" customHeight="1" spans="1:6">
      <c r="A209" s="20" t="s">
        <v>6</v>
      </c>
      <c r="B209" s="20">
        <v>45625</v>
      </c>
      <c r="C209" s="21" t="s">
        <v>18</v>
      </c>
      <c r="D209" s="22">
        <v>432</v>
      </c>
      <c r="E209" s="22">
        <v>0</v>
      </c>
      <c r="F209" s="23">
        <f t="shared" si="32"/>
        <v>245167.15134</v>
      </c>
    </row>
    <row r="210" customHeight="1" spans="1:6">
      <c r="A210" s="20">
        <v>45615</v>
      </c>
      <c r="B210" s="20">
        <v>45617</v>
      </c>
      <c r="C210" s="24" t="s">
        <v>82</v>
      </c>
      <c r="D210" s="25">
        <v>0</v>
      </c>
      <c r="E210" s="16">
        <v>2544.34</v>
      </c>
      <c r="F210" s="23">
        <f t="shared" si="32"/>
        <v>247711.49134</v>
      </c>
    </row>
    <row r="211" customHeight="1" spans="1:6">
      <c r="A211" s="20"/>
      <c r="B211" s="20">
        <v>45617</v>
      </c>
      <c r="C211" s="24" t="s">
        <v>75</v>
      </c>
      <c r="D211" s="25">
        <v>0</v>
      </c>
      <c r="E211" s="16">
        <v>24000</v>
      </c>
      <c r="F211" s="23">
        <f t="shared" si="32"/>
        <v>271711.49134</v>
      </c>
    </row>
    <row r="212" customHeight="1" spans="1:6">
      <c r="A212" s="20"/>
      <c r="B212" s="20">
        <v>45617</v>
      </c>
      <c r="C212" s="21" t="s">
        <v>21</v>
      </c>
      <c r="D212" s="22">
        <v>4800</v>
      </c>
      <c r="E212" s="22">
        <v>0</v>
      </c>
      <c r="F212" s="23">
        <f t="shared" si="32"/>
        <v>266911.49134</v>
      </c>
    </row>
    <row r="213" customHeight="1" spans="1:6">
      <c r="A213" s="20"/>
      <c r="B213" s="20">
        <v>45626</v>
      </c>
      <c r="C213" s="21" t="s">
        <v>21</v>
      </c>
      <c r="D213" s="22">
        <v>10000</v>
      </c>
      <c r="E213" s="22">
        <v>0</v>
      </c>
      <c r="F213" s="23">
        <f t="shared" ref="F213:F214" si="33">F212-D213+E213</f>
        <v>256911.49134</v>
      </c>
    </row>
    <row r="214" customHeight="1" spans="1:6">
      <c r="A214" s="20"/>
      <c r="B214" s="20">
        <v>45632</v>
      </c>
      <c r="C214" s="24" t="s">
        <v>28</v>
      </c>
      <c r="D214" s="26">
        <v>0</v>
      </c>
      <c r="E214" s="16">
        <v>6999.3</v>
      </c>
      <c r="F214" s="23">
        <f t="shared" si="33"/>
        <v>263910.79134</v>
      </c>
    </row>
    <row r="215" customHeight="1" spans="1:6">
      <c r="A215" s="20"/>
      <c r="B215" s="20">
        <v>45632</v>
      </c>
      <c r="C215" s="24" t="s">
        <v>53</v>
      </c>
      <c r="D215" s="26">
        <v>0</v>
      </c>
      <c r="E215" s="16">
        <v>12150</v>
      </c>
      <c r="F215" s="23">
        <f t="shared" ref="F215" si="34">F214-D215+E215</f>
        <v>276060.79134</v>
      </c>
    </row>
    <row r="216" customHeight="1" spans="1:6">
      <c r="A216" s="20"/>
      <c r="B216" s="20">
        <v>45637</v>
      </c>
      <c r="C216" s="24" t="s">
        <v>56</v>
      </c>
      <c r="D216" s="26">
        <v>0</v>
      </c>
      <c r="E216" s="16">
        <v>1134</v>
      </c>
      <c r="F216" s="23">
        <f t="shared" ref="F216:F225" si="35">F215-D216+E216</f>
        <v>277194.79134</v>
      </c>
    </row>
    <row r="217" customHeight="1" spans="1:6">
      <c r="A217" s="20"/>
      <c r="B217" s="20">
        <v>45638</v>
      </c>
      <c r="C217" s="24" t="s">
        <v>31</v>
      </c>
      <c r="D217" s="26">
        <v>0</v>
      </c>
      <c r="E217" s="16">
        <v>3531.3</v>
      </c>
      <c r="F217" s="23">
        <f t="shared" si="35"/>
        <v>280726.09134</v>
      </c>
    </row>
    <row r="218" customHeight="1" spans="1:6">
      <c r="A218" s="20"/>
      <c r="B218" s="20">
        <v>45638</v>
      </c>
      <c r="C218" s="24" t="s">
        <v>54</v>
      </c>
      <c r="D218" s="26">
        <v>0</v>
      </c>
      <c r="E218" s="16">
        <v>324</v>
      </c>
      <c r="F218" s="23">
        <f t="shared" si="35"/>
        <v>281050.09134</v>
      </c>
    </row>
    <row r="219" customHeight="1" spans="1:6">
      <c r="A219" s="20"/>
      <c r="B219" s="20">
        <v>45638</v>
      </c>
      <c r="C219" s="24" t="s">
        <v>31</v>
      </c>
      <c r="D219" s="26">
        <v>0</v>
      </c>
      <c r="E219" s="16">
        <v>15734.43</v>
      </c>
      <c r="F219" s="23">
        <f t="shared" si="35"/>
        <v>296784.52134</v>
      </c>
    </row>
    <row r="220" customHeight="1" spans="1:6">
      <c r="A220" s="20"/>
      <c r="B220" s="20">
        <v>45639</v>
      </c>
      <c r="C220" s="24" t="s">
        <v>37</v>
      </c>
      <c r="D220" s="26">
        <v>0</v>
      </c>
      <c r="E220" s="16">
        <v>2418.75</v>
      </c>
      <c r="F220" s="23">
        <f t="shared" si="35"/>
        <v>299203.27134</v>
      </c>
    </row>
    <row r="221" customHeight="1" spans="1:6">
      <c r="A221" s="20"/>
      <c r="B221" s="20">
        <v>45639</v>
      </c>
      <c r="C221" s="24" t="s">
        <v>35</v>
      </c>
      <c r="D221" s="26">
        <v>0</v>
      </c>
      <c r="E221" s="16">
        <v>3474</v>
      </c>
      <c r="F221" s="23">
        <f t="shared" si="35"/>
        <v>302677.27134</v>
      </c>
    </row>
    <row r="222" customHeight="1" spans="1:6">
      <c r="A222" s="20"/>
      <c r="B222" s="20">
        <v>45639</v>
      </c>
      <c r="C222" s="24" t="s">
        <v>57</v>
      </c>
      <c r="D222" s="26">
        <v>0</v>
      </c>
      <c r="E222" s="16">
        <v>945</v>
      </c>
      <c r="F222" s="23">
        <f t="shared" si="35"/>
        <v>303622.27134</v>
      </c>
    </row>
    <row r="223" customHeight="1" spans="1:6">
      <c r="A223" s="20"/>
      <c r="B223" s="20">
        <v>45638</v>
      </c>
      <c r="C223" s="24" t="s">
        <v>31</v>
      </c>
      <c r="D223" s="26">
        <v>5852.88</v>
      </c>
      <c r="E223" s="16">
        <v>0</v>
      </c>
      <c r="F223" s="23">
        <f t="shared" si="35"/>
        <v>297769.39134</v>
      </c>
    </row>
    <row r="224" customHeight="1" spans="1:6">
      <c r="A224" s="20" t="s">
        <v>6</v>
      </c>
      <c r="B224" s="20">
        <v>45640</v>
      </c>
      <c r="C224" s="21" t="s">
        <v>16</v>
      </c>
      <c r="D224" s="22">
        <v>20</v>
      </c>
      <c r="E224" s="22">
        <v>0</v>
      </c>
      <c r="F224" s="23">
        <f t="shared" si="35"/>
        <v>297749.39134</v>
      </c>
    </row>
    <row r="225" customHeight="1" spans="1:6">
      <c r="A225" s="20" t="s">
        <v>6</v>
      </c>
      <c r="B225" s="20">
        <v>45642</v>
      </c>
      <c r="C225" s="21" t="s">
        <v>24</v>
      </c>
      <c r="D225" s="22">
        <v>1900</v>
      </c>
      <c r="E225" s="22">
        <v>0</v>
      </c>
      <c r="F225" s="23">
        <f t="shared" si="35"/>
        <v>295849.39134</v>
      </c>
    </row>
    <row r="226" customHeight="1" spans="1:6">
      <c r="A226" s="20" t="s">
        <v>6</v>
      </c>
      <c r="B226" s="20">
        <v>46007</v>
      </c>
      <c r="C226" s="21" t="s">
        <v>18</v>
      </c>
      <c r="D226" s="22">
        <v>432</v>
      </c>
      <c r="E226" s="22">
        <v>0</v>
      </c>
      <c r="F226" s="23">
        <f t="shared" ref="F226:F232" si="36">F225-D226+E226</f>
        <v>295417.39134</v>
      </c>
    </row>
    <row r="227" customHeight="1" spans="1:6">
      <c r="A227" s="20"/>
      <c r="B227" s="20">
        <v>45643</v>
      </c>
      <c r="C227" s="24" t="s">
        <v>38</v>
      </c>
      <c r="D227" s="26">
        <v>0</v>
      </c>
      <c r="E227" s="16">
        <v>10030.5</v>
      </c>
      <c r="F227" s="23">
        <f t="shared" si="36"/>
        <v>305447.89134</v>
      </c>
    </row>
    <row r="228" customHeight="1" spans="1:6">
      <c r="A228" s="20"/>
      <c r="B228" s="20">
        <v>45651</v>
      </c>
      <c r="C228" s="24" t="s">
        <v>30</v>
      </c>
      <c r="D228" s="26">
        <v>0</v>
      </c>
      <c r="E228" s="16">
        <v>10789.2</v>
      </c>
      <c r="F228" s="23">
        <f t="shared" si="36"/>
        <v>316237.09134</v>
      </c>
    </row>
    <row r="229" customHeight="1" spans="1:6">
      <c r="A229" s="20"/>
      <c r="B229" s="20">
        <v>45653</v>
      </c>
      <c r="C229" s="24" t="s">
        <v>34</v>
      </c>
      <c r="D229" s="26">
        <v>0</v>
      </c>
      <c r="E229" s="16">
        <v>2384</v>
      </c>
      <c r="F229" s="23">
        <f t="shared" si="36"/>
        <v>318621.09134</v>
      </c>
    </row>
    <row r="230" customHeight="1" spans="1:6">
      <c r="A230" s="20" t="s">
        <v>6</v>
      </c>
      <c r="B230" s="20">
        <v>45658</v>
      </c>
      <c r="C230" s="21" t="s">
        <v>7</v>
      </c>
      <c r="D230" s="22">
        <v>1270.1</v>
      </c>
      <c r="E230" s="22">
        <v>0</v>
      </c>
      <c r="F230" s="23">
        <f t="shared" si="36"/>
        <v>317350.99134</v>
      </c>
    </row>
    <row r="231" customHeight="1" spans="1:6">
      <c r="A231" s="20" t="s">
        <v>6</v>
      </c>
      <c r="B231" s="20">
        <v>45668</v>
      </c>
      <c r="C231" s="21" t="s">
        <v>16</v>
      </c>
      <c r="D231" s="22">
        <v>20</v>
      </c>
      <c r="E231" s="22">
        <v>0</v>
      </c>
      <c r="F231" s="23">
        <f t="shared" si="36"/>
        <v>317330.99134</v>
      </c>
    </row>
    <row r="232" customHeight="1" spans="1:6">
      <c r="A232" s="20" t="s">
        <v>6</v>
      </c>
      <c r="B232" s="20">
        <v>45992</v>
      </c>
      <c r="C232" s="21" t="s">
        <v>83</v>
      </c>
      <c r="D232" s="22">
        <v>250</v>
      </c>
      <c r="E232" s="22">
        <v>0</v>
      </c>
      <c r="F232" s="23">
        <f t="shared" si="36"/>
        <v>317080.99134</v>
      </c>
    </row>
    <row r="233" customHeight="1" spans="1:6">
      <c r="A233" s="20" t="s">
        <v>6</v>
      </c>
      <c r="B233" s="20">
        <v>45672</v>
      </c>
      <c r="C233" s="21" t="s">
        <v>18</v>
      </c>
      <c r="D233" s="22">
        <v>432</v>
      </c>
      <c r="E233" s="22">
        <v>0</v>
      </c>
      <c r="F233" s="23">
        <f t="shared" ref="F233:F237" si="37">F232-D233+E233</f>
        <v>316648.99134</v>
      </c>
    </row>
    <row r="234" customHeight="1" spans="1:6">
      <c r="A234" s="20"/>
      <c r="B234" s="20">
        <v>45678</v>
      </c>
      <c r="C234" s="24" t="s">
        <v>84</v>
      </c>
      <c r="D234" s="26">
        <v>0</v>
      </c>
      <c r="E234" s="16">
        <v>56805.28</v>
      </c>
      <c r="F234" s="23">
        <f t="shared" si="37"/>
        <v>373454.27134</v>
      </c>
    </row>
    <row r="235" customHeight="1" spans="1:6">
      <c r="A235" s="20" t="s">
        <v>6</v>
      </c>
      <c r="B235" s="20">
        <v>45684</v>
      </c>
      <c r="C235" s="21" t="s">
        <v>24</v>
      </c>
      <c r="D235" s="22">
        <v>0</v>
      </c>
      <c r="E235" s="22">
        <v>10000</v>
      </c>
      <c r="F235" s="23">
        <f t="shared" si="37"/>
        <v>383454.27134</v>
      </c>
    </row>
    <row r="236" customHeight="1" spans="1:6">
      <c r="A236" s="20" t="s">
        <v>6</v>
      </c>
      <c r="B236" s="20">
        <v>45684</v>
      </c>
      <c r="C236" s="21" t="s">
        <v>24</v>
      </c>
      <c r="D236" s="22">
        <v>10000</v>
      </c>
      <c r="E236" s="22">
        <v>0</v>
      </c>
      <c r="F236" s="23">
        <f t="shared" si="37"/>
        <v>373454.27134</v>
      </c>
    </row>
    <row r="237" customHeight="1" spans="1:6">
      <c r="A237" s="20" t="s">
        <v>6</v>
      </c>
      <c r="B237" s="20">
        <v>45696</v>
      </c>
      <c r="C237" s="21" t="s">
        <v>16</v>
      </c>
      <c r="D237" s="22">
        <v>20</v>
      </c>
      <c r="E237" s="22">
        <v>0</v>
      </c>
      <c r="F237" s="23">
        <f t="shared" si="37"/>
        <v>373434.27134</v>
      </c>
    </row>
    <row r="238" customHeight="1" spans="1:6">
      <c r="A238" s="20">
        <v>45701</v>
      </c>
      <c r="B238" s="20">
        <v>45705</v>
      </c>
      <c r="C238" s="24" t="s">
        <v>26</v>
      </c>
      <c r="D238" s="25">
        <v>99219.28</v>
      </c>
      <c r="E238" s="16">
        <v>0</v>
      </c>
      <c r="F238" s="23">
        <f t="shared" ref="F238:F242" si="38">F237-D238+E238</f>
        <v>274214.99134</v>
      </c>
    </row>
    <row r="239" customHeight="1" spans="1:6">
      <c r="A239" s="20">
        <v>45701</v>
      </c>
      <c r="B239" s="20">
        <v>45705</v>
      </c>
      <c r="C239" s="21" t="s">
        <v>11</v>
      </c>
      <c r="D239" s="22">
        <v>14.98</v>
      </c>
      <c r="E239" s="22">
        <v>0</v>
      </c>
      <c r="F239" s="23">
        <f t="shared" si="38"/>
        <v>274200.01134</v>
      </c>
    </row>
    <row r="240" customHeight="1" spans="1:6">
      <c r="A240" s="20" t="s">
        <v>6</v>
      </c>
      <c r="B240" s="20">
        <v>45705</v>
      </c>
      <c r="C240" s="21" t="s">
        <v>18</v>
      </c>
      <c r="D240" s="22">
        <v>432</v>
      </c>
      <c r="E240" s="22">
        <v>0</v>
      </c>
      <c r="F240" s="23">
        <f t="shared" si="38"/>
        <v>273768.01134</v>
      </c>
    </row>
    <row r="241" customHeight="1" spans="2:6">
      <c r="B241" s="20">
        <v>45707</v>
      </c>
      <c r="C241" s="24" t="s">
        <v>24</v>
      </c>
      <c r="D241" s="25">
        <v>25000</v>
      </c>
      <c r="E241" s="16">
        <v>0</v>
      </c>
      <c r="F241" s="23">
        <f t="shared" si="38"/>
        <v>248768.01134</v>
      </c>
    </row>
    <row r="242" customHeight="1" spans="1:6">
      <c r="A242" s="20">
        <v>45705</v>
      </c>
      <c r="B242" s="20">
        <v>45707</v>
      </c>
      <c r="C242" s="24" t="s">
        <v>72</v>
      </c>
      <c r="D242" s="25">
        <v>29064.23</v>
      </c>
      <c r="E242" s="16">
        <v>0</v>
      </c>
      <c r="F242" s="23">
        <f t="shared" si="38"/>
        <v>219703.78134</v>
      </c>
    </row>
    <row r="243" customHeight="1" spans="1:7">
      <c r="A243" s="20">
        <v>45705</v>
      </c>
      <c r="B243" s="20">
        <v>45707</v>
      </c>
      <c r="C243" s="24" t="s">
        <v>80</v>
      </c>
      <c r="D243" s="25">
        <v>0</v>
      </c>
      <c r="E243" s="16">
        <v>44001.95</v>
      </c>
      <c r="F243" s="23">
        <f t="shared" ref="F243:F244" si="39">F242-D243+E243</f>
        <v>263705.73134</v>
      </c>
      <c r="G243" s="27"/>
    </row>
    <row r="244" customHeight="1" spans="1:7">
      <c r="A244" s="20">
        <v>45705</v>
      </c>
      <c r="B244" s="20">
        <v>45707</v>
      </c>
      <c r="C244" s="21" t="s">
        <v>11</v>
      </c>
      <c r="D244" s="22">
        <v>14.98</v>
      </c>
      <c r="E244" s="22">
        <v>0</v>
      </c>
      <c r="F244" s="23">
        <f t="shared" si="39"/>
        <v>263690.75134</v>
      </c>
      <c r="G244" s="27"/>
    </row>
    <row r="245" customHeight="1" spans="1:7">
      <c r="A245" s="20" t="s">
        <v>6</v>
      </c>
      <c r="B245" s="20">
        <v>45707</v>
      </c>
      <c r="C245" s="24" t="s">
        <v>78</v>
      </c>
      <c r="D245" s="25">
        <v>0</v>
      </c>
      <c r="E245" s="16">
        <v>0.37</v>
      </c>
      <c r="F245" s="23">
        <f t="shared" ref="F245:F247" si="40">F244-D245+E245</f>
        <v>263691.12134</v>
      </c>
      <c r="G245" s="27"/>
    </row>
    <row r="246" customHeight="1" spans="1:6">
      <c r="A246" s="20">
        <v>45709</v>
      </c>
      <c r="B246" s="20">
        <v>45713</v>
      </c>
      <c r="C246" s="24" t="s">
        <v>77</v>
      </c>
      <c r="D246" s="25">
        <v>43897.387548</v>
      </c>
      <c r="E246" s="16">
        <v>0</v>
      </c>
      <c r="F246" s="23">
        <f t="shared" si="40"/>
        <v>219793.733792</v>
      </c>
    </row>
    <row r="247" customHeight="1" spans="1:7">
      <c r="A247" s="20">
        <v>45709</v>
      </c>
      <c r="B247" s="20">
        <v>45713</v>
      </c>
      <c r="C247" s="21" t="s">
        <v>11</v>
      </c>
      <c r="D247" s="22">
        <v>14.98</v>
      </c>
      <c r="E247" s="22">
        <v>0</v>
      </c>
      <c r="F247" s="23">
        <f t="shared" si="40"/>
        <v>219778.753792</v>
      </c>
      <c r="G247" s="27"/>
    </row>
    <row r="248" customHeight="1" spans="1:6">
      <c r="A248" s="20">
        <v>45712</v>
      </c>
      <c r="B248" s="20">
        <v>45714</v>
      </c>
      <c r="C248" s="24" t="s">
        <v>85</v>
      </c>
      <c r="D248" s="25">
        <v>0</v>
      </c>
      <c r="E248" s="16">
        <v>105604.67</v>
      </c>
      <c r="F248" s="23">
        <f t="shared" ref="F248:F251" si="41">F247-D248+E248</f>
        <v>325383.423792</v>
      </c>
    </row>
    <row r="249" ht="17.4" customHeight="1" spans="1:7">
      <c r="A249" s="20">
        <v>45712</v>
      </c>
      <c r="B249" s="20">
        <v>45714</v>
      </c>
      <c r="C249" s="21" t="s">
        <v>11</v>
      </c>
      <c r="D249" s="22">
        <v>14.98</v>
      </c>
      <c r="E249" s="22">
        <v>0</v>
      </c>
      <c r="F249" s="23">
        <f t="shared" si="41"/>
        <v>325368.443792</v>
      </c>
      <c r="G249" s="27"/>
    </row>
    <row r="250" customHeight="1" spans="2:6">
      <c r="B250" s="20">
        <v>45719</v>
      </c>
      <c r="C250" s="24" t="s">
        <v>86</v>
      </c>
      <c r="D250" s="25">
        <v>40500</v>
      </c>
      <c r="E250" s="16">
        <v>0</v>
      </c>
      <c r="F250" s="23">
        <f t="shared" si="41"/>
        <v>284868.443792</v>
      </c>
    </row>
    <row r="251" customHeight="1" spans="1:7">
      <c r="A251" s="20" t="s">
        <v>6</v>
      </c>
      <c r="B251" s="20">
        <v>45719</v>
      </c>
      <c r="C251" s="24" t="s">
        <v>78</v>
      </c>
      <c r="D251" s="25">
        <v>0</v>
      </c>
      <c r="E251" s="16">
        <v>1.27</v>
      </c>
      <c r="F251" s="23">
        <f t="shared" si="41"/>
        <v>284869.713792</v>
      </c>
      <c r="G251" s="27"/>
    </row>
    <row r="252" customHeight="1" spans="2:6">
      <c r="B252" s="20">
        <v>45720</v>
      </c>
      <c r="C252" s="24" t="s">
        <v>86</v>
      </c>
      <c r="D252" s="25">
        <v>40500</v>
      </c>
      <c r="E252" s="16">
        <v>0</v>
      </c>
      <c r="F252" s="23">
        <f t="shared" ref="F252:F255" si="42">F251-D252+E252</f>
        <v>244369.713792</v>
      </c>
    </row>
    <row r="253" customHeight="1" spans="1:7">
      <c r="A253" s="20">
        <v>45719</v>
      </c>
      <c r="B253" s="20">
        <v>45721</v>
      </c>
      <c r="C253" s="24" t="s">
        <v>72</v>
      </c>
      <c r="D253" s="25">
        <v>0</v>
      </c>
      <c r="E253" s="16">
        <v>28137.54</v>
      </c>
      <c r="F253" s="23">
        <f t="shared" si="42"/>
        <v>272507.253792</v>
      </c>
      <c r="G253" s="27"/>
    </row>
    <row r="254" customHeight="1" spans="1:7">
      <c r="A254" s="20">
        <v>45719</v>
      </c>
      <c r="B254" s="20">
        <v>45721</v>
      </c>
      <c r="C254" s="21" t="s">
        <v>11</v>
      </c>
      <c r="D254" s="22">
        <v>14.98</v>
      </c>
      <c r="E254" s="22">
        <v>0</v>
      </c>
      <c r="F254" s="23">
        <f t="shared" si="42"/>
        <v>272492.273792</v>
      </c>
      <c r="G254" s="27"/>
    </row>
    <row r="255" customHeight="1" spans="1:7">
      <c r="A255" s="20" t="s">
        <v>6</v>
      </c>
      <c r="B255" s="20">
        <v>45722</v>
      </c>
      <c r="C255" s="24" t="s">
        <v>33</v>
      </c>
      <c r="D255" s="25">
        <v>0</v>
      </c>
      <c r="E255" s="16">
        <v>24000</v>
      </c>
      <c r="F255" s="23">
        <f t="shared" si="42"/>
        <v>296492.273792</v>
      </c>
      <c r="G255" s="27"/>
    </row>
    <row r="256" customHeight="1" spans="1:7">
      <c r="A256" s="20" t="s">
        <v>6</v>
      </c>
      <c r="B256" s="20">
        <v>45722</v>
      </c>
      <c r="C256" s="24" t="s">
        <v>87</v>
      </c>
      <c r="D256" s="25">
        <v>4800</v>
      </c>
      <c r="E256" s="16">
        <v>0</v>
      </c>
      <c r="F256" s="23">
        <f t="shared" ref="F256:F258" si="43">F255-D256+E256</f>
        <v>291692.273792</v>
      </c>
      <c r="G256" s="27"/>
    </row>
    <row r="257" customHeight="1" spans="1:7">
      <c r="A257" s="20" t="s">
        <v>6</v>
      </c>
      <c r="B257" s="20">
        <v>45723</v>
      </c>
      <c r="C257" s="24" t="s">
        <v>28</v>
      </c>
      <c r="D257" s="25">
        <v>0</v>
      </c>
      <c r="E257" s="16">
        <v>6999.3</v>
      </c>
      <c r="F257" s="23">
        <f t="shared" si="43"/>
        <v>298691.573792</v>
      </c>
      <c r="G257" s="27"/>
    </row>
    <row r="258" customHeight="1" spans="1:6">
      <c r="A258" s="20" t="s">
        <v>6</v>
      </c>
      <c r="B258" s="20">
        <v>45724</v>
      </c>
      <c r="C258" s="21" t="s">
        <v>16</v>
      </c>
      <c r="D258" s="22">
        <v>20</v>
      </c>
      <c r="E258" s="22">
        <v>0</v>
      </c>
      <c r="F258" s="23">
        <f t="shared" si="43"/>
        <v>298671.573792</v>
      </c>
    </row>
    <row r="259" customHeight="1" spans="2:6">
      <c r="B259" s="20">
        <v>45727</v>
      </c>
      <c r="C259" s="24" t="s">
        <v>86</v>
      </c>
      <c r="D259" s="25">
        <v>47100</v>
      </c>
      <c r="E259" s="16">
        <v>0</v>
      </c>
      <c r="F259" s="23">
        <f t="shared" ref="F259:F262" si="44">F258-D259+E259</f>
        <v>251571.573792</v>
      </c>
    </row>
    <row r="260" customHeight="1" spans="1:7">
      <c r="A260" s="20" t="s">
        <v>6</v>
      </c>
      <c r="B260" s="20">
        <v>45728</v>
      </c>
      <c r="C260" s="24" t="s">
        <v>30</v>
      </c>
      <c r="D260" s="25">
        <v>0</v>
      </c>
      <c r="E260" s="28">
        <v>13837.5</v>
      </c>
      <c r="F260" s="23">
        <f t="shared" si="44"/>
        <v>265409.073792</v>
      </c>
      <c r="G260" s="27"/>
    </row>
    <row r="261" customHeight="1" spans="1:7">
      <c r="A261" s="20">
        <v>45728</v>
      </c>
      <c r="B261" s="20">
        <v>45730</v>
      </c>
      <c r="C261" s="24" t="s">
        <v>81</v>
      </c>
      <c r="D261" s="25">
        <v>92604.66</v>
      </c>
      <c r="E261" s="16">
        <v>0</v>
      </c>
      <c r="F261" s="23">
        <f t="shared" si="44"/>
        <v>172804.413792</v>
      </c>
      <c r="G261" s="27"/>
    </row>
    <row r="262" customHeight="1" spans="1:7">
      <c r="A262" s="20">
        <v>45728</v>
      </c>
      <c r="B262" s="20">
        <v>45730</v>
      </c>
      <c r="C262" s="21" t="s">
        <v>11</v>
      </c>
      <c r="D262" s="22">
        <v>14.98</v>
      </c>
      <c r="E262" s="22">
        <v>0</v>
      </c>
      <c r="F262" s="23">
        <f t="shared" si="44"/>
        <v>172789.433792</v>
      </c>
      <c r="G262" s="27"/>
    </row>
    <row r="263" customHeight="1" spans="1:7">
      <c r="A263" s="20" t="s">
        <v>6</v>
      </c>
      <c r="B263" s="20">
        <v>45733</v>
      </c>
      <c r="C263" s="24" t="s">
        <v>31</v>
      </c>
      <c r="D263" s="25">
        <v>0</v>
      </c>
      <c r="E263" s="28">
        <v>13216.7</v>
      </c>
      <c r="F263" s="23">
        <f t="shared" ref="F263" si="45">F262-D263+E263</f>
        <v>186006.133792</v>
      </c>
      <c r="G263" s="27"/>
    </row>
    <row r="264" customHeight="1" spans="1:7">
      <c r="A264" s="20" t="s">
        <v>6</v>
      </c>
      <c r="B264" s="20">
        <v>45733</v>
      </c>
      <c r="C264" s="24" t="s">
        <v>31</v>
      </c>
      <c r="D264" s="25">
        <v>0</v>
      </c>
      <c r="E264" s="28">
        <v>7017.57</v>
      </c>
      <c r="F264" s="23">
        <f t="shared" ref="F264" si="46">F263-D264+E264</f>
        <v>193023.703792</v>
      </c>
      <c r="G264" s="27"/>
    </row>
    <row r="265" customHeight="1" spans="1:7">
      <c r="A265" s="20" t="s">
        <v>6</v>
      </c>
      <c r="B265" s="20">
        <v>45733</v>
      </c>
      <c r="C265" s="24" t="s">
        <v>34</v>
      </c>
      <c r="D265" s="25">
        <v>0</v>
      </c>
      <c r="E265" s="28">
        <v>2378</v>
      </c>
      <c r="F265" s="23">
        <f t="shared" ref="F265" si="47">F264-D265+E265</f>
        <v>195401.703792</v>
      </c>
      <c r="G265" s="27"/>
    </row>
    <row r="266" customHeight="1" spans="1:7">
      <c r="A266" s="20" t="s">
        <v>6</v>
      </c>
      <c r="B266" s="20">
        <v>45733</v>
      </c>
      <c r="C266" s="24" t="s">
        <v>32</v>
      </c>
      <c r="D266" s="25">
        <v>6147.12</v>
      </c>
      <c r="E266" s="28">
        <v>0</v>
      </c>
      <c r="F266" s="23">
        <f t="shared" ref="F266:F268" si="48">F265-D266+E266</f>
        <v>189254.583792</v>
      </c>
      <c r="G266" s="27"/>
    </row>
    <row r="267" customHeight="1" spans="1:6">
      <c r="A267" s="20" t="s">
        <v>6</v>
      </c>
      <c r="B267" s="20">
        <v>45733</v>
      </c>
      <c r="C267" s="21" t="s">
        <v>18</v>
      </c>
      <c r="D267" s="22">
        <v>432</v>
      </c>
      <c r="E267" s="22">
        <v>0</v>
      </c>
      <c r="F267" s="23">
        <f t="shared" si="48"/>
        <v>188822.583792</v>
      </c>
    </row>
    <row r="268" customHeight="1" spans="1:7">
      <c r="A268" s="20" t="s">
        <v>6</v>
      </c>
      <c r="B268" s="20">
        <v>45735</v>
      </c>
      <c r="C268" s="24" t="s">
        <v>35</v>
      </c>
      <c r="D268" s="25">
        <v>0</v>
      </c>
      <c r="E268" s="28">
        <v>2444.4</v>
      </c>
      <c r="F268" s="23">
        <f t="shared" si="48"/>
        <v>191266.983792</v>
      </c>
      <c r="G268" s="27"/>
    </row>
    <row r="269" customHeight="1" spans="1:7">
      <c r="A269" s="20" t="s">
        <v>6</v>
      </c>
      <c r="B269" s="20">
        <v>45735</v>
      </c>
      <c r="C269" s="24" t="s">
        <v>35</v>
      </c>
      <c r="D269" s="25">
        <v>0</v>
      </c>
      <c r="E269" s="28">
        <v>1204</v>
      </c>
      <c r="F269" s="23">
        <f t="shared" ref="F269:F270" si="49">F268-D269+E269</f>
        <v>192470.983792</v>
      </c>
      <c r="G269" s="27"/>
    </row>
    <row r="270" customHeight="1" spans="1:7">
      <c r="A270" s="20" t="s">
        <v>6</v>
      </c>
      <c r="B270" s="20">
        <v>45737</v>
      </c>
      <c r="C270" s="24" t="s">
        <v>37</v>
      </c>
      <c r="D270" s="25">
        <v>0</v>
      </c>
      <c r="E270" s="28">
        <v>2418.75</v>
      </c>
      <c r="F270" s="23">
        <f t="shared" si="49"/>
        <v>194889.733792</v>
      </c>
      <c r="G270" s="27"/>
    </row>
    <row r="271" customHeight="1" spans="1:7">
      <c r="A271" s="20" t="s">
        <v>6</v>
      </c>
      <c r="B271" s="20">
        <v>45744</v>
      </c>
      <c r="C271" s="24" t="s">
        <v>38</v>
      </c>
      <c r="D271" s="25">
        <v>0</v>
      </c>
      <c r="E271" s="28">
        <v>2619</v>
      </c>
      <c r="F271" s="23">
        <f t="shared" ref="F271:F274" si="50">F270-D271+E271</f>
        <v>197508.733792</v>
      </c>
      <c r="G271" s="27"/>
    </row>
    <row r="272" customHeight="1" spans="2:6">
      <c r="B272" s="20">
        <v>45748</v>
      </c>
      <c r="C272" s="24" t="s">
        <v>88</v>
      </c>
      <c r="D272" s="25">
        <v>31000</v>
      </c>
      <c r="E272" s="16">
        <v>0</v>
      </c>
      <c r="F272" s="23">
        <f t="shared" si="50"/>
        <v>166508.733792</v>
      </c>
    </row>
    <row r="273" customHeight="1" spans="1:7">
      <c r="A273" s="20">
        <v>45747</v>
      </c>
      <c r="B273" s="20">
        <v>45749</v>
      </c>
      <c r="C273" s="24" t="s">
        <v>72</v>
      </c>
      <c r="D273" s="25">
        <v>18540.98</v>
      </c>
      <c r="E273" s="16">
        <v>0</v>
      </c>
      <c r="F273" s="23">
        <f t="shared" si="50"/>
        <v>147967.753792</v>
      </c>
      <c r="G273" s="27"/>
    </row>
    <row r="274" customHeight="1" spans="1:7">
      <c r="A274" s="20">
        <v>45747</v>
      </c>
      <c r="B274" s="20">
        <v>45749</v>
      </c>
      <c r="C274" s="21" t="s">
        <v>11</v>
      </c>
      <c r="D274" s="22">
        <v>14.98</v>
      </c>
      <c r="E274" s="22">
        <v>0</v>
      </c>
      <c r="F274" s="23">
        <f t="shared" si="50"/>
        <v>147952.773792</v>
      </c>
      <c r="G274" s="27"/>
    </row>
    <row r="275" customHeight="1" spans="2:6">
      <c r="B275" s="20">
        <v>45757</v>
      </c>
      <c r="C275" s="24" t="s">
        <v>89</v>
      </c>
      <c r="D275" s="25">
        <v>27000</v>
      </c>
      <c r="E275" s="16">
        <v>0</v>
      </c>
      <c r="F275" s="23">
        <f t="shared" ref="F275:F278" si="51">F274-D275+E275</f>
        <v>120952.773792</v>
      </c>
    </row>
    <row r="276" customHeight="1" spans="1:7">
      <c r="A276" s="20">
        <v>45756</v>
      </c>
      <c r="B276" s="20">
        <v>45758</v>
      </c>
      <c r="C276" s="24" t="s">
        <v>25</v>
      </c>
      <c r="D276" s="25">
        <v>37583.06</v>
      </c>
      <c r="E276" s="16">
        <v>0</v>
      </c>
      <c r="F276" s="23">
        <f t="shared" si="51"/>
        <v>83369.7137920002</v>
      </c>
      <c r="G276" s="27"/>
    </row>
    <row r="277" customHeight="1" spans="1:7">
      <c r="A277" s="20">
        <v>45756</v>
      </c>
      <c r="B277" s="20">
        <v>45758</v>
      </c>
      <c r="C277" s="21" t="s">
        <v>11</v>
      </c>
      <c r="D277" s="22">
        <v>14.98</v>
      </c>
      <c r="E277" s="22">
        <v>0</v>
      </c>
      <c r="F277" s="23">
        <f t="shared" si="51"/>
        <v>83354.7337920002</v>
      </c>
      <c r="G277" s="27"/>
    </row>
    <row r="278" customHeight="1" spans="1:6">
      <c r="A278" s="20" t="s">
        <v>6</v>
      </c>
      <c r="B278" s="20">
        <v>45759</v>
      </c>
      <c r="C278" s="21" t="s">
        <v>16</v>
      </c>
      <c r="D278" s="22">
        <v>20</v>
      </c>
      <c r="E278" s="22">
        <v>0</v>
      </c>
      <c r="F278" s="23">
        <f t="shared" si="51"/>
        <v>83334.7337920002</v>
      </c>
    </row>
    <row r="279" customHeight="1" spans="1:7">
      <c r="A279" s="20">
        <v>45757</v>
      </c>
      <c r="B279" s="20">
        <v>45763</v>
      </c>
      <c r="C279" s="24" t="s">
        <v>90</v>
      </c>
      <c r="D279" s="25">
        <v>0</v>
      </c>
      <c r="E279" s="16">
        <v>16563.22</v>
      </c>
      <c r="F279" s="23">
        <f t="shared" ref="F279:F285" si="52">F278-D279+E279</f>
        <v>99897.9537920002</v>
      </c>
      <c r="G279" s="27"/>
    </row>
    <row r="280" customHeight="1" spans="1:7">
      <c r="A280" s="20">
        <v>45757</v>
      </c>
      <c r="B280" s="20">
        <v>45763</v>
      </c>
      <c r="C280" s="21" t="s">
        <v>11</v>
      </c>
      <c r="D280" s="22">
        <v>14.98</v>
      </c>
      <c r="E280" s="22">
        <v>0</v>
      </c>
      <c r="F280" s="23">
        <f t="shared" si="52"/>
        <v>99882.9737920002</v>
      </c>
      <c r="G280" s="27"/>
    </row>
    <row r="281" customHeight="1" spans="1:6">
      <c r="A281" s="20" t="s">
        <v>6</v>
      </c>
      <c r="B281" s="20">
        <v>45763</v>
      </c>
      <c r="C281" s="21" t="s">
        <v>18</v>
      </c>
      <c r="D281" s="22">
        <v>432</v>
      </c>
      <c r="E281" s="22">
        <v>0</v>
      </c>
      <c r="F281" s="23">
        <f t="shared" si="52"/>
        <v>99450.9737920002</v>
      </c>
    </row>
    <row r="282" customHeight="1" spans="2:6">
      <c r="B282" s="14">
        <v>45768</v>
      </c>
      <c r="C282" s="15" t="s">
        <v>21</v>
      </c>
      <c r="D282" s="16">
        <v>13000</v>
      </c>
      <c r="E282" s="16">
        <v>0</v>
      </c>
      <c r="F282" s="23">
        <f t="shared" si="52"/>
        <v>86450.9737920002</v>
      </c>
    </row>
    <row r="283" customHeight="1" spans="2:6">
      <c r="B283" s="14">
        <v>45768</v>
      </c>
      <c r="C283" s="15" t="s">
        <v>91</v>
      </c>
      <c r="E283" s="16">
        <v>19000</v>
      </c>
      <c r="F283" s="23">
        <f t="shared" si="52"/>
        <v>105450.973792</v>
      </c>
    </row>
    <row r="284" customHeight="1" spans="2:6">
      <c r="B284" s="14">
        <v>45768</v>
      </c>
      <c r="C284" s="15" t="s">
        <v>91</v>
      </c>
      <c r="E284" s="16">
        <v>49000</v>
      </c>
      <c r="F284" s="23">
        <f t="shared" si="52"/>
        <v>154450.973792</v>
      </c>
    </row>
    <row r="285" customHeight="1" spans="1:7">
      <c r="A285" s="20" t="s">
        <v>6</v>
      </c>
      <c r="B285" s="20">
        <v>45769</v>
      </c>
      <c r="C285" s="24" t="s">
        <v>41</v>
      </c>
      <c r="D285" s="25">
        <v>0</v>
      </c>
      <c r="E285" s="28">
        <v>1350</v>
      </c>
      <c r="F285" s="23">
        <f t="shared" si="52"/>
        <v>155800.973792</v>
      </c>
      <c r="G285" s="27"/>
    </row>
    <row r="286" customHeight="1" spans="1:7">
      <c r="A286" s="20" t="s">
        <v>6</v>
      </c>
      <c r="B286" s="20">
        <v>45769</v>
      </c>
      <c r="C286" s="24" t="s">
        <v>92</v>
      </c>
      <c r="D286" s="29">
        <v>150000</v>
      </c>
      <c r="E286" s="28">
        <v>0</v>
      </c>
      <c r="F286" s="23">
        <f t="shared" ref="F286:F287" si="53">F285-D286+E286</f>
        <v>5800.97379200018</v>
      </c>
      <c r="G286" s="27"/>
    </row>
    <row r="287" customHeight="1" spans="1:7">
      <c r="A287" s="20" t="s">
        <v>6</v>
      </c>
      <c r="B287" s="20">
        <v>45771</v>
      </c>
      <c r="C287" s="24" t="s">
        <v>42</v>
      </c>
      <c r="D287" s="25">
        <v>0</v>
      </c>
      <c r="E287" s="28">
        <v>2700</v>
      </c>
      <c r="F287" s="23">
        <f t="shared" si="53"/>
        <v>8500.97379200018</v>
      </c>
      <c r="G287" s="27"/>
    </row>
    <row r="288" customHeight="1" spans="1:7">
      <c r="A288" s="20" t="s">
        <v>6</v>
      </c>
      <c r="B288" s="20">
        <v>45777</v>
      </c>
      <c r="C288" s="24" t="s">
        <v>46</v>
      </c>
      <c r="D288" s="25">
        <v>0</v>
      </c>
      <c r="E288" s="28">
        <v>1058.4</v>
      </c>
      <c r="F288" s="23">
        <f t="shared" ref="F288" si="54">F287-D288+E288</f>
        <v>9559.37379200018</v>
      </c>
      <c r="G288" s="27"/>
    </row>
    <row r="289" customHeight="1" spans="1:7">
      <c r="A289" s="20" t="s">
        <v>6</v>
      </c>
      <c r="B289" s="20">
        <v>45777</v>
      </c>
      <c r="C289" s="24" t="s">
        <v>93</v>
      </c>
      <c r="D289" s="25">
        <v>0</v>
      </c>
      <c r="E289" s="28">
        <v>25600</v>
      </c>
      <c r="F289" s="23">
        <f t="shared" ref="F289:F292" si="55">F288-D289+E289</f>
        <v>35159.3737920002</v>
      </c>
      <c r="G289" s="27"/>
    </row>
    <row r="290" customHeight="1" spans="1:6">
      <c r="A290" s="20" t="s">
        <v>6</v>
      </c>
      <c r="B290" s="20">
        <v>45779</v>
      </c>
      <c r="C290" s="21" t="s">
        <v>7</v>
      </c>
      <c r="D290" s="22">
        <v>1000</v>
      </c>
      <c r="E290" s="22">
        <v>0</v>
      </c>
      <c r="F290" s="23">
        <f t="shared" si="55"/>
        <v>34159.3737920002</v>
      </c>
    </row>
    <row r="291" customHeight="1" spans="1:7">
      <c r="A291" s="20" t="s">
        <v>6</v>
      </c>
      <c r="B291" s="20">
        <v>45784</v>
      </c>
      <c r="C291" s="24" t="s">
        <v>45</v>
      </c>
      <c r="D291" s="25">
        <v>0</v>
      </c>
      <c r="E291" s="28">
        <v>40500</v>
      </c>
      <c r="F291" s="23">
        <f t="shared" si="55"/>
        <v>74659.3737920002</v>
      </c>
      <c r="G291" s="27"/>
    </row>
    <row r="292" customHeight="1" spans="1:7">
      <c r="A292" s="20" t="s">
        <v>6</v>
      </c>
      <c r="B292" s="20">
        <v>45785</v>
      </c>
      <c r="C292" s="24" t="s">
        <v>48</v>
      </c>
      <c r="D292" s="25">
        <v>0</v>
      </c>
      <c r="E292" s="28">
        <v>9000</v>
      </c>
      <c r="F292" s="23">
        <f t="shared" si="55"/>
        <v>83659.3737920002</v>
      </c>
      <c r="G292" s="27"/>
    </row>
    <row r="293" customHeight="1" spans="1:7">
      <c r="A293" s="20" t="s">
        <v>6</v>
      </c>
      <c r="B293" s="20">
        <v>45786</v>
      </c>
      <c r="C293" s="24" t="s">
        <v>51</v>
      </c>
      <c r="D293" s="25">
        <v>0</v>
      </c>
      <c r="E293" s="28">
        <v>5540</v>
      </c>
      <c r="F293" s="23">
        <f t="shared" ref="F293" si="56">F292-D293+E293</f>
        <v>89199.3737920002</v>
      </c>
      <c r="G293" s="27"/>
    </row>
    <row r="294" customHeight="1" spans="1:7">
      <c r="A294" s="20" t="s">
        <v>6</v>
      </c>
      <c r="B294" s="20">
        <v>45786</v>
      </c>
      <c r="C294" s="24" t="s">
        <v>50</v>
      </c>
      <c r="D294" s="25">
        <v>0</v>
      </c>
      <c r="E294" s="28">
        <v>8370</v>
      </c>
      <c r="F294" s="23">
        <f t="shared" ref="F294:F295" si="57">F293-D294+E294</f>
        <v>97569.3737920002</v>
      </c>
      <c r="G294" s="27"/>
    </row>
    <row r="295" customHeight="1" spans="1:6">
      <c r="A295" s="20" t="s">
        <v>6</v>
      </c>
      <c r="B295" s="20">
        <v>45787</v>
      </c>
      <c r="C295" s="21" t="s">
        <v>16</v>
      </c>
      <c r="D295" s="22">
        <v>20</v>
      </c>
      <c r="E295" s="22">
        <v>0</v>
      </c>
      <c r="F295" s="23">
        <f t="shared" si="57"/>
        <v>97549.3737920002</v>
      </c>
    </row>
    <row r="296" customHeight="1" spans="1:7">
      <c r="A296" s="20" t="s">
        <v>6</v>
      </c>
      <c r="B296" s="20">
        <v>45791</v>
      </c>
      <c r="C296" s="24" t="s">
        <v>49</v>
      </c>
      <c r="D296" s="25">
        <v>0</v>
      </c>
      <c r="E296" s="28">
        <v>4590</v>
      </c>
      <c r="F296" s="23">
        <f t="shared" ref="F296:F305" si="58">F295-D296+E296</f>
        <v>102139.373792</v>
      </c>
      <c r="G296" s="27"/>
    </row>
    <row r="297" customHeight="1" spans="1:6">
      <c r="A297" s="20" t="s">
        <v>6</v>
      </c>
      <c r="B297" s="20">
        <v>45792</v>
      </c>
      <c r="C297" s="21" t="s">
        <v>18</v>
      </c>
      <c r="D297" s="22">
        <v>432</v>
      </c>
      <c r="E297" s="22">
        <v>0</v>
      </c>
      <c r="F297" s="23">
        <f t="shared" si="58"/>
        <v>101707.373792</v>
      </c>
    </row>
    <row r="298" customHeight="1" spans="1:7">
      <c r="A298" s="20" t="s">
        <v>6</v>
      </c>
      <c r="B298" s="20">
        <v>45793</v>
      </c>
      <c r="C298" s="24" t="s">
        <v>53</v>
      </c>
      <c r="D298" s="25">
        <v>0</v>
      </c>
      <c r="E298" s="28">
        <v>38340</v>
      </c>
      <c r="F298" s="23">
        <f t="shared" si="58"/>
        <v>140047.373792</v>
      </c>
      <c r="G298" s="27"/>
    </row>
    <row r="299" customHeight="1" spans="1:7">
      <c r="A299" s="20" t="s">
        <v>6</v>
      </c>
      <c r="B299" s="20">
        <v>45793</v>
      </c>
      <c r="C299" s="24" t="s">
        <v>54</v>
      </c>
      <c r="D299" s="25">
        <v>0</v>
      </c>
      <c r="E299" s="28">
        <v>810</v>
      </c>
      <c r="F299" s="23">
        <f t="shared" si="58"/>
        <v>140857.373792</v>
      </c>
      <c r="G299" s="27"/>
    </row>
    <row r="300" customHeight="1" spans="1:7">
      <c r="A300" s="20" t="s">
        <v>6</v>
      </c>
      <c r="B300" s="20">
        <v>45793</v>
      </c>
      <c r="C300" s="24" t="s">
        <v>94</v>
      </c>
      <c r="D300" s="25">
        <v>0</v>
      </c>
      <c r="E300" s="28">
        <v>6696</v>
      </c>
      <c r="F300" s="23">
        <f t="shared" si="58"/>
        <v>147553.373792</v>
      </c>
      <c r="G300" s="27"/>
    </row>
    <row r="301" customHeight="1" spans="1:6">
      <c r="A301" s="14">
        <v>45792</v>
      </c>
      <c r="B301" s="14">
        <v>45794</v>
      </c>
      <c r="C301" s="15" t="s">
        <v>95</v>
      </c>
      <c r="E301" s="16">
        <v>58969.1</v>
      </c>
      <c r="F301" s="23">
        <f t="shared" si="58"/>
        <v>206522.473792</v>
      </c>
    </row>
    <row r="302" customHeight="1" spans="1:7">
      <c r="A302" s="14">
        <v>45792</v>
      </c>
      <c r="B302" s="14">
        <v>45794</v>
      </c>
      <c r="C302" s="21" t="s">
        <v>11</v>
      </c>
      <c r="D302" s="22">
        <v>14.98</v>
      </c>
      <c r="E302" s="22">
        <v>0</v>
      </c>
      <c r="F302" s="23">
        <f t="shared" si="58"/>
        <v>206507.493792</v>
      </c>
      <c r="G302" s="27"/>
    </row>
    <row r="303" customHeight="1" spans="1:7">
      <c r="A303" s="20" t="s">
        <v>6</v>
      </c>
      <c r="B303" s="20">
        <v>45797</v>
      </c>
      <c r="C303" s="24" t="s">
        <v>52</v>
      </c>
      <c r="D303" s="25">
        <v>0</v>
      </c>
      <c r="E303" s="28">
        <v>2160</v>
      </c>
      <c r="F303" s="23">
        <f t="shared" si="58"/>
        <v>208667.493792</v>
      </c>
      <c r="G303" s="27"/>
    </row>
    <row r="304" customHeight="1" spans="1:6">
      <c r="A304" s="14">
        <v>45793</v>
      </c>
      <c r="B304" s="14">
        <v>45797</v>
      </c>
      <c r="C304" s="15" t="s">
        <v>96</v>
      </c>
      <c r="D304" s="16">
        <v>47104.1</v>
      </c>
      <c r="E304" s="16">
        <v>0</v>
      </c>
      <c r="F304" s="23">
        <f t="shared" si="58"/>
        <v>161563.393792</v>
      </c>
    </row>
    <row r="305" customHeight="1" spans="1:7">
      <c r="A305" s="14">
        <v>45793</v>
      </c>
      <c r="B305" s="14">
        <v>45797</v>
      </c>
      <c r="C305" s="21" t="s">
        <v>11</v>
      </c>
      <c r="D305" s="22">
        <v>14.98</v>
      </c>
      <c r="E305" s="22">
        <v>0</v>
      </c>
      <c r="F305" s="23">
        <f t="shared" si="58"/>
        <v>161548.413792</v>
      </c>
      <c r="G305" s="27"/>
    </row>
    <row r="306" customHeight="1" spans="1:7">
      <c r="A306" s="20" t="s">
        <v>6</v>
      </c>
      <c r="B306" s="20">
        <v>45800</v>
      </c>
      <c r="C306" s="24" t="s">
        <v>60</v>
      </c>
      <c r="D306" s="25">
        <v>0</v>
      </c>
      <c r="E306" s="28">
        <v>520.8</v>
      </c>
      <c r="F306" s="23">
        <f t="shared" ref="F306" si="59">F305-D306+E306</f>
        <v>162069.213792</v>
      </c>
      <c r="G306" s="27"/>
    </row>
    <row r="307" customHeight="1" spans="1:7">
      <c r="A307" s="20" t="s">
        <v>6</v>
      </c>
      <c r="B307" s="20">
        <v>45800</v>
      </c>
      <c r="C307" s="24" t="s">
        <v>55</v>
      </c>
      <c r="D307" s="25">
        <v>0</v>
      </c>
      <c r="E307" s="28">
        <v>1008</v>
      </c>
      <c r="F307" s="23">
        <f t="shared" ref="F307:F309" si="60">F306-D307+E307</f>
        <v>163077.213792</v>
      </c>
      <c r="G307" s="27"/>
    </row>
    <row r="308" customHeight="1" spans="1:7">
      <c r="A308" s="20" t="s">
        <v>6</v>
      </c>
      <c r="B308" s="20">
        <v>45800</v>
      </c>
      <c r="C308" s="24" t="s">
        <v>56</v>
      </c>
      <c r="D308" s="25">
        <v>0</v>
      </c>
      <c r="E308" s="28">
        <v>1134</v>
      </c>
      <c r="F308" s="23">
        <f t="shared" si="60"/>
        <v>164211.213792</v>
      </c>
      <c r="G308" s="27"/>
    </row>
    <row r="309" customHeight="1" spans="1:7">
      <c r="A309" s="20" t="s">
        <v>6</v>
      </c>
      <c r="B309" s="20">
        <v>45800</v>
      </c>
      <c r="C309" s="24" t="s">
        <v>59</v>
      </c>
      <c r="D309" s="25">
        <v>0</v>
      </c>
      <c r="E309" s="28">
        <v>10612.21</v>
      </c>
      <c r="F309" s="23">
        <f t="shared" si="60"/>
        <v>174823.423792</v>
      </c>
      <c r="G309" s="27"/>
    </row>
    <row r="310" customHeight="1" spans="1:7">
      <c r="A310" s="20" t="s">
        <v>6</v>
      </c>
      <c r="B310" s="20">
        <v>45800</v>
      </c>
      <c r="C310" s="24" t="s">
        <v>61</v>
      </c>
      <c r="D310" s="25">
        <v>0</v>
      </c>
      <c r="E310" s="28">
        <v>243</v>
      </c>
      <c r="F310" s="23">
        <f t="shared" ref="F310:F316" si="61">F309-D310+E310</f>
        <v>175066.423792</v>
      </c>
      <c r="G310" s="27"/>
    </row>
    <row r="311" customHeight="1" spans="1:6">
      <c r="A311" s="14">
        <v>45796</v>
      </c>
      <c r="B311" s="14">
        <v>45800</v>
      </c>
      <c r="C311" s="15" t="s">
        <v>65</v>
      </c>
      <c r="D311" s="16">
        <v>29465.12</v>
      </c>
      <c r="E311" s="16">
        <v>0</v>
      </c>
      <c r="F311" s="23">
        <f t="shared" si="61"/>
        <v>145601.303792</v>
      </c>
    </row>
    <row r="312" customHeight="1" spans="1:7">
      <c r="A312" s="14">
        <v>45796</v>
      </c>
      <c r="B312" s="14">
        <v>45800</v>
      </c>
      <c r="C312" s="21" t="s">
        <v>11</v>
      </c>
      <c r="D312" s="22">
        <v>14.98</v>
      </c>
      <c r="E312" s="22">
        <v>0</v>
      </c>
      <c r="F312" s="23">
        <f t="shared" si="61"/>
        <v>145586.323792</v>
      </c>
      <c r="G312" s="27"/>
    </row>
    <row r="313" customHeight="1" spans="1:7">
      <c r="A313" s="20" t="s">
        <v>6</v>
      </c>
      <c r="B313" s="20">
        <v>45805</v>
      </c>
      <c r="C313" s="24" t="s">
        <v>58</v>
      </c>
      <c r="D313" s="25">
        <v>0</v>
      </c>
      <c r="E313" s="28">
        <v>607.5</v>
      </c>
      <c r="F313" s="23">
        <f t="shared" si="61"/>
        <v>146193.823792</v>
      </c>
      <c r="G313" s="27"/>
    </row>
    <row r="314" customHeight="1" spans="1:7">
      <c r="A314" s="20" t="s">
        <v>6</v>
      </c>
      <c r="B314" s="20">
        <v>45806</v>
      </c>
      <c r="C314" s="24" t="s">
        <v>79</v>
      </c>
      <c r="D314" s="25">
        <v>0</v>
      </c>
      <c r="E314" s="28">
        <v>1407.6</v>
      </c>
      <c r="F314" s="23">
        <f t="shared" si="61"/>
        <v>147601.423792</v>
      </c>
      <c r="G314" s="27"/>
    </row>
    <row r="315" customHeight="1" spans="1:7">
      <c r="A315" s="20" t="s">
        <v>6</v>
      </c>
      <c r="B315" s="20">
        <v>45809</v>
      </c>
      <c r="C315" s="24" t="s">
        <v>97</v>
      </c>
      <c r="D315" s="25">
        <v>24000</v>
      </c>
      <c r="E315" s="28">
        <v>0</v>
      </c>
      <c r="F315" s="23">
        <f t="shared" si="61"/>
        <v>123601.423792</v>
      </c>
      <c r="G315" s="27"/>
    </row>
    <row r="316" customHeight="1" spans="1:6">
      <c r="A316" s="20" t="s">
        <v>6</v>
      </c>
      <c r="B316" s="20">
        <v>45809</v>
      </c>
      <c r="C316" s="21" t="s">
        <v>7</v>
      </c>
      <c r="D316" s="22">
        <v>2043.77</v>
      </c>
      <c r="E316" s="22">
        <v>0</v>
      </c>
      <c r="F316" s="23">
        <f t="shared" si="61"/>
        <v>121557.653792</v>
      </c>
    </row>
    <row r="317" customHeight="1" spans="1:7">
      <c r="A317" s="20" t="s">
        <v>6</v>
      </c>
      <c r="B317" s="20">
        <v>45812</v>
      </c>
      <c r="C317" s="24" t="s">
        <v>31</v>
      </c>
      <c r="D317" s="25">
        <v>0</v>
      </c>
      <c r="E317" s="28">
        <v>17810.55</v>
      </c>
      <c r="F317" s="23">
        <f t="shared" ref="F317" si="62">F316-D317+E317</f>
        <v>139368.203792</v>
      </c>
      <c r="G317" s="27"/>
    </row>
    <row r="318" customHeight="1" spans="1:7">
      <c r="A318" s="20" t="s">
        <v>6</v>
      </c>
      <c r="B318" s="20">
        <v>45812</v>
      </c>
      <c r="C318" s="24" t="s">
        <v>31</v>
      </c>
      <c r="D318" s="25">
        <v>0</v>
      </c>
      <c r="E318" s="28">
        <v>1224.5</v>
      </c>
      <c r="F318" s="23">
        <f t="shared" ref="F318:F319" si="63">F317-D318+E318</f>
        <v>140592.703792</v>
      </c>
      <c r="G318" s="27"/>
    </row>
    <row r="319" customHeight="1" spans="1:7">
      <c r="A319" s="20" t="s">
        <v>6</v>
      </c>
      <c r="B319" s="20">
        <v>45812</v>
      </c>
      <c r="C319" s="24" t="s">
        <v>32</v>
      </c>
      <c r="D319" s="25">
        <v>5782.8</v>
      </c>
      <c r="E319" s="28">
        <v>0</v>
      </c>
      <c r="F319" s="23">
        <f t="shared" si="63"/>
        <v>134809.903792</v>
      </c>
      <c r="G319" s="27"/>
    </row>
    <row r="320" customHeight="1" spans="1:7">
      <c r="A320" s="20" t="s">
        <v>6</v>
      </c>
      <c r="B320" s="20">
        <v>45813</v>
      </c>
      <c r="C320" s="24" t="s">
        <v>33</v>
      </c>
      <c r="D320" s="25">
        <v>0</v>
      </c>
      <c r="E320" s="28">
        <v>24000</v>
      </c>
      <c r="F320" s="23">
        <f t="shared" ref="F320:F322" si="64">F319-D320+E320</f>
        <v>158809.903792</v>
      </c>
      <c r="G320" s="27"/>
    </row>
    <row r="321" customHeight="1" spans="1:7">
      <c r="A321" s="20" t="s">
        <v>6</v>
      </c>
      <c r="B321" s="20">
        <v>45813</v>
      </c>
      <c r="C321" s="24" t="s">
        <v>21</v>
      </c>
      <c r="D321" s="25">
        <v>4800</v>
      </c>
      <c r="E321" s="28">
        <v>0</v>
      </c>
      <c r="F321" s="23">
        <f t="shared" si="64"/>
        <v>154009.903792</v>
      </c>
      <c r="G321" s="27"/>
    </row>
    <row r="322" customHeight="1" spans="1:7">
      <c r="A322" s="20" t="s">
        <v>6</v>
      </c>
      <c r="B322" s="20">
        <v>45814</v>
      </c>
      <c r="C322" s="24" t="s">
        <v>37</v>
      </c>
      <c r="D322" s="25">
        <v>0</v>
      </c>
      <c r="E322" s="28">
        <v>2418.75</v>
      </c>
      <c r="F322" s="23">
        <f t="shared" si="64"/>
        <v>156428.653792</v>
      </c>
      <c r="G322" s="27"/>
    </row>
    <row r="323" customHeight="1" spans="1:7">
      <c r="A323" s="20" t="s">
        <v>6</v>
      </c>
      <c r="B323" s="20">
        <v>45814</v>
      </c>
      <c r="C323" s="24" t="s">
        <v>35</v>
      </c>
      <c r="D323" s="25">
        <v>0</v>
      </c>
      <c r="E323" s="28">
        <v>3447</v>
      </c>
      <c r="F323" s="23">
        <f t="shared" ref="F323" si="65">F322-D323+E323</f>
        <v>159875.653792</v>
      </c>
      <c r="G323" s="27"/>
    </row>
    <row r="324" customHeight="1" spans="1:7">
      <c r="A324" s="20" t="s">
        <v>6</v>
      </c>
      <c r="B324" s="20">
        <v>45814</v>
      </c>
      <c r="C324" s="24" t="s">
        <v>28</v>
      </c>
      <c r="D324" s="25">
        <v>0</v>
      </c>
      <c r="E324" s="28">
        <v>7999.2</v>
      </c>
      <c r="F324" s="23">
        <f t="shared" ref="F324:F328" si="66">F323-D324+E324</f>
        <v>167874.853792</v>
      </c>
      <c r="G324" s="27"/>
    </row>
    <row r="325" customHeight="1" spans="1:6">
      <c r="A325" s="14">
        <v>45812</v>
      </c>
      <c r="B325" s="14">
        <v>45814</v>
      </c>
      <c r="C325" s="15" t="s">
        <v>65</v>
      </c>
      <c r="D325" s="16">
        <v>22549.84</v>
      </c>
      <c r="E325" s="16">
        <v>0</v>
      </c>
      <c r="F325" s="23">
        <f t="shared" si="66"/>
        <v>145325.013792</v>
      </c>
    </row>
    <row r="326" customHeight="1" spans="1:7">
      <c r="A326" s="14">
        <v>45812</v>
      </c>
      <c r="B326" s="14">
        <v>45814</v>
      </c>
      <c r="C326" s="21" t="s">
        <v>11</v>
      </c>
      <c r="D326" s="22">
        <v>14.98</v>
      </c>
      <c r="E326" s="22">
        <v>0</v>
      </c>
      <c r="F326" s="23">
        <f t="shared" si="66"/>
        <v>145310.033792</v>
      </c>
      <c r="G326" s="27"/>
    </row>
    <row r="327" customHeight="1" spans="1:7">
      <c r="A327" s="20" t="s">
        <v>6</v>
      </c>
      <c r="B327" s="20">
        <v>45818</v>
      </c>
      <c r="C327" s="24" t="s">
        <v>9</v>
      </c>
      <c r="D327" s="25">
        <v>23000</v>
      </c>
      <c r="E327" s="28">
        <v>0</v>
      </c>
      <c r="F327" s="23">
        <f t="shared" si="66"/>
        <v>122310.033792</v>
      </c>
      <c r="G327" s="27"/>
    </row>
    <row r="328" customHeight="1" spans="1:6">
      <c r="A328" s="20" t="s">
        <v>6</v>
      </c>
      <c r="B328" s="20">
        <v>45818</v>
      </c>
      <c r="C328" s="21" t="s">
        <v>16</v>
      </c>
      <c r="D328" s="22">
        <v>20</v>
      </c>
      <c r="E328" s="22">
        <v>0</v>
      </c>
      <c r="F328" s="23">
        <f t="shared" si="66"/>
        <v>122290.033792</v>
      </c>
    </row>
    <row r="329" customHeight="1" spans="1:6">
      <c r="A329" s="14">
        <v>45817</v>
      </c>
      <c r="B329" s="14">
        <v>45819</v>
      </c>
      <c r="C329" s="15" t="s">
        <v>70</v>
      </c>
      <c r="D329" s="16">
        <v>36079.74</v>
      </c>
      <c r="E329" s="16">
        <v>0</v>
      </c>
      <c r="F329" s="23">
        <f t="shared" ref="F329:F346" si="67">F328-D329+E329</f>
        <v>86210.2937920002</v>
      </c>
    </row>
    <row r="330" customHeight="1" spans="1:7">
      <c r="A330" s="14">
        <v>45817</v>
      </c>
      <c r="B330" s="14">
        <v>45819</v>
      </c>
      <c r="C330" s="21" t="s">
        <v>11</v>
      </c>
      <c r="D330" s="22">
        <v>14.98</v>
      </c>
      <c r="E330" s="22">
        <v>0</v>
      </c>
      <c r="F330" s="23">
        <f t="shared" si="67"/>
        <v>86195.3137920002</v>
      </c>
      <c r="G330" s="27"/>
    </row>
    <row r="331" customHeight="1" spans="1:7">
      <c r="A331" s="20" t="s">
        <v>6</v>
      </c>
      <c r="B331" s="20">
        <v>45820</v>
      </c>
      <c r="C331" s="24" t="s">
        <v>30</v>
      </c>
      <c r="D331" s="25">
        <v>0</v>
      </c>
      <c r="E331" s="28">
        <v>13392</v>
      </c>
      <c r="F331" s="23">
        <f t="shared" si="67"/>
        <v>99587.3137920002</v>
      </c>
      <c r="G331" s="27"/>
    </row>
    <row r="332" customHeight="1" spans="1:7">
      <c r="A332" s="20" t="s">
        <v>6</v>
      </c>
      <c r="B332" s="20">
        <v>45820</v>
      </c>
      <c r="C332" s="24" t="s">
        <v>56</v>
      </c>
      <c r="D332" s="25">
        <v>0</v>
      </c>
      <c r="E332" s="28">
        <v>1134</v>
      </c>
      <c r="F332" s="23">
        <f t="shared" si="67"/>
        <v>100721.313792</v>
      </c>
      <c r="G332" s="27"/>
    </row>
    <row r="333" customHeight="1" spans="1:7">
      <c r="A333" s="20" t="s">
        <v>6</v>
      </c>
      <c r="B333" s="20">
        <v>45824</v>
      </c>
      <c r="C333" s="24" t="s">
        <v>34</v>
      </c>
      <c r="D333" s="25">
        <v>0</v>
      </c>
      <c r="E333" s="28">
        <v>2352</v>
      </c>
      <c r="F333" s="23">
        <f t="shared" si="67"/>
        <v>103073.313792</v>
      </c>
      <c r="G333" s="27"/>
    </row>
    <row r="334" customHeight="1" spans="1:6">
      <c r="A334" s="20" t="s">
        <v>6</v>
      </c>
      <c r="B334" s="20">
        <v>45824</v>
      </c>
      <c r="C334" s="21" t="s">
        <v>18</v>
      </c>
      <c r="D334" s="22">
        <v>432</v>
      </c>
      <c r="E334" s="22">
        <v>0</v>
      </c>
      <c r="F334" s="23">
        <f t="shared" si="67"/>
        <v>102641.313792</v>
      </c>
    </row>
    <row r="335" customHeight="1" spans="1:7">
      <c r="A335" s="20">
        <v>45824</v>
      </c>
      <c r="B335" s="20">
        <v>45826</v>
      </c>
      <c r="C335" s="24" t="s">
        <v>90</v>
      </c>
      <c r="D335" s="25">
        <v>0</v>
      </c>
      <c r="E335" s="16">
        <v>16563.22</v>
      </c>
      <c r="F335" s="23">
        <f t="shared" si="67"/>
        <v>119204.533792</v>
      </c>
      <c r="G335" s="27"/>
    </row>
    <row r="336" customHeight="1" spans="1:7">
      <c r="A336" s="20">
        <v>45824</v>
      </c>
      <c r="B336" s="20">
        <v>45826</v>
      </c>
      <c r="C336" s="21" t="s">
        <v>11</v>
      </c>
      <c r="D336" s="22">
        <v>14.98</v>
      </c>
      <c r="E336" s="22">
        <v>0</v>
      </c>
      <c r="F336" s="23">
        <f t="shared" si="67"/>
        <v>119189.553792</v>
      </c>
      <c r="G336" s="27"/>
    </row>
    <row r="337" customHeight="1" spans="1:7">
      <c r="A337" s="20">
        <v>45826</v>
      </c>
      <c r="B337" s="20">
        <v>45828</v>
      </c>
      <c r="C337" s="24" t="s">
        <v>90</v>
      </c>
      <c r="D337" s="25">
        <v>0</v>
      </c>
      <c r="E337" s="16">
        <v>16762.79</v>
      </c>
      <c r="F337" s="23">
        <f t="shared" si="67"/>
        <v>135952.343792</v>
      </c>
      <c r="G337" s="27"/>
    </row>
    <row r="338" customHeight="1" spans="1:7">
      <c r="A338" s="20">
        <v>45826</v>
      </c>
      <c r="B338" s="20">
        <v>45828</v>
      </c>
      <c r="C338" s="21" t="s">
        <v>11</v>
      </c>
      <c r="D338" s="22">
        <v>14.98</v>
      </c>
      <c r="E338" s="22">
        <v>0</v>
      </c>
      <c r="F338" s="23">
        <f t="shared" si="67"/>
        <v>135937.363792</v>
      </c>
      <c r="G338" s="27"/>
    </row>
    <row r="339" customHeight="1" spans="1:7">
      <c r="A339" s="20">
        <v>45828</v>
      </c>
      <c r="B339" s="20">
        <v>45832</v>
      </c>
      <c r="C339" s="24" t="s">
        <v>90</v>
      </c>
      <c r="D339" s="25">
        <v>0</v>
      </c>
      <c r="E339" s="16">
        <v>16762.79</v>
      </c>
      <c r="F339" s="23">
        <f t="shared" si="67"/>
        <v>152700.153792</v>
      </c>
      <c r="G339" s="27"/>
    </row>
    <row r="340" customHeight="1" spans="1:7">
      <c r="A340" s="20">
        <v>45828</v>
      </c>
      <c r="B340" s="20">
        <v>45832</v>
      </c>
      <c r="C340" s="21" t="s">
        <v>11</v>
      </c>
      <c r="D340" s="22">
        <v>14.98</v>
      </c>
      <c r="E340" s="22">
        <v>0</v>
      </c>
      <c r="F340" s="23">
        <f t="shared" si="67"/>
        <v>152685.173792</v>
      </c>
      <c r="G340" s="27"/>
    </row>
    <row r="341" customHeight="1" spans="1:7">
      <c r="A341" s="20" t="s">
        <v>6</v>
      </c>
      <c r="B341" s="20">
        <v>45833</v>
      </c>
      <c r="C341" s="24" t="s">
        <v>38</v>
      </c>
      <c r="D341" s="25">
        <v>0</v>
      </c>
      <c r="E341" s="28">
        <v>7155</v>
      </c>
      <c r="F341" s="23">
        <f t="shared" si="67"/>
        <v>159840.173792</v>
      </c>
      <c r="G341" s="27"/>
    </row>
    <row r="342" customHeight="1" spans="1:7">
      <c r="A342" s="20">
        <v>45831</v>
      </c>
      <c r="B342" s="20">
        <v>45833</v>
      </c>
      <c r="C342" s="24" t="s">
        <v>98</v>
      </c>
      <c r="D342" s="25">
        <v>19543.2</v>
      </c>
      <c r="E342" s="16">
        <v>0</v>
      </c>
      <c r="F342" s="23">
        <f t="shared" si="67"/>
        <v>140296.973792</v>
      </c>
      <c r="G342" s="27"/>
    </row>
    <row r="343" customHeight="1" spans="1:7">
      <c r="A343" s="20">
        <v>45831</v>
      </c>
      <c r="B343" s="20">
        <v>45833</v>
      </c>
      <c r="C343" s="21" t="s">
        <v>11</v>
      </c>
      <c r="D343" s="22">
        <v>14.98</v>
      </c>
      <c r="E343" s="22">
        <v>0</v>
      </c>
      <c r="F343" s="23">
        <f t="shared" si="67"/>
        <v>140281.993792</v>
      </c>
      <c r="G343" s="27"/>
    </row>
    <row r="344" customHeight="1" spans="1:6">
      <c r="A344" s="20" t="s">
        <v>6</v>
      </c>
      <c r="B344" s="20">
        <v>45840</v>
      </c>
      <c r="C344" s="21" t="s">
        <v>7</v>
      </c>
      <c r="D344" s="22">
        <v>254.61</v>
      </c>
      <c r="E344" s="22">
        <v>0</v>
      </c>
      <c r="F344" s="23">
        <f t="shared" si="67"/>
        <v>140027.383792</v>
      </c>
    </row>
    <row r="345" customHeight="1" spans="1:7">
      <c r="A345" s="20">
        <v>45840</v>
      </c>
      <c r="B345" s="20">
        <v>45842</v>
      </c>
      <c r="C345" s="24" t="s">
        <v>90</v>
      </c>
      <c r="D345" s="25">
        <v>0</v>
      </c>
      <c r="E345" s="16">
        <v>19556.59</v>
      </c>
      <c r="F345" s="23">
        <f t="shared" si="67"/>
        <v>159583.973792</v>
      </c>
      <c r="G345" s="27"/>
    </row>
    <row r="346" customHeight="1" spans="1:7">
      <c r="A346" s="20">
        <v>45840</v>
      </c>
      <c r="B346" s="20">
        <v>45842</v>
      </c>
      <c r="C346" s="21" t="s">
        <v>11</v>
      </c>
      <c r="D346" s="22">
        <v>14.98</v>
      </c>
      <c r="E346" s="22">
        <v>0</v>
      </c>
      <c r="F346" s="23">
        <f t="shared" si="67"/>
        <v>159568.993792</v>
      </c>
      <c r="G346" s="27"/>
    </row>
    <row r="347" customHeight="1" spans="1:7">
      <c r="A347" s="20">
        <v>45841</v>
      </c>
      <c r="B347" s="20">
        <v>45845</v>
      </c>
      <c r="C347" s="24" t="s">
        <v>65</v>
      </c>
      <c r="D347" s="25">
        <v>0</v>
      </c>
      <c r="E347" s="16">
        <v>25443.51</v>
      </c>
      <c r="F347" s="23">
        <f t="shared" ref="F347:F349" si="68">F346-D347+E347</f>
        <v>185012.503792</v>
      </c>
      <c r="G347" s="27"/>
    </row>
    <row r="348" customHeight="1" spans="1:7">
      <c r="A348" s="20">
        <v>45841</v>
      </c>
      <c r="B348" s="20">
        <v>45845</v>
      </c>
      <c r="C348" s="24" t="s">
        <v>90</v>
      </c>
      <c r="D348" s="25">
        <v>0</v>
      </c>
      <c r="E348" s="16">
        <v>20953.49</v>
      </c>
      <c r="F348" s="23">
        <f t="shared" si="68"/>
        <v>205965.993792</v>
      </c>
      <c r="G348" s="27"/>
    </row>
    <row r="349" customHeight="1" spans="1:7">
      <c r="A349" s="20">
        <v>45841</v>
      </c>
      <c r="B349" s="20">
        <v>45845</v>
      </c>
      <c r="C349" s="21" t="s">
        <v>11</v>
      </c>
      <c r="D349" s="22">
        <v>14.98</v>
      </c>
      <c r="E349" s="22">
        <v>0</v>
      </c>
      <c r="F349" s="23">
        <f t="shared" si="68"/>
        <v>205951.013792</v>
      </c>
      <c r="G349" s="27"/>
    </row>
    <row r="350" customHeight="1" spans="1:7">
      <c r="A350" s="20">
        <v>45846</v>
      </c>
      <c r="B350" s="20">
        <v>45848</v>
      </c>
      <c r="C350" s="24" t="s">
        <v>62</v>
      </c>
      <c r="D350" s="25">
        <v>44097.83</v>
      </c>
      <c r="E350" s="16">
        <v>0</v>
      </c>
      <c r="F350" s="23">
        <f t="shared" ref="F350:F352" si="69">F349-D350+E350</f>
        <v>161853.183792</v>
      </c>
      <c r="G350" s="27"/>
    </row>
    <row r="351" customHeight="1" spans="1:7">
      <c r="A351" s="20">
        <v>45846</v>
      </c>
      <c r="B351" s="20">
        <v>45848</v>
      </c>
      <c r="C351" s="21" t="s">
        <v>11</v>
      </c>
      <c r="D351" s="22">
        <v>14.98</v>
      </c>
      <c r="E351" s="22">
        <v>0</v>
      </c>
      <c r="F351" s="23">
        <f t="shared" si="69"/>
        <v>161838.203792</v>
      </c>
      <c r="G351" s="27"/>
    </row>
    <row r="352" customHeight="1" spans="1:6">
      <c r="A352" s="20" t="s">
        <v>6</v>
      </c>
      <c r="B352" s="20">
        <v>45850</v>
      </c>
      <c r="C352" s="21" t="s">
        <v>16</v>
      </c>
      <c r="D352" s="22">
        <v>20</v>
      </c>
      <c r="E352" s="22">
        <v>0</v>
      </c>
      <c r="F352" s="23">
        <f t="shared" si="69"/>
        <v>161818.203792</v>
      </c>
    </row>
    <row r="353" customHeight="1" spans="1:6">
      <c r="A353" s="20" t="s">
        <v>6</v>
      </c>
      <c r="B353" s="20">
        <v>45853</v>
      </c>
      <c r="C353" s="21" t="s">
        <v>18</v>
      </c>
      <c r="D353" s="22">
        <v>432</v>
      </c>
      <c r="E353" s="22">
        <v>0</v>
      </c>
      <c r="F353" s="23">
        <f t="shared" ref="F353:F355" si="70">F352-D353+E353</f>
        <v>161386.203792</v>
      </c>
    </row>
    <row r="354" customHeight="1" spans="1:7">
      <c r="A354" s="20">
        <v>45854</v>
      </c>
      <c r="B354" s="20">
        <v>45856</v>
      </c>
      <c r="C354" s="24" t="s">
        <v>90</v>
      </c>
      <c r="D354" s="25">
        <v>0</v>
      </c>
      <c r="E354" s="16">
        <v>21651.94</v>
      </c>
      <c r="F354" s="23">
        <f t="shared" si="70"/>
        <v>183038.143792</v>
      </c>
      <c r="G354" s="27"/>
    </row>
    <row r="355" customHeight="1" spans="1:7">
      <c r="A355" s="20">
        <v>45854</v>
      </c>
      <c r="B355" s="20">
        <v>45856</v>
      </c>
      <c r="C355" s="21" t="s">
        <v>11</v>
      </c>
      <c r="D355" s="22">
        <v>14.98</v>
      </c>
      <c r="E355" s="22">
        <v>0</v>
      </c>
      <c r="F355" s="23">
        <f t="shared" si="70"/>
        <v>183023.163792</v>
      </c>
      <c r="G355" s="27"/>
    </row>
    <row r="356" customHeight="1" spans="1:7">
      <c r="A356" s="20">
        <v>45856</v>
      </c>
      <c r="B356" s="20">
        <v>45860</v>
      </c>
      <c r="C356" s="24" t="s">
        <v>90</v>
      </c>
      <c r="D356" s="25">
        <v>0</v>
      </c>
      <c r="E356" s="16">
        <v>22150.83</v>
      </c>
      <c r="F356" s="23">
        <f t="shared" ref="F356:F388" si="71">F355-D356+E356</f>
        <v>205173.993792</v>
      </c>
      <c r="G356" s="27"/>
    </row>
    <row r="357" customHeight="1" spans="1:7">
      <c r="A357" s="20">
        <v>45856</v>
      </c>
      <c r="B357" s="20">
        <v>45860</v>
      </c>
      <c r="C357" s="21" t="s">
        <v>11</v>
      </c>
      <c r="D357" s="22">
        <v>14.98</v>
      </c>
      <c r="E357" s="22">
        <v>0</v>
      </c>
      <c r="F357" s="23">
        <f t="shared" si="71"/>
        <v>205159.013792</v>
      </c>
      <c r="G357" s="27"/>
    </row>
    <row r="358" customHeight="1" spans="1:7">
      <c r="A358" s="20">
        <v>45862</v>
      </c>
      <c r="B358" s="20">
        <v>45866</v>
      </c>
      <c r="C358" s="24" t="s">
        <v>90</v>
      </c>
      <c r="D358" s="25">
        <v>0</v>
      </c>
      <c r="E358" s="16">
        <v>22350.38</v>
      </c>
      <c r="F358" s="23">
        <f t="shared" si="71"/>
        <v>227509.393792</v>
      </c>
      <c r="G358" s="27"/>
    </row>
    <row r="359" customHeight="1" spans="1:7">
      <c r="A359" s="20">
        <v>45862</v>
      </c>
      <c r="B359" s="20">
        <v>45866</v>
      </c>
      <c r="C359" s="21" t="s">
        <v>11</v>
      </c>
      <c r="D359" s="22">
        <v>14.98</v>
      </c>
      <c r="E359" s="22">
        <v>0</v>
      </c>
      <c r="F359" s="23">
        <f t="shared" si="71"/>
        <v>227494.413792</v>
      </c>
      <c r="G359" s="27"/>
    </row>
    <row r="360" customHeight="1" spans="1:7">
      <c r="A360" s="20" t="s">
        <v>6</v>
      </c>
      <c r="B360" s="20">
        <v>45869</v>
      </c>
      <c r="C360" s="24" t="s">
        <v>8</v>
      </c>
      <c r="D360" s="25">
        <v>38000</v>
      </c>
      <c r="E360" s="28">
        <v>0</v>
      </c>
      <c r="F360" s="23">
        <f t="shared" si="71"/>
        <v>189494.413792</v>
      </c>
      <c r="G360" s="27"/>
    </row>
    <row r="361" customHeight="1" spans="1:7">
      <c r="A361" s="20">
        <v>45867</v>
      </c>
      <c r="B361" s="20">
        <v>45869</v>
      </c>
      <c r="C361" s="24" t="s">
        <v>90</v>
      </c>
      <c r="D361" s="25">
        <v>0</v>
      </c>
      <c r="E361" s="16">
        <v>22849.28</v>
      </c>
      <c r="F361" s="23">
        <f t="shared" si="71"/>
        <v>212343.693792</v>
      </c>
      <c r="G361" s="27"/>
    </row>
    <row r="362" customHeight="1" spans="1:7">
      <c r="A362" s="20">
        <v>45867</v>
      </c>
      <c r="B362" s="20">
        <v>45869</v>
      </c>
      <c r="C362" s="21" t="s">
        <v>11</v>
      </c>
      <c r="D362" s="22">
        <v>14.98</v>
      </c>
      <c r="E362" s="22">
        <v>0</v>
      </c>
      <c r="F362" s="23">
        <f t="shared" si="71"/>
        <v>212328.713792</v>
      </c>
      <c r="G362" s="27"/>
    </row>
    <row r="363" customHeight="1" spans="1:7">
      <c r="A363" s="20">
        <v>45868</v>
      </c>
      <c r="B363" s="20">
        <v>45870</v>
      </c>
      <c r="C363" s="24" t="s">
        <v>70</v>
      </c>
      <c r="D363" s="25">
        <v>0</v>
      </c>
      <c r="E363" s="16">
        <v>41128.7</v>
      </c>
      <c r="F363" s="23">
        <f t="shared" si="71"/>
        <v>253457.413792</v>
      </c>
      <c r="G363" s="27"/>
    </row>
    <row r="364" customHeight="1" spans="1:7">
      <c r="A364" s="20">
        <v>45868</v>
      </c>
      <c r="B364" s="20">
        <v>45870</v>
      </c>
      <c r="C364" s="24" t="s">
        <v>99</v>
      </c>
      <c r="D364" s="25">
        <v>0</v>
      </c>
      <c r="E364" s="16">
        <v>54878.18</v>
      </c>
      <c r="F364" s="23">
        <f t="shared" si="71"/>
        <v>308335.593792</v>
      </c>
      <c r="G364" s="27"/>
    </row>
    <row r="365" customHeight="1" spans="1:7">
      <c r="A365" s="20">
        <v>45868</v>
      </c>
      <c r="B365" s="20">
        <v>45870</v>
      </c>
      <c r="C365" s="21" t="s">
        <v>11</v>
      </c>
      <c r="D365" s="22">
        <v>14.98</v>
      </c>
      <c r="E365" s="22">
        <v>0</v>
      </c>
      <c r="F365" s="23">
        <f t="shared" si="71"/>
        <v>308320.613792</v>
      </c>
      <c r="G365" s="27"/>
    </row>
    <row r="366" customHeight="1" spans="1:7">
      <c r="A366" s="20" t="s">
        <v>6</v>
      </c>
      <c r="B366" s="20">
        <v>45870</v>
      </c>
      <c r="C366" s="21" t="s">
        <v>7</v>
      </c>
      <c r="D366" s="22">
        <v>2391.8</v>
      </c>
      <c r="E366" s="22">
        <v>0</v>
      </c>
      <c r="F366" s="23">
        <f t="shared" si="71"/>
        <v>305928.813792</v>
      </c>
      <c r="G366" s="27"/>
    </row>
    <row r="367" customHeight="1" spans="1:7">
      <c r="A367" s="20">
        <v>45874</v>
      </c>
      <c r="B367" s="20">
        <v>45876</v>
      </c>
      <c r="C367" s="24" t="s">
        <v>72</v>
      </c>
      <c r="D367" s="25">
        <v>18841.64</v>
      </c>
      <c r="E367" s="16">
        <v>0</v>
      </c>
      <c r="F367" s="23">
        <f t="shared" si="71"/>
        <v>287087.173792</v>
      </c>
      <c r="G367" s="27"/>
    </row>
    <row r="368" customHeight="1" spans="1:7">
      <c r="A368" s="20">
        <v>45874</v>
      </c>
      <c r="B368" s="20">
        <v>45876</v>
      </c>
      <c r="C368" s="24" t="s">
        <v>72</v>
      </c>
      <c r="D368" s="25">
        <v>0</v>
      </c>
      <c r="E368" s="16">
        <v>18957.92</v>
      </c>
      <c r="F368" s="23">
        <f t="shared" si="71"/>
        <v>306045.093792</v>
      </c>
      <c r="G368" s="27"/>
    </row>
    <row r="369" customHeight="1" spans="1:7">
      <c r="A369" s="20">
        <v>45874</v>
      </c>
      <c r="B369" s="20">
        <v>45876</v>
      </c>
      <c r="C369" s="21" t="s">
        <v>11</v>
      </c>
      <c r="D369" s="22">
        <v>14.98</v>
      </c>
      <c r="E369" s="22">
        <v>0</v>
      </c>
      <c r="F369" s="23">
        <f t="shared" si="71"/>
        <v>306030.113792</v>
      </c>
      <c r="G369" s="27"/>
    </row>
    <row r="370" customHeight="1" spans="1:7">
      <c r="A370" s="20">
        <v>45875</v>
      </c>
      <c r="B370" s="20">
        <v>45877</v>
      </c>
      <c r="C370" s="24" t="s">
        <v>100</v>
      </c>
      <c r="D370" s="25">
        <v>0</v>
      </c>
      <c r="E370" s="16">
        <v>22549.95</v>
      </c>
      <c r="F370" s="23">
        <f t="shared" si="71"/>
        <v>328580.063792</v>
      </c>
      <c r="G370" s="27"/>
    </row>
    <row r="371" customHeight="1" spans="1:7">
      <c r="A371" s="20">
        <v>45875</v>
      </c>
      <c r="B371" s="20">
        <v>45877</v>
      </c>
      <c r="C371" s="24" t="s">
        <v>65</v>
      </c>
      <c r="D371" s="25">
        <v>0</v>
      </c>
      <c r="E371" s="16">
        <v>32408.06</v>
      </c>
      <c r="F371" s="23">
        <f t="shared" si="71"/>
        <v>360988.123792</v>
      </c>
      <c r="G371" s="27"/>
    </row>
    <row r="372" customHeight="1" spans="1:7">
      <c r="A372" s="20">
        <v>45875</v>
      </c>
      <c r="B372" s="20">
        <v>45877</v>
      </c>
      <c r="C372" s="24" t="s">
        <v>101</v>
      </c>
      <c r="D372" s="25">
        <v>31569.77</v>
      </c>
      <c r="E372" s="16">
        <v>0</v>
      </c>
      <c r="F372" s="23">
        <f t="shared" si="71"/>
        <v>329418.353792</v>
      </c>
      <c r="G372" s="27"/>
    </row>
    <row r="373" customHeight="1" spans="1:7">
      <c r="A373" s="20">
        <v>45875</v>
      </c>
      <c r="B373" s="20">
        <v>45877</v>
      </c>
      <c r="C373" s="21" t="s">
        <v>11</v>
      </c>
      <c r="D373" s="22">
        <v>14.98</v>
      </c>
      <c r="E373" s="22">
        <v>0</v>
      </c>
      <c r="F373" s="23">
        <f t="shared" si="71"/>
        <v>329403.373792</v>
      </c>
      <c r="G373" s="27"/>
    </row>
    <row r="374" customHeight="1" spans="1:6">
      <c r="A374" s="20" t="s">
        <v>6</v>
      </c>
      <c r="B374" s="20">
        <v>45878</v>
      </c>
      <c r="C374" s="21" t="s">
        <v>16</v>
      </c>
      <c r="D374" s="22">
        <v>20</v>
      </c>
      <c r="E374" s="22">
        <v>0</v>
      </c>
      <c r="F374" s="23">
        <f t="shared" si="71"/>
        <v>329383.373792</v>
      </c>
    </row>
    <row r="375" customHeight="1" spans="1:7">
      <c r="A375" s="20">
        <v>45876</v>
      </c>
      <c r="B375" s="20">
        <v>45882</v>
      </c>
      <c r="C375" s="24" t="s">
        <v>72</v>
      </c>
      <c r="D375" s="25">
        <v>0</v>
      </c>
      <c r="E375" s="16">
        <v>20554.38</v>
      </c>
      <c r="F375" s="23">
        <f t="shared" si="71"/>
        <v>349937.753792</v>
      </c>
      <c r="G375" s="27"/>
    </row>
    <row r="376" customHeight="1" spans="1:7">
      <c r="A376" s="20">
        <v>45876</v>
      </c>
      <c r="B376" s="20">
        <v>45882</v>
      </c>
      <c r="C376" s="24" t="s">
        <v>102</v>
      </c>
      <c r="D376" s="25">
        <v>29665.56</v>
      </c>
      <c r="E376" s="16">
        <v>0</v>
      </c>
      <c r="F376" s="23">
        <f t="shared" si="71"/>
        <v>320272.193792</v>
      </c>
      <c r="G376" s="27"/>
    </row>
    <row r="377" customHeight="1" spans="1:7">
      <c r="A377" s="20">
        <v>45876</v>
      </c>
      <c r="B377" s="20">
        <v>45882</v>
      </c>
      <c r="C377" s="24" t="s">
        <v>102</v>
      </c>
      <c r="D377" s="25">
        <v>0</v>
      </c>
      <c r="E377" s="16">
        <v>30013.37</v>
      </c>
      <c r="F377" s="23">
        <f t="shared" si="71"/>
        <v>350285.563792</v>
      </c>
      <c r="G377" s="27"/>
    </row>
    <row r="378" customHeight="1" spans="1:7">
      <c r="A378" s="20">
        <v>45876</v>
      </c>
      <c r="B378" s="20">
        <v>45882</v>
      </c>
      <c r="C378" s="21" t="s">
        <v>11</v>
      </c>
      <c r="D378" s="22">
        <v>14.98</v>
      </c>
      <c r="E378" s="22">
        <v>0</v>
      </c>
      <c r="F378" s="23">
        <f t="shared" si="71"/>
        <v>350270.583792</v>
      </c>
      <c r="G378" s="27"/>
    </row>
    <row r="379" customHeight="1" spans="1:7">
      <c r="A379" s="20">
        <v>45877</v>
      </c>
      <c r="B379" s="20">
        <v>45883</v>
      </c>
      <c r="C379" s="24" t="s">
        <v>103</v>
      </c>
      <c r="D379" s="25">
        <v>24804.82</v>
      </c>
      <c r="E379" s="16">
        <v>0</v>
      </c>
      <c r="F379" s="23">
        <f t="shared" si="71"/>
        <v>325465.763792</v>
      </c>
      <c r="G379" s="27"/>
    </row>
    <row r="380" customHeight="1" spans="1:7">
      <c r="A380" s="20">
        <v>45877</v>
      </c>
      <c r="B380" s="20">
        <v>45883</v>
      </c>
      <c r="C380" s="24" t="s">
        <v>104</v>
      </c>
      <c r="D380" s="25">
        <v>80177.19</v>
      </c>
      <c r="E380" s="16">
        <v>0</v>
      </c>
      <c r="F380" s="23">
        <f t="shared" si="71"/>
        <v>245288.573792</v>
      </c>
      <c r="G380" s="27"/>
    </row>
    <row r="381" customHeight="1" spans="1:7">
      <c r="A381" s="20">
        <v>45877</v>
      </c>
      <c r="B381" s="20">
        <v>45883</v>
      </c>
      <c r="C381" s="24" t="s">
        <v>105</v>
      </c>
      <c r="D381" s="25">
        <v>0</v>
      </c>
      <c r="E381" s="16">
        <v>92794.01</v>
      </c>
      <c r="F381" s="23">
        <f t="shared" si="71"/>
        <v>338082.583792</v>
      </c>
      <c r="G381" s="27"/>
    </row>
    <row r="382" customHeight="1" spans="1:7">
      <c r="A382" s="20">
        <v>45877</v>
      </c>
      <c r="B382" s="20">
        <v>45883</v>
      </c>
      <c r="C382" s="24" t="s">
        <v>26</v>
      </c>
      <c r="D382" s="25">
        <v>0</v>
      </c>
      <c r="E382" s="16">
        <v>40110.97</v>
      </c>
      <c r="F382" s="23">
        <f t="shared" si="71"/>
        <v>378193.553792</v>
      </c>
      <c r="G382" s="27"/>
    </row>
    <row r="383" customHeight="1" spans="1:7">
      <c r="A383" s="20">
        <v>45877</v>
      </c>
      <c r="B383" s="20">
        <v>45883</v>
      </c>
      <c r="C383" s="21" t="s">
        <v>11</v>
      </c>
      <c r="D383" s="22">
        <v>14.98</v>
      </c>
      <c r="E383" s="22">
        <v>0</v>
      </c>
      <c r="F383" s="23">
        <f t="shared" si="71"/>
        <v>378178.573792</v>
      </c>
      <c r="G383" s="27"/>
    </row>
    <row r="384" customHeight="1" spans="1:7">
      <c r="A384" s="20">
        <v>45882</v>
      </c>
      <c r="B384" s="20">
        <v>45884</v>
      </c>
      <c r="C384" s="24" t="s">
        <v>103</v>
      </c>
      <c r="D384" s="25">
        <v>24554.27</v>
      </c>
      <c r="E384" s="16">
        <v>0</v>
      </c>
      <c r="F384" s="23">
        <f t="shared" si="71"/>
        <v>353624.303792</v>
      </c>
      <c r="G384" s="27"/>
    </row>
    <row r="385" customHeight="1" spans="1:7">
      <c r="A385" s="20">
        <v>45882</v>
      </c>
      <c r="B385" s="20">
        <v>45884</v>
      </c>
      <c r="C385" s="21" t="s">
        <v>11</v>
      </c>
      <c r="D385" s="22">
        <v>14.98</v>
      </c>
      <c r="E385" s="22">
        <v>0</v>
      </c>
      <c r="F385" s="23">
        <f t="shared" si="71"/>
        <v>353609.323792</v>
      </c>
      <c r="G385" s="27"/>
    </row>
    <row r="386" customHeight="1" spans="1:6">
      <c r="A386" s="20" t="s">
        <v>6</v>
      </c>
      <c r="B386" s="20">
        <v>45884</v>
      </c>
      <c r="C386" s="21" t="s">
        <v>18</v>
      </c>
      <c r="D386" s="22">
        <v>432</v>
      </c>
      <c r="E386" s="22">
        <v>0</v>
      </c>
      <c r="F386" s="23">
        <f t="shared" si="71"/>
        <v>353177.323792</v>
      </c>
    </row>
    <row r="387" customHeight="1" spans="1:7">
      <c r="A387" s="20">
        <v>45883</v>
      </c>
      <c r="B387" s="20">
        <v>45887</v>
      </c>
      <c r="C387" s="24" t="s">
        <v>25</v>
      </c>
      <c r="D387" s="25">
        <v>84687.16</v>
      </c>
      <c r="E387" s="16">
        <v>0</v>
      </c>
      <c r="F387" s="23">
        <f t="shared" si="71"/>
        <v>268490.163792</v>
      </c>
      <c r="G387" s="27"/>
    </row>
    <row r="388" customHeight="1" spans="1:7">
      <c r="A388" s="20">
        <v>45883</v>
      </c>
      <c r="B388" s="20">
        <v>45887</v>
      </c>
      <c r="C388" s="21" t="s">
        <v>11</v>
      </c>
      <c r="D388" s="22">
        <v>14.98</v>
      </c>
      <c r="E388" s="22">
        <v>0</v>
      </c>
      <c r="F388" s="23">
        <f t="shared" si="71"/>
        <v>268475.183792</v>
      </c>
      <c r="G388" s="27"/>
    </row>
    <row r="389" customHeight="1" spans="1:7">
      <c r="A389" s="20">
        <v>45887</v>
      </c>
      <c r="B389" s="20">
        <v>45889</v>
      </c>
      <c r="C389" s="24" t="s">
        <v>106</v>
      </c>
      <c r="D389" s="25">
        <v>84186.05</v>
      </c>
      <c r="E389" s="16">
        <v>0</v>
      </c>
      <c r="F389" s="23">
        <f t="shared" ref="F389" si="72">F388-D389+E389</f>
        <v>184289.133792</v>
      </c>
      <c r="G389" s="27"/>
    </row>
    <row r="390" customHeight="1" spans="1:7">
      <c r="A390" s="20">
        <v>45887</v>
      </c>
      <c r="B390" s="20">
        <v>45889</v>
      </c>
      <c r="C390" s="24" t="s">
        <v>107</v>
      </c>
      <c r="D390" s="25">
        <v>96613.52</v>
      </c>
      <c r="E390" s="16">
        <v>0</v>
      </c>
      <c r="F390" s="23">
        <f t="shared" ref="F390" si="73">F389-D390+E390</f>
        <v>87675.6137920002</v>
      </c>
      <c r="G390" s="27"/>
    </row>
    <row r="391" customHeight="1" spans="1:7">
      <c r="A391" s="20">
        <v>45887</v>
      </c>
      <c r="B391" s="20">
        <v>45889</v>
      </c>
      <c r="C391" s="24" t="s">
        <v>72</v>
      </c>
      <c r="D391" s="25">
        <v>0</v>
      </c>
      <c r="E391" s="16">
        <v>11474.43</v>
      </c>
      <c r="F391" s="23">
        <f t="shared" ref="F391" si="74">F390-D391+E391</f>
        <v>99150.0437920002</v>
      </c>
      <c r="G391" s="27"/>
    </row>
    <row r="392" customHeight="1" spans="1:7">
      <c r="A392" s="20">
        <v>45887</v>
      </c>
      <c r="B392" s="20">
        <v>45889</v>
      </c>
      <c r="C392" s="24" t="s">
        <v>108</v>
      </c>
      <c r="D392" s="25">
        <v>0</v>
      </c>
      <c r="E392" s="16">
        <v>5687.33</v>
      </c>
      <c r="F392" s="23">
        <f t="shared" ref="F392:F394" si="75">F391-D392+E392</f>
        <v>104837.373792</v>
      </c>
      <c r="G392" s="27"/>
    </row>
    <row r="393" customHeight="1" spans="1:7">
      <c r="A393" s="20">
        <v>45887</v>
      </c>
      <c r="B393" s="20">
        <v>45889</v>
      </c>
      <c r="C393" s="21" t="s">
        <v>11</v>
      </c>
      <c r="D393" s="22">
        <v>14.98</v>
      </c>
      <c r="E393" s="22">
        <v>0</v>
      </c>
      <c r="F393" s="23">
        <f t="shared" si="75"/>
        <v>104822.393792</v>
      </c>
      <c r="G393" s="27"/>
    </row>
    <row r="394" customHeight="1" spans="1:7">
      <c r="A394" s="20">
        <v>45889</v>
      </c>
      <c r="B394" s="20">
        <v>45891</v>
      </c>
      <c r="C394" s="24" t="s">
        <v>107</v>
      </c>
      <c r="D394" s="25">
        <v>0</v>
      </c>
      <c r="E394" s="16">
        <v>96984.72</v>
      </c>
      <c r="F394" s="23">
        <f t="shared" si="75"/>
        <v>201807.113792</v>
      </c>
      <c r="G394" s="27"/>
    </row>
    <row r="395" customHeight="1" spans="1:7">
      <c r="A395" s="20">
        <v>45889</v>
      </c>
      <c r="B395" s="20">
        <v>45891</v>
      </c>
      <c r="C395" s="21" t="s">
        <v>11</v>
      </c>
      <c r="D395" s="22">
        <v>14.98</v>
      </c>
      <c r="E395" s="22">
        <v>0</v>
      </c>
      <c r="F395" s="23">
        <f t="shared" ref="F395:F397" si="76">F394-D395+E395</f>
        <v>201792.133792</v>
      </c>
      <c r="G395" s="27"/>
    </row>
    <row r="396" customHeight="1" spans="1:7">
      <c r="A396" s="20">
        <v>45890</v>
      </c>
      <c r="B396" s="20">
        <v>45894</v>
      </c>
      <c r="C396" s="24" t="s">
        <v>107</v>
      </c>
      <c r="D396" s="25">
        <v>96613.52</v>
      </c>
      <c r="E396" s="16">
        <v>0</v>
      </c>
      <c r="F396" s="23">
        <f t="shared" si="76"/>
        <v>105178.613792</v>
      </c>
      <c r="G396" s="27"/>
    </row>
    <row r="397" customHeight="1" spans="1:7">
      <c r="A397" s="20">
        <v>45890</v>
      </c>
      <c r="B397" s="20">
        <v>45894</v>
      </c>
      <c r="C397" s="24" t="s">
        <v>107</v>
      </c>
      <c r="D397" s="25">
        <v>0</v>
      </c>
      <c r="E397" s="16">
        <v>96984.72</v>
      </c>
      <c r="F397" s="23">
        <f t="shared" si="76"/>
        <v>202163.333792</v>
      </c>
      <c r="G397" s="27"/>
    </row>
    <row r="398" customHeight="1" spans="1:7">
      <c r="A398" s="20">
        <v>45890</v>
      </c>
      <c r="B398" s="20">
        <v>45894</v>
      </c>
      <c r="C398" s="21" t="s">
        <v>11</v>
      </c>
      <c r="D398" s="22">
        <v>14.98</v>
      </c>
      <c r="E398" s="22">
        <v>0</v>
      </c>
      <c r="F398" s="23">
        <f t="shared" ref="F398:F400" si="77">F397-D398+E398</f>
        <v>202148.353792</v>
      </c>
      <c r="G398" s="27"/>
    </row>
    <row r="399" customHeight="1" spans="1:7">
      <c r="A399" s="20">
        <v>45890</v>
      </c>
      <c r="B399" s="20">
        <v>45894</v>
      </c>
      <c r="C399" s="24" t="s">
        <v>107</v>
      </c>
      <c r="D399" s="25">
        <v>120766.9</v>
      </c>
      <c r="E399" s="16">
        <v>0</v>
      </c>
      <c r="F399" s="23">
        <f t="shared" si="77"/>
        <v>81381.4537920002</v>
      </c>
      <c r="G399" s="27"/>
    </row>
    <row r="400" customHeight="1" spans="1:7">
      <c r="A400" s="20">
        <v>45890</v>
      </c>
      <c r="B400" s="20">
        <v>45894</v>
      </c>
      <c r="C400" s="24" t="s">
        <v>107</v>
      </c>
      <c r="D400" s="25">
        <v>0</v>
      </c>
      <c r="E400" s="16">
        <v>121230.88</v>
      </c>
      <c r="F400" s="23">
        <f t="shared" si="77"/>
        <v>202612.333792</v>
      </c>
      <c r="G400" s="27"/>
    </row>
    <row r="401" customHeight="1" spans="1:7">
      <c r="A401" s="20">
        <v>45890</v>
      </c>
      <c r="B401" s="20">
        <v>45894</v>
      </c>
      <c r="C401" s="21" t="s">
        <v>11</v>
      </c>
      <c r="D401" s="22">
        <v>14.98</v>
      </c>
      <c r="E401" s="22">
        <v>0</v>
      </c>
      <c r="F401" s="23">
        <f t="shared" ref="F401:F402" si="78">F400-D401+E401</f>
        <v>202597.353792</v>
      </c>
      <c r="G401" s="27"/>
    </row>
    <row r="402" customHeight="1" spans="1:7">
      <c r="A402" s="20">
        <v>45895</v>
      </c>
      <c r="B402" s="20">
        <v>45897</v>
      </c>
      <c r="C402" s="24" t="s">
        <v>107</v>
      </c>
      <c r="D402" s="25">
        <v>120766.9</v>
      </c>
      <c r="E402" s="16">
        <v>0</v>
      </c>
      <c r="F402" s="23">
        <f t="shared" si="78"/>
        <v>81830.4537920002</v>
      </c>
      <c r="G402" s="27"/>
    </row>
    <row r="403" customHeight="1" spans="1:7">
      <c r="A403" s="20">
        <v>45895</v>
      </c>
      <c r="B403" s="20">
        <v>45897</v>
      </c>
      <c r="C403" s="21" t="s">
        <v>11</v>
      </c>
      <c r="D403" s="22">
        <v>14.98</v>
      </c>
      <c r="E403" s="22">
        <v>0</v>
      </c>
      <c r="F403" s="23">
        <f t="shared" ref="F403:F411" si="79">F402-D403+E403</f>
        <v>81815.4737920002</v>
      </c>
      <c r="G403" s="27"/>
    </row>
    <row r="404" customHeight="1" spans="1:7">
      <c r="A404" s="20"/>
      <c r="B404" s="20">
        <v>45897</v>
      </c>
      <c r="C404" s="21" t="s">
        <v>41</v>
      </c>
      <c r="D404" s="22"/>
      <c r="E404" s="22">
        <v>1350</v>
      </c>
      <c r="F404" s="23">
        <f t="shared" si="79"/>
        <v>83165.4737920002</v>
      </c>
      <c r="G404" s="27"/>
    </row>
    <row r="405" customHeight="1" spans="1:7">
      <c r="A405" s="20">
        <v>45896</v>
      </c>
      <c r="B405" s="20">
        <v>45898</v>
      </c>
      <c r="C405" s="24" t="s">
        <v>109</v>
      </c>
      <c r="D405" s="25">
        <v>0</v>
      </c>
      <c r="E405" s="16">
        <v>50288.37</v>
      </c>
      <c r="F405" s="23">
        <f t="shared" si="79"/>
        <v>133453.843792</v>
      </c>
      <c r="G405" s="27"/>
    </row>
    <row r="406" customHeight="1" spans="1:7">
      <c r="A406" s="20">
        <v>45890</v>
      </c>
      <c r="B406" s="20">
        <v>45894</v>
      </c>
      <c r="C406" s="21" t="s">
        <v>11</v>
      </c>
      <c r="D406" s="22">
        <v>14.98</v>
      </c>
      <c r="E406" s="22">
        <v>0</v>
      </c>
      <c r="F406" s="23">
        <f t="shared" si="79"/>
        <v>133438.863792</v>
      </c>
      <c r="G406" s="27"/>
    </row>
    <row r="407" customHeight="1" spans="1:7">
      <c r="A407" s="20">
        <v>45897</v>
      </c>
      <c r="B407" s="20">
        <v>45901</v>
      </c>
      <c r="C407" s="24" t="s">
        <v>72</v>
      </c>
      <c r="D407" s="25">
        <v>11024.36</v>
      </c>
      <c r="E407" s="16">
        <v>0</v>
      </c>
      <c r="F407" s="23">
        <f t="shared" si="79"/>
        <v>122414.503792</v>
      </c>
      <c r="G407" s="27"/>
    </row>
    <row r="408" customHeight="1" spans="1:7">
      <c r="A408" s="20">
        <v>45897</v>
      </c>
      <c r="B408" s="20">
        <v>45901</v>
      </c>
      <c r="C408" s="21" t="s">
        <v>11</v>
      </c>
      <c r="D408" s="22">
        <v>14.98</v>
      </c>
      <c r="E408" s="22">
        <v>0</v>
      </c>
      <c r="F408" s="23">
        <f t="shared" si="79"/>
        <v>122399.523792</v>
      </c>
      <c r="G408" s="27"/>
    </row>
    <row r="409" customHeight="1" spans="1:7">
      <c r="A409" s="20" t="s">
        <v>6</v>
      </c>
      <c r="B409" s="20">
        <v>45901</v>
      </c>
      <c r="C409" s="21" t="s">
        <v>7</v>
      </c>
      <c r="D409" s="22">
        <v>222.14</v>
      </c>
      <c r="E409" s="22">
        <v>0</v>
      </c>
      <c r="F409" s="23">
        <f t="shared" si="79"/>
        <v>122177.383792</v>
      </c>
      <c r="G409" s="27"/>
    </row>
    <row r="410" customHeight="1" spans="1:7">
      <c r="A410" s="20">
        <v>45901</v>
      </c>
      <c r="B410" s="20">
        <v>45903</v>
      </c>
      <c r="C410" s="24" t="s">
        <v>110</v>
      </c>
      <c r="D410" s="25">
        <v>77671.66</v>
      </c>
      <c r="E410" s="16">
        <v>0</v>
      </c>
      <c r="F410" s="23">
        <f t="shared" si="79"/>
        <v>44505.7237920002</v>
      </c>
      <c r="G410" s="27"/>
    </row>
    <row r="411" customHeight="1" spans="1:7">
      <c r="A411" s="20">
        <v>45901</v>
      </c>
      <c r="B411" s="20">
        <v>45903</v>
      </c>
      <c r="C411" s="21" t="s">
        <v>11</v>
      </c>
      <c r="D411" s="22">
        <v>14.98</v>
      </c>
      <c r="E411" s="22">
        <v>0</v>
      </c>
      <c r="F411" s="23">
        <f t="shared" si="79"/>
        <v>44490.7437920002</v>
      </c>
      <c r="G411" s="27"/>
    </row>
    <row r="412" customHeight="1" spans="1:7">
      <c r="A412" s="20"/>
      <c r="B412" s="20">
        <v>45903</v>
      </c>
      <c r="C412" s="21" t="s">
        <v>33</v>
      </c>
      <c r="D412" s="22"/>
      <c r="E412" s="22">
        <v>20864.25</v>
      </c>
      <c r="F412" s="23">
        <f t="shared" ref="F412" si="80">F411-D412+E412</f>
        <v>65354.9937920002</v>
      </c>
      <c r="G412" s="27"/>
    </row>
    <row r="413" customHeight="1" spans="1:7">
      <c r="A413" s="20"/>
      <c r="B413" s="20">
        <v>45903</v>
      </c>
      <c r="C413" s="21" t="s">
        <v>21</v>
      </c>
      <c r="D413" s="22">
        <v>4172.85</v>
      </c>
      <c r="E413" s="22">
        <v>0</v>
      </c>
      <c r="F413" s="23">
        <f t="shared" ref="F413:F414" si="81">F412-D413+E413</f>
        <v>61182.1437920002</v>
      </c>
      <c r="G413" s="27"/>
    </row>
    <row r="414" customHeight="1" spans="1:7">
      <c r="A414" s="20" t="s">
        <v>6</v>
      </c>
      <c r="B414" s="20">
        <v>45903</v>
      </c>
      <c r="C414" s="24" t="s">
        <v>111</v>
      </c>
      <c r="D414" s="25">
        <v>19000</v>
      </c>
      <c r="E414" s="28">
        <v>0</v>
      </c>
      <c r="F414" s="23">
        <f t="shared" si="81"/>
        <v>42182.1437920002</v>
      </c>
      <c r="G414" s="27"/>
    </row>
    <row r="415" customHeight="1" spans="1:7">
      <c r="A415" s="20"/>
      <c r="B415" s="20">
        <v>45903</v>
      </c>
      <c r="C415" s="24" t="s">
        <v>78</v>
      </c>
      <c r="D415" s="25">
        <v>0</v>
      </c>
      <c r="E415" s="28">
        <v>0.51</v>
      </c>
      <c r="F415" s="23">
        <f t="shared" ref="F415:F430" si="82">F414-D415+E415</f>
        <v>42182.6537920002</v>
      </c>
      <c r="G415" s="27"/>
    </row>
    <row r="416" customHeight="1" spans="2:6">
      <c r="B416" s="14">
        <v>45905</v>
      </c>
      <c r="C416" s="15" t="s">
        <v>37</v>
      </c>
      <c r="D416" s="22">
        <v>0</v>
      </c>
      <c r="E416" s="22">
        <v>3228.75</v>
      </c>
      <c r="F416" s="23">
        <f t="shared" si="82"/>
        <v>45411.4037920002</v>
      </c>
    </row>
    <row r="417" customHeight="1" spans="2:6">
      <c r="B417" s="14">
        <v>45905</v>
      </c>
      <c r="C417" s="15" t="s">
        <v>35</v>
      </c>
      <c r="D417" s="22">
        <v>0</v>
      </c>
      <c r="E417" s="22">
        <v>3863.25</v>
      </c>
      <c r="F417" s="23">
        <f t="shared" si="82"/>
        <v>49274.6537920002</v>
      </c>
    </row>
    <row r="418" customHeight="1" spans="2:6">
      <c r="B418" s="14">
        <v>45905</v>
      </c>
      <c r="C418" s="15" t="s">
        <v>94</v>
      </c>
      <c r="D418" s="22">
        <v>0</v>
      </c>
      <c r="E418" s="22">
        <v>5760</v>
      </c>
      <c r="F418" s="23">
        <f t="shared" si="82"/>
        <v>55034.6537920002</v>
      </c>
    </row>
    <row r="419" customHeight="1" spans="2:6">
      <c r="B419" s="14">
        <v>45905</v>
      </c>
      <c r="C419" s="15" t="s">
        <v>50</v>
      </c>
      <c r="D419" s="22">
        <v>0</v>
      </c>
      <c r="E419" s="22">
        <v>1350</v>
      </c>
      <c r="F419" s="23">
        <f t="shared" si="82"/>
        <v>56384.6537920002</v>
      </c>
    </row>
    <row r="420" customHeight="1" spans="2:6">
      <c r="B420" s="14">
        <v>45905</v>
      </c>
      <c r="C420" s="15" t="s">
        <v>53</v>
      </c>
      <c r="D420" s="22">
        <v>0</v>
      </c>
      <c r="E420" s="22">
        <v>12825</v>
      </c>
      <c r="F420" s="23">
        <f t="shared" si="82"/>
        <v>69209.6537920002</v>
      </c>
    </row>
    <row r="421" customHeight="1" spans="2:6">
      <c r="B421" s="14">
        <v>45905</v>
      </c>
      <c r="C421" s="15" t="s">
        <v>112</v>
      </c>
      <c r="D421" s="22">
        <v>0</v>
      </c>
      <c r="E421" s="22">
        <v>532.5</v>
      </c>
      <c r="F421" s="23">
        <f t="shared" si="82"/>
        <v>69742.1537920002</v>
      </c>
    </row>
    <row r="422" customHeight="1" spans="1:7">
      <c r="A422" s="20">
        <v>45903</v>
      </c>
      <c r="B422" s="20">
        <v>45905</v>
      </c>
      <c r="C422" s="24" t="s">
        <v>25</v>
      </c>
      <c r="D422" s="25">
        <v>0</v>
      </c>
      <c r="E422" s="16">
        <v>41407.73</v>
      </c>
      <c r="F422" s="23">
        <f t="shared" si="82"/>
        <v>111149.883792</v>
      </c>
      <c r="G422" s="27"/>
    </row>
    <row r="423" customHeight="1" spans="1:7">
      <c r="A423" s="20">
        <v>45903</v>
      </c>
      <c r="B423" s="20">
        <v>45905</v>
      </c>
      <c r="C423" s="21" t="s">
        <v>11</v>
      </c>
      <c r="D423" s="22">
        <v>14.98</v>
      </c>
      <c r="E423" s="22">
        <v>0</v>
      </c>
      <c r="F423" s="23">
        <f t="shared" si="82"/>
        <v>111134.903792</v>
      </c>
      <c r="G423" s="27"/>
    </row>
    <row r="424" customHeight="1" spans="2:6">
      <c r="B424" s="14">
        <v>45909</v>
      </c>
      <c r="C424" s="15" t="s">
        <v>28</v>
      </c>
      <c r="D424" s="22">
        <v>0</v>
      </c>
      <c r="E424" s="22">
        <v>9999</v>
      </c>
      <c r="F424" s="23">
        <f t="shared" si="82"/>
        <v>121133.903792</v>
      </c>
    </row>
    <row r="425" customHeight="1" spans="2:6">
      <c r="B425" s="14">
        <v>45910</v>
      </c>
      <c r="C425" s="15" t="s">
        <v>49</v>
      </c>
      <c r="D425" s="22">
        <v>0</v>
      </c>
      <c r="E425" s="22">
        <v>1575</v>
      </c>
      <c r="F425" s="23">
        <f t="shared" si="82"/>
        <v>122708.903792</v>
      </c>
    </row>
    <row r="426" customHeight="1" spans="2:6">
      <c r="B426" s="14">
        <v>45910</v>
      </c>
      <c r="C426" s="15" t="s">
        <v>45</v>
      </c>
      <c r="D426" s="22">
        <v>0</v>
      </c>
      <c r="E426" s="22">
        <v>19926</v>
      </c>
      <c r="F426" s="23">
        <f t="shared" si="82"/>
        <v>142634.903792</v>
      </c>
    </row>
    <row r="427" customHeight="1" spans="2:6">
      <c r="B427" s="14">
        <v>45910</v>
      </c>
      <c r="C427" s="15" t="s">
        <v>60</v>
      </c>
      <c r="D427" s="22">
        <v>0</v>
      </c>
      <c r="E427" s="22">
        <v>339.6</v>
      </c>
      <c r="F427" s="23">
        <f t="shared" si="82"/>
        <v>142974.503792</v>
      </c>
    </row>
    <row r="428" customHeight="1" spans="1:7">
      <c r="A428" s="20">
        <v>45908</v>
      </c>
      <c r="B428" s="20">
        <v>45910</v>
      </c>
      <c r="C428" s="24" t="s">
        <v>107</v>
      </c>
      <c r="D428" s="25">
        <v>0</v>
      </c>
      <c r="E428" s="16">
        <v>116740.86</v>
      </c>
      <c r="F428" s="23">
        <f t="shared" si="82"/>
        <v>259715.363792</v>
      </c>
      <c r="G428" s="27"/>
    </row>
    <row r="429" customHeight="1" spans="1:7">
      <c r="A429" s="20">
        <v>45908</v>
      </c>
      <c r="B429" s="20">
        <v>45910</v>
      </c>
      <c r="C429" s="24" t="s">
        <v>72</v>
      </c>
      <c r="D429" s="25">
        <v>0</v>
      </c>
      <c r="E429" s="16">
        <v>27139.52</v>
      </c>
      <c r="F429" s="23">
        <f t="shared" si="82"/>
        <v>286854.883792</v>
      </c>
      <c r="G429" s="27"/>
    </row>
    <row r="430" customHeight="1" spans="1:7">
      <c r="A430" s="20">
        <v>45908</v>
      </c>
      <c r="B430" s="20">
        <v>45910</v>
      </c>
      <c r="C430" s="21" t="s">
        <v>11</v>
      </c>
      <c r="D430" s="22">
        <v>14.98</v>
      </c>
      <c r="E430" s="22">
        <v>0</v>
      </c>
      <c r="F430" s="23">
        <f t="shared" si="82"/>
        <v>286839.903792</v>
      </c>
      <c r="G430" s="27"/>
    </row>
    <row r="431" customHeight="1" spans="1:7">
      <c r="A431" s="20"/>
      <c r="B431" s="20">
        <v>45910</v>
      </c>
      <c r="C431" s="24" t="s">
        <v>78</v>
      </c>
      <c r="D431" s="25">
        <v>0</v>
      </c>
      <c r="E431" s="28">
        <v>0.59</v>
      </c>
      <c r="F431" s="23">
        <f t="shared" ref="F431:F439" si="83">F430-D431+E431</f>
        <v>286840.493792</v>
      </c>
      <c r="G431" s="27"/>
    </row>
    <row r="432" customHeight="1" spans="2:6">
      <c r="B432" s="14">
        <v>45911</v>
      </c>
      <c r="C432" s="15" t="s">
        <v>56</v>
      </c>
      <c r="D432" s="22">
        <v>0</v>
      </c>
      <c r="E432" s="22">
        <v>1134</v>
      </c>
      <c r="F432" s="23">
        <f t="shared" si="83"/>
        <v>287974.493792</v>
      </c>
    </row>
    <row r="433" customHeight="1" spans="2:6">
      <c r="B433" s="14">
        <v>45911</v>
      </c>
      <c r="C433" s="15" t="s">
        <v>30</v>
      </c>
      <c r="D433" s="22">
        <v>0</v>
      </c>
      <c r="E433" s="22">
        <v>12202.65</v>
      </c>
      <c r="F433" s="23">
        <f t="shared" si="83"/>
        <v>300177.143792</v>
      </c>
    </row>
    <row r="434" customHeight="1" spans="2:6">
      <c r="B434" s="14">
        <v>45911</v>
      </c>
      <c r="C434" s="15" t="s">
        <v>31</v>
      </c>
      <c r="D434" s="22">
        <v>0</v>
      </c>
      <c r="E434" s="22">
        <v>16075.71</v>
      </c>
      <c r="F434" s="23">
        <f t="shared" si="83"/>
        <v>316252.853792</v>
      </c>
    </row>
    <row r="435" customHeight="1" spans="2:6">
      <c r="B435" s="14">
        <v>45911</v>
      </c>
      <c r="C435" s="15" t="s">
        <v>113</v>
      </c>
      <c r="D435" s="22">
        <v>0</v>
      </c>
      <c r="E435" s="22">
        <v>3468.1</v>
      </c>
      <c r="F435" s="23">
        <f t="shared" si="83"/>
        <v>319720.953792</v>
      </c>
    </row>
    <row r="436" customHeight="1" spans="2:6">
      <c r="B436" s="14">
        <v>45911</v>
      </c>
      <c r="C436" s="15" t="s">
        <v>114</v>
      </c>
      <c r="D436" s="22">
        <v>5937.36</v>
      </c>
      <c r="E436" s="22">
        <v>0</v>
      </c>
      <c r="F436" s="23">
        <f t="shared" si="83"/>
        <v>313783.593792</v>
      </c>
    </row>
    <row r="437" customHeight="1" spans="1:7">
      <c r="A437" s="20">
        <v>45909</v>
      </c>
      <c r="B437" s="20">
        <v>45911</v>
      </c>
      <c r="C437" s="24" t="s">
        <v>107</v>
      </c>
      <c r="D437" s="25">
        <v>116256.93</v>
      </c>
      <c r="E437" s="16">
        <v>0</v>
      </c>
      <c r="F437" s="23">
        <f t="shared" si="83"/>
        <v>197526.663792</v>
      </c>
      <c r="G437" s="27"/>
    </row>
    <row r="438" customHeight="1" spans="1:7">
      <c r="A438" s="20">
        <v>45909</v>
      </c>
      <c r="B438" s="20">
        <v>45911</v>
      </c>
      <c r="C438" s="21" t="s">
        <v>11</v>
      </c>
      <c r="D438" s="22">
        <v>14.98</v>
      </c>
      <c r="E438" s="22">
        <v>0</v>
      </c>
      <c r="F438" s="23">
        <f t="shared" si="83"/>
        <v>197511.683792</v>
      </c>
      <c r="G438" s="27"/>
    </row>
    <row r="439" customHeight="1" spans="1:7">
      <c r="A439" s="20"/>
      <c r="B439" s="20">
        <v>45911</v>
      </c>
      <c r="C439" s="24" t="s">
        <v>115</v>
      </c>
      <c r="D439" s="25">
        <v>1440</v>
      </c>
      <c r="E439" s="28">
        <v>0</v>
      </c>
      <c r="F439" s="23">
        <f t="shared" si="83"/>
        <v>196071.683792</v>
      </c>
      <c r="G439" s="27"/>
    </row>
    <row r="440" customHeight="1" spans="2:6">
      <c r="B440" s="14">
        <v>45912</v>
      </c>
      <c r="C440" s="15" t="s">
        <v>55</v>
      </c>
      <c r="D440" s="22">
        <v>0</v>
      </c>
      <c r="E440" s="22">
        <v>540</v>
      </c>
      <c r="F440" s="23">
        <f t="shared" ref="F440:F442" si="84">F439-D440+E440</f>
        <v>196611.683792</v>
      </c>
    </row>
    <row r="441" customHeight="1" spans="2:6">
      <c r="B441" s="14">
        <v>45912</v>
      </c>
      <c r="C441" s="15" t="s">
        <v>46</v>
      </c>
      <c r="D441" s="22">
        <v>0</v>
      </c>
      <c r="E441" s="22">
        <v>907.2</v>
      </c>
      <c r="F441" s="23">
        <f t="shared" si="84"/>
        <v>197518.883792</v>
      </c>
    </row>
    <row r="442" customHeight="1" spans="2:6">
      <c r="B442" s="14">
        <v>45912</v>
      </c>
      <c r="C442" s="15" t="s">
        <v>116</v>
      </c>
      <c r="D442" s="22">
        <v>0</v>
      </c>
      <c r="E442" s="22">
        <v>4500</v>
      </c>
      <c r="F442" s="23">
        <f t="shared" si="84"/>
        <v>202018.883792</v>
      </c>
    </row>
    <row r="443" customHeight="1" spans="2:6">
      <c r="B443" s="14">
        <v>45912</v>
      </c>
      <c r="C443" s="15" t="s">
        <v>61</v>
      </c>
      <c r="D443" s="22">
        <v>0</v>
      </c>
      <c r="E443" s="22">
        <v>324</v>
      </c>
      <c r="F443" s="23">
        <f t="shared" ref="F443:F445" si="85">F442-D443+E443</f>
        <v>202342.883792</v>
      </c>
    </row>
    <row r="444" customHeight="1" spans="2:6">
      <c r="B444" s="20">
        <v>45913</v>
      </c>
      <c r="C444" s="21" t="s">
        <v>16</v>
      </c>
      <c r="D444" s="22">
        <v>20</v>
      </c>
      <c r="E444" s="22">
        <v>0</v>
      </c>
      <c r="F444" s="23">
        <f t="shared" si="85"/>
        <v>202322.883792</v>
      </c>
    </row>
    <row r="445" customHeight="1" spans="2:6">
      <c r="B445" s="14">
        <v>45915</v>
      </c>
      <c r="C445" s="15" t="s">
        <v>38</v>
      </c>
      <c r="D445" s="22">
        <v>0</v>
      </c>
      <c r="E445" s="22">
        <v>5962.5</v>
      </c>
      <c r="F445" s="23">
        <f t="shared" si="85"/>
        <v>208285.383792</v>
      </c>
    </row>
    <row r="446" customHeight="1" spans="2:6">
      <c r="B446" s="14">
        <v>45915</v>
      </c>
      <c r="C446" s="15" t="s">
        <v>34</v>
      </c>
      <c r="D446" s="22">
        <v>0</v>
      </c>
      <c r="E446" s="22">
        <v>2256</v>
      </c>
      <c r="F446" s="23">
        <f t="shared" ref="F446:F470" si="86">F445-D446+E446</f>
        <v>210541.383792</v>
      </c>
    </row>
    <row r="447" customHeight="1" spans="1:7">
      <c r="A447" s="20">
        <v>45911</v>
      </c>
      <c r="B447" s="20">
        <v>45915</v>
      </c>
      <c r="C447" s="24" t="s">
        <v>107</v>
      </c>
      <c r="D447" s="25">
        <v>0</v>
      </c>
      <c r="E447" s="16">
        <v>116740.86</v>
      </c>
      <c r="F447" s="23">
        <f t="shared" si="86"/>
        <v>327282.243792</v>
      </c>
      <c r="G447" s="27"/>
    </row>
    <row r="448" customHeight="1" spans="1:7">
      <c r="A448" s="20">
        <v>45911</v>
      </c>
      <c r="B448" s="20">
        <v>45915</v>
      </c>
      <c r="C448" s="21" t="s">
        <v>11</v>
      </c>
      <c r="D448" s="22">
        <v>14.98</v>
      </c>
      <c r="E448" s="22">
        <v>0</v>
      </c>
      <c r="F448" s="23">
        <f t="shared" si="86"/>
        <v>327267.263792</v>
      </c>
      <c r="G448" s="27"/>
    </row>
    <row r="449" customHeight="1" spans="1:6">
      <c r="A449" s="20" t="s">
        <v>6</v>
      </c>
      <c r="B449" s="20">
        <v>45915</v>
      </c>
      <c r="C449" s="21" t="s">
        <v>18</v>
      </c>
      <c r="D449" s="22">
        <v>432</v>
      </c>
      <c r="E449" s="22">
        <v>0</v>
      </c>
      <c r="F449" s="23">
        <f t="shared" si="86"/>
        <v>326835.263792</v>
      </c>
    </row>
    <row r="450" customHeight="1" spans="1:7">
      <c r="A450" s="20">
        <v>45915</v>
      </c>
      <c r="B450" s="20">
        <v>45917</v>
      </c>
      <c r="C450" s="24" t="s">
        <v>107</v>
      </c>
      <c r="D450" s="25">
        <v>0</v>
      </c>
      <c r="E450" s="16">
        <v>102771.87</v>
      </c>
      <c r="F450" s="23">
        <f t="shared" si="86"/>
        <v>429607.133792</v>
      </c>
      <c r="G450" s="27"/>
    </row>
    <row r="451" customHeight="1" spans="1:7">
      <c r="A451" s="20">
        <v>45915</v>
      </c>
      <c r="B451" s="20">
        <v>45917</v>
      </c>
      <c r="C451" s="24" t="s">
        <v>62</v>
      </c>
      <c r="D451" s="25">
        <v>0</v>
      </c>
      <c r="E451" s="16">
        <v>48392.57</v>
      </c>
      <c r="F451" s="23">
        <f t="shared" si="86"/>
        <v>477999.703792</v>
      </c>
      <c r="G451" s="27"/>
    </row>
    <row r="452" customHeight="1" spans="1:7">
      <c r="A452" s="20">
        <v>45915</v>
      </c>
      <c r="B452" s="20">
        <v>45917</v>
      </c>
      <c r="C452" s="21" t="s">
        <v>11</v>
      </c>
      <c r="D452" s="22">
        <v>14.98</v>
      </c>
      <c r="E452" s="22">
        <v>0</v>
      </c>
      <c r="F452" s="23">
        <f t="shared" si="86"/>
        <v>477984.723792</v>
      </c>
      <c r="G452" s="27"/>
    </row>
    <row r="453" customHeight="1" spans="1:7">
      <c r="A453" s="20">
        <v>45916</v>
      </c>
      <c r="B453" s="20">
        <v>45918</v>
      </c>
      <c r="C453" s="24" t="s">
        <v>107</v>
      </c>
      <c r="D453" s="25">
        <v>117760.26</v>
      </c>
      <c r="E453" s="16">
        <v>0</v>
      </c>
      <c r="F453" s="23">
        <f t="shared" si="86"/>
        <v>360224.463792</v>
      </c>
      <c r="G453" s="27"/>
    </row>
    <row r="454" customHeight="1" spans="1:7">
      <c r="A454" s="20">
        <v>45916</v>
      </c>
      <c r="B454" s="20">
        <v>45918</v>
      </c>
      <c r="C454" s="21" t="s">
        <v>11</v>
      </c>
      <c r="D454" s="22">
        <v>14.98</v>
      </c>
      <c r="E454" s="22">
        <v>0</v>
      </c>
      <c r="F454" s="23">
        <f t="shared" si="86"/>
        <v>360209.483792</v>
      </c>
      <c r="G454" s="27"/>
    </row>
    <row r="455" customHeight="1" spans="1:7">
      <c r="A455" s="20">
        <v>45917</v>
      </c>
      <c r="B455" s="20">
        <v>45919</v>
      </c>
      <c r="C455" s="24" t="s">
        <v>107</v>
      </c>
      <c r="D455" s="25">
        <v>116758.04</v>
      </c>
      <c r="E455" s="16">
        <v>0</v>
      </c>
      <c r="F455" s="23">
        <f t="shared" si="86"/>
        <v>243451.443792</v>
      </c>
      <c r="G455" s="27"/>
    </row>
    <row r="456" customHeight="1" spans="1:7">
      <c r="A456" s="20">
        <v>45917</v>
      </c>
      <c r="B456" s="20">
        <v>45919</v>
      </c>
      <c r="C456" s="21" t="s">
        <v>11</v>
      </c>
      <c r="D456" s="22">
        <v>14.98</v>
      </c>
      <c r="E456" s="22">
        <v>0</v>
      </c>
      <c r="F456" s="23">
        <f t="shared" si="86"/>
        <v>243436.463792</v>
      </c>
      <c r="G456" s="27"/>
    </row>
    <row r="457" customHeight="1" spans="1:7">
      <c r="A457" s="20">
        <v>45919</v>
      </c>
      <c r="B457" s="20">
        <v>45923</v>
      </c>
      <c r="C457" s="24" t="s">
        <v>110</v>
      </c>
      <c r="D457" s="25">
        <v>82682.73</v>
      </c>
      <c r="E457" s="16">
        <v>0</v>
      </c>
      <c r="F457" s="23">
        <f t="shared" si="86"/>
        <v>160753.733792</v>
      </c>
      <c r="G457" s="27"/>
    </row>
    <row r="458" customHeight="1" spans="1:7">
      <c r="A458" s="20">
        <v>45919</v>
      </c>
      <c r="B458" s="20">
        <v>45923</v>
      </c>
      <c r="C458" s="21" t="s">
        <v>11</v>
      </c>
      <c r="D458" s="22">
        <v>14.98</v>
      </c>
      <c r="E458" s="22">
        <v>0</v>
      </c>
      <c r="F458" s="23">
        <f t="shared" si="86"/>
        <v>160738.753792</v>
      </c>
      <c r="G458" s="27"/>
    </row>
    <row r="459" customHeight="1" spans="1:7">
      <c r="A459" s="20" t="s">
        <v>6</v>
      </c>
      <c r="B459" s="20">
        <v>45932</v>
      </c>
      <c r="C459" s="21" t="s">
        <v>7</v>
      </c>
      <c r="D459" s="22">
        <v>2651.49</v>
      </c>
      <c r="E459" s="22">
        <v>0</v>
      </c>
      <c r="F459" s="23">
        <f t="shared" si="86"/>
        <v>158087.263792</v>
      </c>
      <c r="G459" s="27"/>
    </row>
    <row r="460" customHeight="1" spans="1:7">
      <c r="A460" s="20">
        <v>45931</v>
      </c>
      <c r="B460" s="20">
        <v>45933</v>
      </c>
      <c r="C460" s="24" t="s">
        <v>72</v>
      </c>
      <c r="D460" s="25">
        <v>26258.03</v>
      </c>
      <c r="E460" s="16">
        <v>0</v>
      </c>
      <c r="F460" s="23">
        <f t="shared" si="86"/>
        <v>131829.233792</v>
      </c>
      <c r="G460" s="27"/>
    </row>
    <row r="461" customHeight="1" spans="1:7">
      <c r="A461" s="20">
        <v>45931</v>
      </c>
      <c r="B461" s="20">
        <v>45933</v>
      </c>
      <c r="C461" s="21" t="s">
        <v>11</v>
      </c>
      <c r="D461" s="22">
        <v>14.98</v>
      </c>
      <c r="E461" s="22">
        <v>0</v>
      </c>
      <c r="F461" s="23">
        <f t="shared" si="86"/>
        <v>131814.253792</v>
      </c>
      <c r="G461" s="27"/>
    </row>
    <row r="462" customHeight="1" spans="1:7">
      <c r="A462" s="20"/>
      <c r="B462" s="20">
        <v>45938</v>
      </c>
      <c r="C462" s="21" t="s">
        <v>21</v>
      </c>
      <c r="D462" s="22">
        <v>2564.53</v>
      </c>
      <c r="E462" s="22">
        <v>0</v>
      </c>
      <c r="F462" s="23">
        <f t="shared" si="86"/>
        <v>129249.723792</v>
      </c>
      <c r="G462" s="27"/>
    </row>
    <row r="463" customHeight="1" spans="1:7">
      <c r="A463" s="20">
        <v>45936</v>
      </c>
      <c r="B463" s="20">
        <v>45938</v>
      </c>
      <c r="C463" s="24" t="s">
        <v>106</v>
      </c>
      <c r="D463" s="25">
        <v>78172.76</v>
      </c>
      <c r="E463" s="16">
        <v>0</v>
      </c>
      <c r="F463" s="23">
        <f t="shared" si="86"/>
        <v>51076.9637920004</v>
      </c>
      <c r="G463" s="27"/>
    </row>
    <row r="464" customHeight="1" spans="1:7">
      <c r="A464" s="20">
        <v>45936</v>
      </c>
      <c r="B464" s="20">
        <v>45938</v>
      </c>
      <c r="C464" s="21" t="s">
        <v>11</v>
      </c>
      <c r="D464" s="22">
        <v>14.98</v>
      </c>
      <c r="E464" s="22">
        <v>0</v>
      </c>
      <c r="F464" s="23">
        <f t="shared" si="86"/>
        <v>51061.9837920004</v>
      </c>
      <c r="G464" s="27"/>
    </row>
    <row r="465" customHeight="1" spans="1:7">
      <c r="A465" s="20">
        <v>45937</v>
      </c>
      <c r="B465" s="20">
        <v>45939</v>
      </c>
      <c r="C465" s="24" t="s">
        <v>105</v>
      </c>
      <c r="D465" s="25">
        <v>0</v>
      </c>
      <c r="E465" s="16">
        <v>79323.91</v>
      </c>
      <c r="F465" s="23">
        <f t="shared" si="86"/>
        <v>130385.893792</v>
      </c>
      <c r="G465" s="27"/>
    </row>
    <row r="466" customHeight="1" spans="1:7">
      <c r="A466" s="20">
        <v>45937</v>
      </c>
      <c r="B466" s="20">
        <v>45939</v>
      </c>
      <c r="C466" s="21" t="s">
        <v>11</v>
      </c>
      <c r="D466" s="22">
        <v>14.98</v>
      </c>
      <c r="E466" s="22">
        <v>0</v>
      </c>
      <c r="F466" s="23">
        <f t="shared" si="86"/>
        <v>130370.913792</v>
      </c>
      <c r="G466" s="27"/>
    </row>
    <row r="467" customHeight="1" spans="2:6">
      <c r="B467" s="20">
        <v>45941</v>
      </c>
      <c r="C467" s="21" t="s">
        <v>16</v>
      </c>
      <c r="D467" s="22">
        <v>20</v>
      </c>
      <c r="E467" s="22">
        <v>0</v>
      </c>
      <c r="F467" s="23">
        <f t="shared" si="86"/>
        <v>130350.913792</v>
      </c>
    </row>
    <row r="468" customHeight="1" spans="1:7">
      <c r="A468" s="20">
        <v>45944</v>
      </c>
      <c r="B468" s="20">
        <v>45946</v>
      </c>
      <c r="C468" s="24" t="s">
        <v>65</v>
      </c>
      <c r="D468" s="25">
        <v>30868.22</v>
      </c>
      <c r="E468" s="16">
        <v>0</v>
      </c>
      <c r="F468" s="23">
        <f t="shared" si="86"/>
        <v>99482.6937920004</v>
      </c>
      <c r="G468" s="27"/>
    </row>
    <row r="469" customHeight="1" spans="1:7">
      <c r="A469" s="20">
        <v>45944</v>
      </c>
      <c r="B469" s="20">
        <v>45946</v>
      </c>
      <c r="C469" s="21" t="s">
        <v>11</v>
      </c>
      <c r="D469" s="22">
        <v>14.98</v>
      </c>
      <c r="E469" s="22">
        <v>0</v>
      </c>
      <c r="F469" s="23">
        <f t="shared" si="86"/>
        <v>99467.7137920004</v>
      </c>
      <c r="G469" s="27"/>
    </row>
    <row r="470" customHeight="1" spans="2:6">
      <c r="B470" s="14">
        <v>45947</v>
      </c>
      <c r="C470" s="15" t="s">
        <v>117</v>
      </c>
      <c r="D470" s="22">
        <v>0</v>
      </c>
      <c r="E470" s="22">
        <v>6075</v>
      </c>
      <c r="F470" s="23">
        <f t="shared" si="86"/>
        <v>105542.713792</v>
      </c>
    </row>
    <row r="471" customHeight="1" spans="1:6">
      <c r="A471" s="20" t="s">
        <v>6</v>
      </c>
      <c r="B471" s="20">
        <v>45947</v>
      </c>
      <c r="C471" s="21" t="s">
        <v>18</v>
      </c>
      <c r="D471" s="22">
        <v>432</v>
      </c>
      <c r="E471" s="22">
        <v>0</v>
      </c>
      <c r="F471" s="23">
        <f t="shared" ref="F471:F473" si="87">F470-D471+E471</f>
        <v>105110.713792</v>
      </c>
    </row>
    <row r="472" customHeight="1" spans="1:7">
      <c r="A472" s="20">
        <v>45946</v>
      </c>
      <c r="B472" s="20">
        <v>45950</v>
      </c>
      <c r="C472" s="24" t="s">
        <v>110</v>
      </c>
      <c r="D472" s="25">
        <v>77671.66</v>
      </c>
      <c r="E472" s="16">
        <v>0</v>
      </c>
      <c r="F472" s="23">
        <f t="shared" si="87"/>
        <v>27439.0537920004</v>
      </c>
      <c r="G472" s="27"/>
    </row>
    <row r="473" customHeight="1" spans="1:7">
      <c r="A473" s="20">
        <v>45946</v>
      </c>
      <c r="B473" s="20">
        <v>45950</v>
      </c>
      <c r="C473" s="21" t="s">
        <v>11</v>
      </c>
      <c r="D473" s="22">
        <v>14.98</v>
      </c>
      <c r="E473" s="22">
        <v>0</v>
      </c>
      <c r="F473" s="23">
        <f t="shared" si="87"/>
        <v>27424.0737920004</v>
      </c>
      <c r="G473" s="27"/>
    </row>
    <row r="474" customHeight="1" spans="1:7">
      <c r="A474" s="20">
        <v>45953</v>
      </c>
      <c r="B474" s="20">
        <v>45955</v>
      </c>
      <c r="C474" s="24" t="s">
        <v>110</v>
      </c>
      <c r="D474" s="25">
        <v>0</v>
      </c>
      <c r="E474" s="16">
        <v>77936.98</v>
      </c>
      <c r="F474" s="23">
        <f t="shared" ref="F474:F476" si="88">F473-D474+E474</f>
        <v>105361.053792</v>
      </c>
      <c r="G474" s="27"/>
    </row>
    <row r="475" customHeight="1" spans="1:7">
      <c r="A475" s="20"/>
      <c r="B475" s="20">
        <v>45962</v>
      </c>
      <c r="C475" s="21" t="s">
        <v>7</v>
      </c>
      <c r="D475" s="22">
        <v>1391.7</v>
      </c>
      <c r="E475" s="22">
        <v>0</v>
      </c>
      <c r="F475" s="23">
        <f t="shared" si="88"/>
        <v>103969.353792</v>
      </c>
      <c r="G475" s="27"/>
    </row>
    <row r="476" customHeight="1" spans="1:7">
      <c r="A476" s="20" t="s">
        <v>6</v>
      </c>
      <c r="B476" s="20">
        <v>45966</v>
      </c>
      <c r="C476" s="24" t="s">
        <v>118</v>
      </c>
      <c r="D476" s="25">
        <v>30000</v>
      </c>
      <c r="E476" s="28">
        <v>0</v>
      </c>
      <c r="F476" s="23">
        <f t="shared" si="88"/>
        <v>73969.3537920004</v>
      </c>
      <c r="G476" s="27"/>
    </row>
    <row r="477" customHeight="1" spans="1:7">
      <c r="A477" s="20" t="s">
        <v>6</v>
      </c>
      <c r="B477" s="20">
        <v>45967</v>
      </c>
      <c r="C477" s="24" t="s">
        <v>24</v>
      </c>
      <c r="D477" s="25">
        <v>1000</v>
      </c>
      <c r="E477" s="28">
        <v>0</v>
      </c>
      <c r="F477" s="23">
        <f t="shared" ref="F477:F508" si="89">F476-D477+E477</f>
        <v>72969.3537920004</v>
      </c>
      <c r="G477" s="27"/>
    </row>
    <row r="478" customHeight="1" spans="2:6">
      <c r="B478" s="20">
        <v>45986</v>
      </c>
      <c r="C478" s="21" t="s">
        <v>16</v>
      </c>
      <c r="D478" s="22">
        <v>20</v>
      </c>
      <c r="E478" s="22">
        <v>0</v>
      </c>
      <c r="F478" s="23">
        <f t="shared" si="89"/>
        <v>72949.3537920004</v>
      </c>
    </row>
    <row r="479" customHeight="1" spans="1:6">
      <c r="A479" s="20" t="s">
        <v>6</v>
      </c>
      <c r="B479" s="20">
        <v>45986</v>
      </c>
      <c r="C479" s="21" t="s">
        <v>18</v>
      </c>
      <c r="D479" s="22">
        <v>432</v>
      </c>
      <c r="E479" s="22">
        <v>0</v>
      </c>
      <c r="F479" s="23">
        <f t="shared" si="89"/>
        <v>72517.3537920004</v>
      </c>
    </row>
    <row r="480" customHeight="1" spans="1:7">
      <c r="A480" s="20"/>
      <c r="B480" s="20">
        <v>46016</v>
      </c>
      <c r="C480" s="21" t="s">
        <v>7</v>
      </c>
      <c r="D480" s="22">
        <v>221.58</v>
      </c>
      <c r="E480" s="22">
        <v>0</v>
      </c>
      <c r="F480" s="23">
        <f t="shared" si="89"/>
        <v>72295.7737920004</v>
      </c>
      <c r="G480" s="27"/>
    </row>
    <row r="481" customHeight="1" spans="1:7">
      <c r="A481" s="20" t="s">
        <v>6</v>
      </c>
      <c r="B481" s="20">
        <v>46016</v>
      </c>
      <c r="C481" s="24" t="s">
        <v>73</v>
      </c>
      <c r="D481" s="25">
        <v>41100</v>
      </c>
      <c r="E481" s="28">
        <v>0</v>
      </c>
      <c r="F481" s="30">
        <f t="shared" si="89"/>
        <v>31195.7737920004</v>
      </c>
      <c r="G481" s="27"/>
    </row>
    <row r="482" customHeight="1" spans="1:7">
      <c r="A482" s="20" t="s">
        <v>6</v>
      </c>
      <c r="B482" s="20">
        <v>46016</v>
      </c>
      <c r="C482" s="24" t="s">
        <v>73</v>
      </c>
      <c r="D482" s="25">
        <v>2000</v>
      </c>
      <c r="E482" s="28">
        <v>0</v>
      </c>
      <c r="F482" s="23">
        <f t="shared" si="89"/>
        <v>29195.7737920004</v>
      </c>
      <c r="G482" s="27"/>
    </row>
    <row r="483" customHeight="1" spans="2:6">
      <c r="B483" s="14">
        <v>45995</v>
      </c>
      <c r="C483" s="15" t="s">
        <v>53</v>
      </c>
      <c r="D483" s="22">
        <v>0</v>
      </c>
      <c r="E483" s="22">
        <v>12825</v>
      </c>
      <c r="F483" s="23">
        <f t="shared" si="89"/>
        <v>42020.7737920004</v>
      </c>
    </row>
    <row r="484" customHeight="1" spans="2:6">
      <c r="B484" s="14">
        <v>45995</v>
      </c>
      <c r="C484" s="15" t="s">
        <v>37</v>
      </c>
      <c r="D484" s="22">
        <v>0</v>
      </c>
      <c r="E484" s="22">
        <v>3228.75</v>
      </c>
      <c r="F484" s="23">
        <f t="shared" si="89"/>
        <v>45249.5237920004</v>
      </c>
    </row>
    <row r="485" customHeight="1" spans="2:6">
      <c r="B485" s="14">
        <v>45999</v>
      </c>
      <c r="C485" s="15" t="s">
        <v>28</v>
      </c>
      <c r="D485" s="22">
        <v>0</v>
      </c>
      <c r="E485" s="22">
        <v>8999.1</v>
      </c>
      <c r="F485" s="23">
        <f t="shared" si="89"/>
        <v>54248.6237920004</v>
      </c>
    </row>
    <row r="486" customHeight="1" spans="2:6">
      <c r="B486" s="14">
        <v>46002</v>
      </c>
      <c r="C486" s="15" t="s">
        <v>56</v>
      </c>
      <c r="D486" s="22">
        <v>0</v>
      </c>
      <c r="E486" s="22">
        <v>1134</v>
      </c>
      <c r="F486" s="23">
        <f t="shared" si="89"/>
        <v>55382.6237920004</v>
      </c>
    </row>
    <row r="487" customHeight="1" spans="2:6">
      <c r="B487" s="14">
        <v>46002</v>
      </c>
      <c r="C487" s="15" t="s">
        <v>31</v>
      </c>
      <c r="D487" s="22">
        <v>0</v>
      </c>
      <c r="E487" s="22">
        <v>16266.1</v>
      </c>
      <c r="F487" s="23">
        <f t="shared" si="89"/>
        <v>71648.7237920004</v>
      </c>
    </row>
    <row r="488" customHeight="1" spans="2:6">
      <c r="B488" s="14">
        <v>46002</v>
      </c>
      <c r="C488" s="15" t="s">
        <v>35</v>
      </c>
      <c r="D488" s="22">
        <v>0</v>
      </c>
      <c r="E488" s="22">
        <v>3474</v>
      </c>
      <c r="F488" s="23">
        <f t="shared" si="89"/>
        <v>75122.7237920004</v>
      </c>
    </row>
    <row r="489" customHeight="1" spans="2:6">
      <c r="B489" s="14">
        <v>46002</v>
      </c>
      <c r="C489" s="15" t="s">
        <v>79</v>
      </c>
      <c r="D489" s="22">
        <v>0</v>
      </c>
      <c r="E489" s="22">
        <v>795.6</v>
      </c>
      <c r="F489" s="23">
        <f t="shared" si="89"/>
        <v>75918.3237920004</v>
      </c>
    </row>
    <row r="490" customHeight="1" spans="2:6">
      <c r="B490" s="14">
        <v>46002</v>
      </c>
      <c r="C490" s="15" t="s">
        <v>31</v>
      </c>
      <c r="D490" s="22">
        <v>0</v>
      </c>
      <c r="E490" s="22">
        <v>4913.01</v>
      </c>
      <c r="F490" s="23">
        <f t="shared" si="89"/>
        <v>80831.3337920004</v>
      </c>
    </row>
    <row r="491" customHeight="1" spans="2:6">
      <c r="B491" s="14">
        <v>46002</v>
      </c>
      <c r="C491" s="15" t="s">
        <v>32</v>
      </c>
      <c r="D491" s="22">
        <v>6434.16</v>
      </c>
      <c r="E491" s="22">
        <v>0</v>
      </c>
      <c r="F491" s="23">
        <f t="shared" si="89"/>
        <v>74397.1737920004</v>
      </c>
    </row>
    <row r="492" customHeight="1" spans="2:6">
      <c r="B492" s="20">
        <v>46004</v>
      </c>
      <c r="C492" s="21" t="s">
        <v>16</v>
      </c>
      <c r="D492" s="22">
        <v>20</v>
      </c>
      <c r="E492" s="22">
        <v>0</v>
      </c>
      <c r="F492" s="23">
        <f t="shared" si="89"/>
        <v>74377.1737920004</v>
      </c>
    </row>
    <row r="493" customHeight="1" spans="2:6">
      <c r="B493" s="14">
        <v>46006</v>
      </c>
      <c r="C493" s="15" t="s">
        <v>57</v>
      </c>
      <c r="D493" s="22">
        <v>0</v>
      </c>
      <c r="E493" s="22">
        <v>945</v>
      </c>
      <c r="F493" s="23">
        <f t="shared" si="89"/>
        <v>75322.1737920004</v>
      </c>
    </row>
    <row r="494" customHeight="1" spans="1:6">
      <c r="A494" s="20" t="s">
        <v>6</v>
      </c>
      <c r="B494" s="20">
        <v>46006</v>
      </c>
      <c r="C494" s="21" t="s">
        <v>18</v>
      </c>
      <c r="D494" s="22">
        <v>432</v>
      </c>
      <c r="E494" s="22">
        <v>0</v>
      </c>
      <c r="F494" s="23">
        <f t="shared" si="89"/>
        <v>74890.1737920004</v>
      </c>
    </row>
    <row r="495" customHeight="1" spans="2:6">
      <c r="B495" s="14">
        <v>46008</v>
      </c>
      <c r="C495" s="15" t="s">
        <v>119</v>
      </c>
      <c r="D495" s="16">
        <v>0</v>
      </c>
      <c r="E495" s="22">
        <v>4840</v>
      </c>
      <c r="F495" s="23">
        <f t="shared" si="89"/>
        <v>79730.1737920004</v>
      </c>
    </row>
    <row r="496" customHeight="1" spans="2:6">
      <c r="B496" s="14">
        <v>46013</v>
      </c>
      <c r="C496" s="15" t="s">
        <v>38</v>
      </c>
      <c r="D496" s="22">
        <v>0</v>
      </c>
      <c r="E496" s="22">
        <v>5962.5</v>
      </c>
      <c r="F496" s="23">
        <f t="shared" si="89"/>
        <v>85692.6737920004</v>
      </c>
    </row>
    <row r="497" customHeight="1" spans="2:6">
      <c r="B497" s="14">
        <v>46013</v>
      </c>
      <c r="C497" s="15" t="s">
        <v>33</v>
      </c>
      <c r="D497" s="22">
        <v>0</v>
      </c>
      <c r="E497" s="22">
        <v>18525.24</v>
      </c>
      <c r="F497" s="23">
        <f t="shared" si="89"/>
        <v>104217.913792</v>
      </c>
    </row>
    <row r="498" customHeight="1" spans="2:6">
      <c r="B498" s="14">
        <v>46013</v>
      </c>
      <c r="C498" s="15" t="s">
        <v>21</v>
      </c>
      <c r="D498" s="22">
        <v>3705.05</v>
      </c>
      <c r="E498" s="22">
        <v>0</v>
      </c>
      <c r="F498" s="23">
        <f t="shared" si="89"/>
        <v>100512.863792</v>
      </c>
    </row>
    <row r="499" customHeight="1" spans="2:6">
      <c r="B499" s="14">
        <v>46380</v>
      </c>
      <c r="C499" s="15" t="s">
        <v>30</v>
      </c>
      <c r="D499" s="22">
        <v>0</v>
      </c>
      <c r="E499" s="22">
        <v>11333.25</v>
      </c>
      <c r="F499" s="23">
        <f t="shared" si="89"/>
        <v>111846.113792</v>
      </c>
    </row>
    <row r="500" customHeight="1" spans="2:6">
      <c r="B500" s="14">
        <v>46381</v>
      </c>
      <c r="C500" s="15" t="s">
        <v>34</v>
      </c>
      <c r="D500" s="22">
        <v>0</v>
      </c>
      <c r="E500" s="22">
        <v>2280</v>
      </c>
      <c r="F500" s="23">
        <f t="shared" si="89"/>
        <v>114126.113792</v>
      </c>
    </row>
    <row r="501" customHeight="1" spans="1:7">
      <c r="A501" s="20"/>
      <c r="B501" s="20">
        <v>46023</v>
      </c>
      <c r="C501" s="21" t="s">
        <v>7</v>
      </c>
      <c r="D501" s="22">
        <v>1516.74</v>
      </c>
      <c r="E501" s="22">
        <v>0</v>
      </c>
      <c r="F501" s="23">
        <f t="shared" si="89"/>
        <v>112609.373792</v>
      </c>
      <c r="G501" s="27"/>
    </row>
    <row r="502" customHeight="1" spans="2:6">
      <c r="B502" s="14">
        <v>46028</v>
      </c>
      <c r="C502" s="15" t="s">
        <v>24</v>
      </c>
      <c r="D502" s="16">
        <v>1000</v>
      </c>
      <c r="E502" s="22">
        <v>0</v>
      </c>
      <c r="F502" s="23">
        <f t="shared" si="89"/>
        <v>111609.373792</v>
      </c>
    </row>
    <row r="503" customHeight="1" spans="2:8">
      <c r="B503" s="14">
        <v>46028</v>
      </c>
      <c r="C503" s="15" t="s">
        <v>120</v>
      </c>
      <c r="D503" s="22">
        <v>3170</v>
      </c>
      <c r="E503" s="22">
        <v>0</v>
      </c>
      <c r="F503" s="23">
        <f t="shared" si="89"/>
        <v>108439.373792</v>
      </c>
      <c r="H503" s="31"/>
    </row>
    <row r="504" customHeight="1" spans="2:6">
      <c r="B504" s="20" t="s">
        <v>121</v>
      </c>
      <c r="C504" s="21" t="s">
        <v>16</v>
      </c>
      <c r="D504" s="22">
        <v>20</v>
      </c>
      <c r="E504" s="22">
        <v>0</v>
      </c>
      <c r="F504" s="23">
        <f t="shared" si="89"/>
        <v>108419.373792</v>
      </c>
    </row>
    <row r="505" customHeight="1" spans="2:6">
      <c r="B505" s="14">
        <v>46033</v>
      </c>
      <c r="C505" s="15" t="s">
        <v>122</v>
      </c>
      <c r="D505" s="16">
        <v>250</v>
      </c>
      <c r="E505" s="22">
        <v>0</v>
      </c>
      <c r="F505" s="23">
        <f t="shared" si="89"/>
        <v>108169.373792</v>
      </c>
    </row>
    <row r="506" customHeight="1" spans="2:6">
      <c r="B506" s="14">
        <v>46035</v>
      </c>
      <c r="C506" s="15" t="s">
        <v>123</v>
      </c>
      <c r="D506" s="16">
        <v>0</v>
      </c>
      <c r="E506" s="22">
        <v>59946.18</v>
      </c>
      <c r="F506" s="23">
        <f t="shared" si="89"/>
        <v>168115.553792</v>
      </c>
    </row>
    <row r="507" customHeight="1" spans="1:6">
      <c r="A507" s="20" t="s">
        <v>6</v>
      </c>
      <c r="B507" s="20">
        <v>46037</v>
      </c>
      <c r="C507" s="21" t="s">
        <v>18</v>
      </c>
      <c r="D507" s="22">
        <v>432</v>
      </c>
      <c r="E507" s="22">
        <v>0</v>
      </c>
      <c r="F507" s="23">
        <f t="shared" si="89"/>
        <v>167683.553792</v>
      </c>
    </row>
    <row r="508" customHeight="1" spans="2:8">
      <c r="B508" s="14">
        <v>46053</v>
      </c>
      <c r="C508" s="15" t="s">
        <v>73</v>
      </c>
      <c r="D508" s="22">
        <v>35300</v>
      </c>
      <c r="E508" s="22">
        <v>0</v>
      </c>
      <c r="F508" s="23">
        <f t="shared" si="89"/>
        <v>132383.553792</v>
      </c>
      <c r="H508" s="31"/>
    </row>
    <row r="509" customHeight="1" spans="1:7">
      <c r="A509" s="20"/>
      <c r="B509" s="20">
        <v>46054</v>
      </c>
      <c r="C509" s="21" t="s">
        <v>7</v>
      </c>
      <c r="D509" s="22">
        <v>1052.76</v>
      </c>
      <c r="E509" s="22">
        <v>0</v>
      </c>
      <c r="F509" s="23">
        <f t="shared" ref="F509:F515" si="90">F508-D509+E509</f>
        <v>131330.793792</v>
      </c>
      <c r="G509" s="27"/>
    </row>
    <row r="510" customHeight="1" spans="2:6">
      <c r="B510" s="20">
        <v>46067</v>
      </c>
      <c r="C510" s="21" t="s">
        <v>16</v>
      </c>
      <c r="D510" s="22">
        <v>20</v>
      </c>
      <c r="E510" s="22">
        <v>0</v>
      </c>
      <c r="F510" s="23">
        <f t="shared" si="90"/>
        <v>131310.793792</v>
      </c>
    </row>
    <row r="511" customHeight="1" spans="1:6">
      <c r="A511" s="20" t="s">
        <v>6</v>
      </c>
      <c r="B511" s="20">
        <v>46068</v>
      </c>
      <c r="C511" s="21" t="s">
        <v>18</v>
      </c>
      <c r="D511" s="22">
        <v>432</v>
      </c>
      <c r="E511" s="22">
        <v>0</v>
      </c>
      <c r="F511" s="23">
        <f t="shared" si="90"/>
        <v>130878.793792</v>
      </c>
    </row>
    <row r="512" customHeight="1" spans="2:6">
      <c r="B512" s="20">
        <v>46067</v>
      </c>
      <c r="C512" s="21" t="s">
        <v>24</v>
      </c>
      <c r="D512" s="22">
        <v>5000</v>
      </c>
      <c r="E512" s="22">
        <v>0</v>
      </c>
      <c r="F512" s="23">
        <f t="shared" si="90"/>
        <v>125878.793792</v>
      </c>
    </row>
    <row r="513" customHeight="1" spans="2:6">
      <c r="B513" s="20">
        <v>46070</v>
      </c>
      <c r="C513" s="21" t="s">
        <v>24</v>
      </c>
      <c r="D513" s="22">
        <v>5000</v>
      </c>
      <c r="E513" s="22">
        <v>0</v>
      </c>
      <c r="F513" s="23">
        <f t="shared" si="90"/>
        <v>120878.793792</v>
      </c>
    </row>
    <row r="514" customHeight="1" spans="2:6">
      <c r="B514" s="20">
        <v>46079</v>
      </c>
      <c r="C514" s="21" t="s">
        <v>124</v>
      </c>
      <c r="D514" s="22">
        <v>11600</v>
      </c>
      <c r="E514" s="22">
        <v>0</v>
      </c>
      <c r="F514" s="23">
        <f t="shared" si="90"/>
        <v>109278.793792</v>
      </c>
    </row>
    <row r="515" customHeight="1" spans="2:6">
      <c r="B515" s="14">
        <v>46080</v>
      </c>
      <c r="C515" s="15" t="s">
        <v>125</v>
      </c>
      <c r="D515" s="16">
        <v>0</v>
      </c>
      <c r="E515" s="22">
        <v>14313.6</v>
      </c>
      <c r="F515" s="30">
        <f t="shared" si="90"/>
        <v>123592.393792</v>
      </c>
    </row>
    <row r="516" customHeight="1" spans="2:6">
      <c r="B516" s="14">
        <v>46080</v>
      </c>
      <c r="C516" s="15" t="s">
        <v>125</v>
      </c>
      <c r="D516" s="16">
        <v>14313.6</v>
      </c>
      <c r="E516" s="22">
        <v>0</v>
      </c>
      <c r="F516" s="30">
        <f t="shared" ref="F516:F526" si="91">F515-D516+E516</f>
        <v>109278.793792</v>
      </c>
    </row>
    <row r="517" customHeight="1" spans="2:6">
      <c r="B517" s="14">
        <v>46083</v>
      </c>
      <c r="C517" s="15" t="s">
        <v>119</v>
      </c>
      <c r="D517" s="16">
        <v>4840</v>
      </c>
      <c r="E517" s="22">
        <v>0</v>
      </c>
      <c r="F517" s="23">
        <f t="shared" si="91"/>
        <v>104438.793792</v>
      </c>
    </row>
    <row r="518" customHeight="1" spans="2:6">
      <c r="B518" s="14">
        <v>46085</v>
      </c>
      <c r="C518" s="15" t="s">
        <v>33</v>
      </c>
      <c r="D518" s="22">
        <v>0</v>
      </c>
      <c r="E518" s="22">
        <v>30256.6</v>
      </c>
      <c r="F518" s="23">
        <f t="shared" si="91"/>
        <v>134695.393792</v>
      </c>
    </row>
    <row r="519" customHeight="1" spans="2:6">
      <c r="B519" s="14">
        <v>46085</v>
      </c>
      <c r="C519" s="15" t="s">
        <v>21</v>
      </c>
      <c r="D519" s="22">
        <v>6051.32</v>
      </c>
      <c r="E519" s="22">
        <v>0</v>
      </c>
      <c r="F519" s="23">
        <f t="shared" si="91"/>
        <v>128644.073792</v>
      </c>
    </row>
    <row r="520" customHeight="1" spans="1:7">
      <c r="A520" s="20">
        <v>46080</v>
      </c>
      <c r="B520" s="20">
        <v>46083</v>
      </c>
      <c r="C520" s="24" t="s">
        <v>126</v>
      </c>
      <c r="D520" s="32">
        <v>38084.17</v>
      </c>
      <c r="E520" s="16">
        <v>0</v>
      </c>
      <c r="F520" s="23">
        <f t="shared" si="91"/>
        <v>90559.9037920004</v>
      </c>
      <c r="G520" s="27"/>
    </row>
    <row r="521" customHeight="1" spans="1:7">
      <c r="A521" s="20">
        <v>46080</v>
      </c>
      <c r="B521" s="20">
        <v>46083</v>
      </c>
      <c r="C521" s="21" t="s">
        <v>11</v>
      </c>
      <c r="D521" s="22">
        <v>14.98</v>
      </c>
      <c r="E521" s="22">
        <v>0</v>
      </c>
      <c r="F521" s="23">
        <f t="shared" si="91"/>
        <v>90544.9237920004</v>
      </c>
      <c r="G521" s="27"/>
    </row>
    <row r="522" customHeight="1" spans="1:7">
      <c r="A522" s="20"/>
      <c r="B522" s="20">
        <v>46085</v>
      </c>
      <c r="C522" s="21" t="s">
        <v>7</v>
      </c>
      <c r="D522" s="22">
        <v>1436.61</v>
      </c>
      <c r="E522" s="22">
        <v>0</v>
      </c>
      <c r="F522" s="23">
        <f t="shared" si="91"/>
        <v>89108.3137920004</v>
      </c>
      <c r="G522" s="27"/>
    </row>
    <row r="523" customHeight="1" spans="1:7">
      <c r="A523" s="20">
        <v>46085</v>
      </c>
      <c r="B523" s="20">
        <v>46087</v>
      </c>
      <c r="C523" s="24" t="s">
        <v>71</v>
      </c>
      <c r="D523" s="32">
        <v>0</v>
      </c>
      <c r="E523" s="16">
        <v>193819.76</v>
      </c>
      <c r="F523" s="23">
        <f t="shared" si="91"/>
        <v>282928.073792</v>
      </c>
      <c r="G523" s="27"/>
    </row>
    <row r="524" customHeight="1" spans="1:7">
      <c r="A524" s="20">
        <v>46085</v>
      </c>
      <c r="B524" s="20">
        <v>46087</v>
      </c>
      <c r="C524" s="24" t="s">
        <v>102</v>
      </c>
      <c r="D524" s="32">
        <v>0</v>
      </c>
      <c r="E524" s="16">
        <v>42405.86</v>
      </c>
      <c r="F524" s="23">
        <f t="shared" si="91"/>
        <v>325333.933792</v>
      </c>
      <c r="G524" s="27"/>
    </row>
    <row r="525" customHeight="1" spans="1:7">
      <c r="A525" s="20">
        <v>46085</v>
      </c>
      <c r="B525" s="20">
        <v>46087</v>
      </c>
      <c r="C525" s="24" t="s">
        <v>127</v>
      </c>
      <c r="D525" s="32">
        <v>32571.99</v>
      </c>
      <c r="E525" s="16">
        <v>0</v>
      </c>
      <c r="F525" s="23">
        <f t="shared" si="91"/>
        <v>292761.943792</v>
      </c>
      <c r="G525" s="27"/>
    </row>
    <row r="526" customHeight="1" spans="1:7">
      <c r="A526" s="20">
        <v>46085</v>
      </c>
      <c r="B526" s="20">
        <v>46087</v>
      </c>
      <c r="C526" s="21" t="s">
        <v>11</v>
      </c>
      <c r="D526" s="22">
        <v>14.98</v>
      </c>
      <c r="E526" s="22">
        <v>0</v>
      </c>
      <c r="F526" s="23">
        <f t="shared" si="91"/>
        <v>292746.963792</v>
      </c>
      <c r="G526" s="27"/>
    </row>
    <row r="527" customHeight="1" spans="2:6">
      <c r="B527" s="20">
        <v>46090</v>
      </c>
      <c r="C527" s="15" t="s">
        <v>28</v>
      </c>
      <c r="D527" s="22">
        <v>0</v>
      </c>
      <c r="E527" s="22">
        <v>8999.1</v>
      </c>
      <c r="F527" s="23">
        <f t="shared" ref="F527:F531" si="92">F526-D527+E527</f>
        <v>301746.063792</v>
      </c>
    </row>
    <row r="528" customHeight="1" spans="2:6">
      <c r="B528" s="20">
        <v>46090</v>
      </c>
      <c r="C528" s="21" t="s">
        <v>73</v>
      </c>
      <c r="D528" s="22">
        <v>12000</v>
      </c>
      <c r="E528" s="22">
        <v>0</v>
      </c>
      <c r="F528" s="23">
        <f t="shared" si="92"/>
        <v>289746.063792</v>
      </c>
    </row>
    <row r="529" customHeight="1" spans="2:6">
      <c r="B529" s="20">
        <v>46090</v>
      </c>
      <c r="C529" s="15" t="s">
        <v>97</v>
      </c>
      <c r="D529" s="16">
        <v>12600</v>
      </c>
      <c r="E529" s="22">
        <v>0</v>
      </c>
      <c r="F529" s="30">
        <f t="shared" si="92"/>
        <v>277146.063792</v>
      </c>
    </row>
    <row r="530" customHeight="1" spans="1:7">
      <c r="A530" s="20">
        <v>46090</v>
      </c>
      <c r="B530" s="20">
        <v>46092</v>
      </c>
      <c r="C530" s="24" t="s">
        <v>128</v>
      </c>
      <c r="D530" s="32">
        <v>0</v>
      </c>
      <c r="E530" s="16">
        <v>102971.43</v>
      </c>
      <c r="F530" s="23">
        <f t="shared" si="92"/>
        <v>380117.493792</v>
      </c>
      <c r="G530" s="27"/>
    </row>
    <row r="531" customHeight="1" spans="1:7">
      <c r="A531" s="20">
        <v>46090</v>
      </c>
      <c r="B531" s="20">
        <v>46092</v>
      </c>
      <c r="C531" s="21" t="s">
        <v>11</v>
      </c>
      <c r="D531" s="22">
        <v>14.98</v>
      </c>
      <c r="E531" s="22">
        <v>0</v>
      </c>
      <c r="F531" s="23">
        <f t="shared" si="92"/>
        <v>380102.513792</v>
      </c>
      <c r="G531" s="27"/>
    </row>
    <row r="532" customHeight="1" spans="2:6">
      <c r="B532" s="20">
        <v>46093</v>
      </c>
      <c r="C532" s="15" t="s">
        <v>30</v>
      </c>
      <c r="D532" s="22">
        <v>0</v>
      </c>
      <c r="E532" s="22">
        <v>11072.43</v>
      </c>
      <c r="F532" s="23">
        <f t="shared" ref="F532:F538" si="93">F531-D532+E532</f>
        <v>391174.943792</v>
      </c>
    </row>
    <row r="533" customHeight="1" spans="2:6">
      <c r="B533" s="20">
        <v>46095</v>
      </c>
      <c r="C533" s="21" t="s">
        <v>16</v>
      </c>
      <c r="D533" s="22">
        <v>20</v>
      </c>
      <c r="E533" s="22">
        <v>0</v>
      </c>
      <c r="F533" s="23">
        <f t="shared" si="93"/>
        <v>391154.943792</v>
      </c>
    </row>
    <row r="534" customHeight="1" spans="1:6">
      <c r="A534" s="20" t="s">
        <v>6</v>
      </c>
      <c r="B534" s="20">
        <v>46097</v>
      </c>
      <c r="C534" s="21" t="s">
        <v>18</v>
      </c>
      <c r="D534" s="22">
        <v>432</v>
      </c>
      <c r="E534" s="22">
        <v>0</v>
      </c>
      <c r="F534" s="23">
        <f t="shared" si="93"/>
        <v>390722.943792</v>
      </c>
    </row>
    <row r="535" customHeight="1" spans="2:6">
      <c r="B535" s="20">
        <v>46099</v>
      </c>
      <c r="C535" s="15" t="s">
        <v>34</v>
      </c>
      <c r="D535" s="22">
        <v>0</v>
      </c>
      <c r="E535" s="22">
        <v>2194.2</v>
      </c>
      <c r="F535" s="23">
        <f t="shared" si="93"/>
        <v>392917.143792</v>
      </c>
    </row>
    <row r="536" customHeight="1" spans="2:6">
      <c r="B536" s="20">
        <v>46101</v>
      </c>
      <c r="C536" s="15" t="s">
        <v>35</v>
      </c>
      <c r="D536" s="22">
        <v>0</v>
      </c>
      <c r="E536" s="22">
        <v>2181.6</v>
      </c>
      <c r="F536" s="23">
        <f t="shared" si="93"/>
        <v>395098.743792</v>
      </c>
    </row>
    <row r="537" customHeight="1" spans="2:7">
      <c r="B537" s="20">
        <v>46101</v>
      </c>
      <c r="C537" s="15" t="s">
        <v>35</v>
      </c>
      <c r="D537" s="22">
        <v>0</v>
      </c>
      <c r="E537" s="22">
        <v>1496</v>
      </c>
      <c r="F537" s="23">
        <f t="shared" si="93"/>
        <v>396594.743792</v>
      </c>
      <c r="G537" s="33"/>
    </row>
    <row r="538" customHeight="1" spans="2:6">
      <c r="B538" s="20">
        <v>46101</v>
      </c>
      <c r="C538" s="21" t="s">
        <v>91</v>
      </c>
      <c r="D538" s="22">
        <v>10000</v>
      </c>
      <c r="E538" s="22">
        <v>0</v>
      </c>
      <c r="F538" s="30">
        <f t="shared" si="93"/>
        <v>386594.743792</v>
      </c>
    </row>
    <row r="539" customHeight="1" spans="2:6">
      <c r="B539" s="20">
        <v>46108</v>
      </c>
      <c r="C539" s="15" t="s">
        <v>31</v>
      </c>
      <c r="D539" s="22">
        <v>0</v>
      </c>
      <c r="E539" s="22">
        <v>19865.34</v>
      </c>
      <c r="F539" s="23">
        <f t="shared" ref="F539" si="94">F538-D539+E539</f>
        <v>406460.083792</v>
      </c>
    </row>
    <row r="540" customHeight="1" spans="2:6">
      <c r="B540" s="20">
        <v>46108</v>
      </c>
      <c r="C540" s="15" t="s">
        <v>32</v>
      </c>
      <c r="D540" s="22">
        <v>6035.04</v>
      </c>
      <c r="E540" s="22">
        <v>0</v>
      </c>
      <c r="F540" s="23">
        <f t="shared" ref="F540:F542" si="95">F539-D540+E540</f>
        <v>400425.043792</v>
      </c>
    </row>
    <row r="541" customHeight="1" spans="2:6">
      <c r="B541" s="20">
        <v>46108</v>
      </c>
      <c r="C541" s="15" t="s">
        <v>38</v>
      </c>
      <c r="D541" s="22">
        <v>0</v>
      </c>
      <c r="E541" s="22">
        <v>7897.5</v>
      </c>
      <c r="F541" s="30">
        <f t="shared" si="95"/>
        <v>408322.543792</v>
      </c>
    </row>
    <row r="542" customHeight="1" spans="1:6">
      <c r="A542" s="20" t="s">
        <v>6</v>
      </c>
      <c r="B542" s="20">
        <v>46113</v>
      </c>
      <c r="C542" s="21" t="s">
        <v>7</v>
      </c>
      <c r="D542" s="22">
        <v>1057.63</v>
      </c>
      <c r="E542" s="22">
        <v>0</v>
      </c>
      <c r="F542" s="23">
        <f t="shared" si="95"/>
        <v>407264.913792</v>
      </c>
    </row>
    <row r="543" customHeight="1" spans="1:6">
      <c r="A543" s="20" t="s">
        <v>6</v>
      </c>
      <c r="B543" s="20">
        <v>46115</v>
      </c>
      <c r="C543" s="21" t="s">
        <v>129</v>
      </c>
      <c r="D543" s="22">
        <v>14900</v>
      </c>
      <c r="E543" s="22">
        <v>0</v>
      </c>
      <c r="F543" s="23">
        <f t="shared" ref="F543:F561" si="96">F542-D543+E543</f>
        <v>392364.913792</v>
      </c>
    </row>
    <row r="544" customHeight="1" spans="2:6">
      <c r="B544" s="20">
        <v>46121</v>
      </c>
      <c r="C544" s="21" t="s">
        <v>16</v>
      </c>
      <c r="D544" s="22">
        <v>20</v>
      </c>
      <c r="E544" s="22">
        <v>0</v>
      </c>
      <c r="F544" s="23">
        <f t="shared" si="96"/>
        <v>392344.913792</v>
      </c>
    </row>
    <row r="545" customHeight="1" spans="1:6">
      <c r="A545" s="20" t="s">
        <v>6</v>
      </c>
      <c r="B545" s="20">
        <v>46128</v>
      </c>
      <c r="C545" s="21" t="s">
        <v>18</v>
      </c>
      <c r="D545" s="22">
        <v>331.78</v>
      </c>
      <c r="E545" s="22">
        <v>0</v>
      </c>
      <c r="F545" s="23">
        <f t="shared" si="96"/>
        <v>392013.133792</v>
      </c>
    </row>
    <row r="546" customHeight="1" spans="1:7">
      <c r="A546" s="20">
        <v>46134</v>
      </c>
      <c r="B546" s="20">
        <v>46136</v>
      </c>
      <c r="C546" s="24" t="s">
        <v>126</v>
      </c>
      <c r="D546" s="32">
        <v>70155.04</v>
      </c>
      <c r="E546" s="16">
        <v>0</v>
      </c>
      <c r="F546" s="23">
        <f t="shared" si="96"/>
        <v>321858.093792</v>
      </c>
      <c r="G546" s="27"/>
    </row>
    <row r="547" customHeight="1" spans="1:7">
      <c r="A547" s="20">
        <v>46134</v>
      </c>
      <c r="B547" s="20">
        <v>46136</v>
      </c>
      <c r="C547" s="21" t="s">
        <v>11</v>
      </c>
      <c r="D547" s="22">
        <v>14.98</v>
      </c>
      <c r="E547" s="22">
        <v>0</v>
      </c>
      <c r="F547" s="23">
        <f t="shared" si="96"/>
        <v>321843.113792</v>
      </c>
      <c r="G547" s="27"/>
    </row>
    <row r="548" customHeight="1" spans="2:6">
      <c r="B548" s="20">
        <v>46136</v>
      </c>
      <c r="C548" s="15" t="s">
        <v>42</v>
      </c>
      <c r="D548" s="22">
        <v>0</v>
      </c>
      <c r="E548" s="22">
        <v>2700</v>
      </c>
      <c r="F548" s="23">
        <f t="shared" si="96"/>
        <v>324543.113792</v>
      </c>
    </row>
    <row r="549" customHeight="1" spans="2:6">
      <c r="B549" s="20">
        <v>46140</v>
      </c>
      <c r="C549" s="15" t="s">
        <v>117</v>
      </c>
      <c r="D549" s="22">
        <v>0</v>
      </c>
      <c r="E549" s="22">
        <v>9472.5</v>
      </c>
      <c r="F549" s="23">
        <f t="shared" si="96"/>
        <v>334015.613792</v>
      </c>
    </row>
    <row r="550" customHeight="1" spans="1:7">
      <c r="A550" s="20">
        <v>46139</v>
      </c>
      <c r="B550" s="20">
        <v>46141</v>
      </c>
      <c r="C550" s="24" t="s">
        <v>109</v>
      </c>
      <c r="D550" s="32">
        <v>40088.6</v>
      </c>
      <c r="E550" s="16">
        <v>0</v>
      </c>
      <c r="F550" s="23">
        <f t="shared" si="96"/>
        <v>293927.013792</v>
      </c>
      <c r="G550" s="27"/>
    </row>
    <row r="551" customHeight="1" spans="1:7">
      <c r="A551" s="20">
        <v>46139</v>
      </c>
      <c r="B551" s="20">
        <v>46141</v>
      </c>
      <c r="C551" s="21" t="s">
        <v>11</v>
      </c>
      <c r="D551" s="22">
        <v>14.98</v>
      </c>
      <c r="E551" s="22">
        <v>0</v>
      </c>
      <c r="F551" s="23">
        <f t="shared" si="96"/>
        <v>293912.033792</v>
      </c>
      <c r="G551" s="27"/>
    </row>
    <row r="552" customHeight="1" spans="2:8">
      <c r="B552" s="20">
        <v>46143</v>
      </c>
      <c r="C552" s="21" t="s">
        <v>73</v>
      </c>
      <c r="D552" s="22">
        <v>23000</v>
      </c>
      <c r="E552" s="22">
        <v>0</v>
      </c>
      <c r="F552" s="23">
        <f t="shared" si="96"/>
        <v>270912.033792</v>
      </c>
      <c r="H552" s="34"/>
    </row>
    <row r="553" customHeight="1" spans="1:6">
      <c r="A553" s="20" t="s">
        <v>6</v>
      </c>
      <c r="B553" s="20">
        <v>46144</v>
      </c>
      <c r="C553" s="21" t="s">
        <v>7</v>
      </c>
      <c r="D553" s="35">
        <v>1978.79</v>
      </c>
      <c r="E553" s="22">
        <v>0</v>
      </c>
      <c r="F553" s="23">
        <f t="shared" si="96"/>
        <v>268933.243792001</v>
      </c>
    </row>
    <row r="554" customHeight="1" spans="2:6">
      <c r="B554" s="20">
        <v>46148</v>
      </c>
      <c r="C554" s="15" t="s">
        <v>46</v>
      </c>
      <c r="D554" s="22">
        <v>0</v>
      </c>
      <c r="E554" s="35">
        <v>2709</v>
      </c>
      <c r="F554" s="23">
        <f t="shared" si="96"/>
        <v>271642.243792001</v>
      </c>
    </row>
    <row r="555" customHeight="1" spans="1:7">
      <c r="A555" s="20">
        <v>46142</v>
      </c>
      <c r="B555" s="20">
        <v>46148</v>
      </c>
      <c r="C555" s="24" t="s">
        <v>126</v>
      </c>
      <c r="D555" s="36">
        <v>34075.3066</v>
      </c>
      <c r="E555" s="16">
        <v>0</v>
      </c>
      <c r="F555" s="23">
        <f t="shared" si="96"/>
        <v>237566.937192001</v>
      </c>
      <c r="G555" s="27"/>
    </row>
    <row r="556" customHeight="1" spans="1:7">
      <c r="A556" s="20">
        <v>46142</v>
      </c>
      <c r="B556" s="20">
        <v>46148</v>
      </c>
      <c r="C556" s="21" t="s">
        <v>11</v>
      </c>
      <c r="D556" s="35">
        <v>14.98</v>
      </c>
      <c r="E556" s="22">
        <v>0</v>
      </c>
      <c r="F556" s="23">
        <f t="shared" si="96"/>
        <v>237551.957192</v>
      </c>
      <c r="G556" s="27"/>
    </row>
    <row r="557" customHeight="1" spans="2:6">
      <c r="B557" s="20">
        <v>46149</v>
      </c>
      <c r="C557" s="15" t="s">
        <v>45</v>
      </c>
      <c r="D557" s="22">
        <v>0</v>
      </c>
      <c r="E557" s="35">
        <v>51975</v>
      </c>
      <c r="F557" s="23">
        <f t="shared" si="96"/>
        <v>289526.957192</v>
      </c>
    </row>
    <row r="558" customHeight="1" spans="2:6">
      <c r="B558" s="20">
        <v>46149</v>
      </c>
      <c r="C558" s="15" t="s">
        <v>50</v>
      </c>
      <c r="D558" s="22">
        <v>0</v>
      </c>
      <c r="E558" s="35">
        <v>7020</v>
      </c>
      <c r="F558" s="23">
        <f t="shared" si="96"/>
        <v>296546.957192</v>
      </c>
    </row>
    <row r="559" customHeight="1" spans="2:8">
      <c r="B559" s="20">
        <v>46150</v>
      </c>
      <c r="C559" s="15" t="s">
        <v>48</v>
      </c>
      <c r="D559" s="22">
        <v>0</v>
      </c>
      <c r="E559" s="35">
        <v>4500</v>
      </c>
      <c r="F559" s="23">
        <f t="shared" si="96"/>
        <v>301046.957192</v>
      </c>
      <c r="H559" s="34"/>
    </row>
    <row r="560" customHeight="1" spans="2:8">
      <c r="B560" s="20">
        <v>46151</v>
      </c>
      <c r="C560" s="21" t="s">
        <v>16</v>
      </c>
      <c r="D560" s="22">
        <v>20</v>
      </c>
      <c r="E560" s="22">
        <v>0</v>
      </c>
      <c r="F560" s="23">
        <f t="shared" si="96"/>
        <v>301026.957192</v>
      </c>
      <c r="H560" s="34"/>
    </row>
    <row r="561" customHeight="1" spans="2:6">
      <c r="B561" s="20">
        <v>46153</v>
      </c>
      <c r="C561" s="21" t="s">
        <v>73</v>
      </c>
      <c r="D561" s="22">
        <v>15000</v>
      </c>
      <c r="E561" s="22">
        <v>0</v>
      </c>
      <c r="F561" s="23">
        <f t="shared" si="96"/>
        <v>286026.957192</v>
      </c>
    </row>
    <row r="562" customHeight="1" spans="2:8">
      <c r="B562" s="20">
        <v>46154</v>
      </c>
      <c r="C562" s="15" t="s">
        <v>49</v>
      </c>
      <c r="D562" s="22">
        <v>0</v>
      </c>
      <c r="E562" s="22">
        <v>5985</v>
      </c>
      <c r="F562" s="23">
        <f t="shared" ref="F562:F568" si="97">F561-D562+E562</f>
        <v>292011.957192</v>
      </c>
      <c r="H562" s="34"/>
    </row>
    <row r="563" customHeight="1" spans="2:8">
      <c r="B563" s="20">
        <v>46155</v>
      </c>
      <c r="C563" s="15" t="s">
        <v>77</v>
      </c>
      <c r="D563" s="22">
        <v>0</v>
      </c>
      <c r="E563" s="22">
        <v>38898.64</v>
      </c>
      <c r="F563" s="23">
        <f t="shared" si="97"/>
        <v>330910.597192</v>
      </c>
      <c r="H563" s="34"/>
    </row>
    <row r="564" customHeight="1" spans="2:8">
      <c r="B564" s="20">
        <v>46156</v>
      </c>
      <c r="C564" s="15" t="s">
        <v>24</v>
      </c>
      <c r="D564" s="22">
        <v>3360</v>
      </c>
      <c r="E564" s="22">
        <v>0</v>
      </c>
      <c r="F564" s="23">
        <f t="shared" si="97"/>
        <v>327550.597192</v>
      </c>
      <c r="H564" s="34"/>
    </row>
    <row r="565" customHeight="1" spans="2:8">
      <c r="B565" s="20">
        <v>46157</v>
      </c>
      <c r="C565" s="15" t="s">
        <v>54</v>
      </c>
      <c r="D565" s="22">
        <v>0</v>
      </c>
      <c r="E565" s="22">
        <v>1134</v>
      </c>
      <c r="F565" s="23">
        <f t="shared" si="97"/>
        <v>328684.597192</v>
      </c>
      <c r="H565" s="34"/>
    </row>
    <row r="566" customHeight="1" spans="2:8">
      <c r="B566" s="20">
        <v>46157</v>
      </c>
      <c r="C566" s="15" t="s">
        <v>53</v>
      </c>
      <c r="D566" s="22">
        <v>0</v>
      </c>
      <c r="E566" s="22">
        <v>38340</v>
      </c>
      <c r="F566" s="23">
        <f t="shared" si="97"/>
        <v>367024.597192</v>
      </c>
      <c r="H566" s="34"/>
    </row>
    <row r="567" customHeight="1" spans="2:8">
      <c r="B567" s="20">
        <v>46157</v>
      </c>
      <c r="C567" s="15" t="s">
        <v>94</v>
      </c>
      <c r="D567" s="22">
        <v>0</v>
      </c>
      <c r="E567" s="22">
        <v>4272</v>
      </c>
      <c r="F567" s="23">
        <f t="shared" si="97"/>
        <v>371296.597192</v>
      </c>
      <c r="H567" s="34"/>
    </row>
    <row r="568" customHeight="1" spans="1:6">
      <c r="A568" s="20" t="s">
        <v>6</v>
      </c>
      <c r="B568" s="20">
        <v>46157</v>
      </c>
      <c r="C568" s="21" t="s">
        <v>18</v>
      </c>
      <c r="D568" s="22">
        <v>432</v>
      </c>
      <c r="E568" s="22">
        <v>0</v>
      </c>
      <c r="F568" s="23">
        <f t="shared" si="97"/>
        <v>370864.597192</v>
      </c>
    </row>
    <row r="569" customHeight="1" spans="2:8">
      <c r="B569" s="20">
        <v>46164</v>
      </c>
      <c r="C569" s="15" t="s">
        <v>60</v>
      </c>
      <c r="D569" s="22">
        <v>0</v>
      </c>
      <c r="E569" s="22">
        <v>526.8</v>
      </c>
      <c r="F569" s="23">
        <f t="shared" ref="F569" si="98">F568-D569+E569</f>
        <v>371391.397192</v>
      </c>
      <c r="H569" s="34"/>
    </row>
    <row r="570" customHeight="1" spans="2:8">
      <c r="B570" s="20">
        <v>46164</v>
      </c>
      <c r="C570" s="15" t="s">
        <v>55</v>
      </c>
      <c r="D570" s="22">
        <v>0</v>
      </c>
      <c r="E570" s="22">
        <v>1080</v>
      </c>
      <c r="F570" s="23">
        <f t="shared" ref="F570:F572" si="99">F569-D570+E570</f>
        <v>372471.397192</v>
      </c>
      <c r="H570" s="34"/>
    </row>
    <row r="571" customHeight="1" spans="2:8">
      <c r="B571" s="20">
        <v>46164</v>
      </c>
      <c r="C571" s="15" t="s">
        <v>116</v>
      </c>
      <c r="D571" s="22">
        <v>0</v>
      </c>
      <c r="E571" s="22">
        <v>2250</v>
      </c>
      <c r="F571" s="23">
        <f t="shared" si="99"/>
        <v>374721.397192</v>
      </c>
      <c r="H571" s="34"/>
    </row>
    <row r="572" customHeight="1" spans="2:8">
      <c r="B572" s="20">
        <v>46164</v>
      </c>
      <c r="C572" s="15" t="s">
        <v>56</v>
      </c>
      <c r="D572" s="22">
        <v>0</v>
      </c>
      <c r="E572" s="22">
        <v>1134</v>
      </c>
      <c r="F572" s="23">
        <f t="shared" si="99"/>
        <v>375855.397192</v>
      </c>
      <c r="H572" s="34"/>
    </row>
    <row r="573" customHeight="1" spans="2:8">
      <c r="B573" s="20">
        <v>46167</v>
      </c>
      <c r="C573" s="15" t="s">
        <v>59</v>
      </c>
      <c r="D573" s="22">
        <v>0</v>
      </c>
      <c r="E573" s="22">
        <v>13068.88</v>
      </c>
      <c r="F573" s="23">
        <f t="shared" ref="F573:F578" si="100">F572-D573+E573</f>
        <v>388924.277192</v>
      </c>
      <c r="H573" s="34"/>
    </row>
    <row r="574" customHeight="1" spans="1:7">
      <c r="A574" s="20">
        <v>46163</v>
      </c>
      <c r="B574" s="20">
        <v>46167</v>
      </c>
      <c r="C574" s="24" t="s">
        <v>71</v>
      </c>
      <c r="D574" s="32">
        <v>10282.73</v>
      </c>
      <c r="E574" s="16">
        <v>0</v>
      </c>
      <c r="F574" s="23">
        <f t="shared" si="100"/>
        <v>378641.547192</v>
      </c>
      <c r="G574" s="27"/>
    </row>
    <row r="575" customHeight="1" spans="1:7">
      <c r="A575" s="20">
        <v>46163</v>
      </c>
      <c r="B575" s="20">
        <v>46167</v>
      </c>
      <c r="C575" s="21" t="s">
        <v>11</v>
      </c>
      <c r="D575" s="22">
        <v>14.98</v>
      </c>
      <c r="E575" s="22">
        <v>0</v>
      </c>
      <c r="F575" s="23">
        <f t="shared" si="100"/>
        <v>378626.567192001</v>
      </c>
      <c r="G575" s="27"/>
    </row>
    <row r="576" customHeight="1" spans="2:8">
      <c r="B576" s="20">
        <v>46168</v>
      </c>
      <c r="C576" s="15" t="s">
        <v>61</v>
      </c>
      <c r="D576" s="22">
        <v>0</v>
      </c>
      <c r="E576" s="22">
        <v>351</v>
      </c>
      <c r="F576" s="23">
        <f t="shared" si="100"/>
        <v>378977.567192001</v>
      </c>
      <c r="H576" s="34"/>
    </row>
    <row r="577" customHeight="1" spans="1:7">
      <c r="A577" s="20">
        <v>46164</v>
      </c>
      <c r="B577" s="20">
        <v>46168</v>
      </c>
      <c r="C577" s="24" t="s">
        <v>71</v>
      </c>
      <c r="D577" s="32">
        <v>103057.76</v>
      </c>
      <c r="E577" s="16">
        <v>0</v>
      </c>
      <c r="F577" s="23">
        <f t="shared" si="100"/>
        <v>275919.807192001</v>
      </c>
      <c r="G577" s="27"/>
    </row>
    <row r="578" customHeight="1" spans="1:7">
      <c r="A578" s="20">
        <v>46164</v>
      </c>
      <c r="B578" s="20">
        <v>46168</v>
      </c>
      <c r="C578" s="21" t="s">
        <v>11</v>
      </c>
      <c r="D578" s="22">
        <v>14.98</v>
      </c>
      <c r="E578" s="22">
        <v>0</v>
      </c>
      <c r="F578" s="23">
        <f t="shared" si="100"/>
        <v>275904.827192001</v>
      </c>
      <c r="G578" s="27"/>
    </row>
    <row r="579" customHeight="1" spans="2:8">
      <c r="B579" s="20">
        <v>46170</v>
      </c>
      <c r="C579" s="15" t="s">
        <v>58</v>
      </c>
      <c r="D579" s="22">
        <v>0</v>
      </c>
      <c r="E579" s="22">
        <v>648</v>
      </c>
      <c r="F579" s="23">
        <f t="shared" ref="F579" si="101">F578-D579+E579</f>
        <v>276552.827192001</v>
      </c>
      <c r="H579" s="34"/>
    </row>
    <row r="580" customHeight="1" spans="2:8">
      <c r="B580" s="20">
        <v>46170</v>
      </c>
      <c r="C580" s="15" t="s">
        <v>57</v>
      </c>
      <c r="D580" s="22">
        <v>0</v>
      </c>
      <c r="E580" s="22">
        <v>2205</v>
      </c>
      <c r="F580" s="23">
        <f t="shared" ref="F580" si="102">F579-D580+E580</f>
        <v>278757.827192001</v>
      </c>
      <c r="H580" s="34"/>
    </row>
    <row r="581" customHeight="1" spans="2:8">
      <c r="B581" s="20">
        <v>46173</v>
      </c>
      <c r="C581" s="15" t="s">
        <v>97</v>
      </c>
      <c r="D581" s="22">
        <v>24400</v>
      </c>
      <c r="E581" s="22">
        <v>0</v>
      </c>
      <c r="F581" s="23">
        <f t="shared" ref="F581:F584" si="103">F580-D581+E581</f>
        <v>254357.827192001</v>
      </c>
      <c r="H581" s="34"/>
    </row>
    <row r="582" customHeight="1" spans="1:6">
      <c r="A582" s="20" t="s">
        <v>6</v>
      </c>
      <c r="B582" s="20">
        <v>46175</v>
      </c>
      <c r="C582" s="21" t="s">
        <v>7</v>
      </c>
      <c r="D582" s="35">
        <v>1372.91</v>
      </c>
      <c r="E582" s="22">
        <v>0</v>
      </c>
      <c r="F582" s="23">
        <f t="shared" si="103"/>
        <v>252984.917192001</v>
      </c>
    </row>
    <row r="583" customHeight="1" spans="2:8">
      <c r="B583" s="20">
        <v>46176</v>
      </c>
      <c r="C583" s="15" t="s">
        <v>24</v>
      </c>
      <c r="D583" s="22">
        <v>1900</v>
      </c>
      <c r="E583" s="22">
        <v>0</v>
      </c>
      <c r="F583" s="23">
        <f t="shared" si="103"/>
        <v>251084.917192001</v>
      </c>
      <c r="H583" s="34"/>
    </row>
    <row r="584" customHeight="1" spans="2:8">
      <c r="B584" s="20">
        <v>46177</v>
      </c>
      <c r="C584" s="15" t="s">
        <v>33</v>
      </c>
      <c r="D584" s="22">
        <v>0</v>
      </c>
      <c r="E584" s="22">
        <v>21000</v>
      </c>
      <c r="F584" s="23">
        <f t="shared" si="103"/>
        <v>272084.917192001</v>
      </c>
      <c r="H584" s="34"/>
    </row>
    <row r="585" customHeight="1" spans="2:8">
      <c r="B585" s="20">
        <v>46178</v>
      </c>
      <c r="C585" s="15" t="s">
        <v>21</v>
      </c>
      <c r="D585" s="22">
        <v>4200</v>
      </c>
      <c r="E585" s="22">
        <v>0</v>
      </c>
      <c r="F585" s="30">
        <f t="shared" ref="F585:F586" si="104">F584-D585+E585</f>
        <v>267884.917192001</v>
      </c>
      <c r="H585" s="34"/>
    </row>
    <row r="586" customHeight="1" spans="2:8">
      <c r="B586" s="20">
        <v>46178</v>
      </c>
      <c r="C586" s="15" t="s">
        <v>35</v>
      </c>
      <c r="D586" s="22">
        <v>0</v>
      </c>
      <c r="E586" s="22">
        <v>3447</v>
      </c>
      <c r="F586" s="23">
        <f t="shared" si="104"/>
        <v>271331.917192001</v>
      </c>
      <c r="H586" s="34"/>
    </row>
    <row r="587" customHeight="1" spans="2:8">
      <c r="B587" s="20">
        <v>46183</v>
      </c>
      <c r="C587" s="15" t="s">
        <v>37</v>
      </c>
      <c r="D587" s="22">
        <v>0</v>
      </c>
      <c r="E587" s="22">
        <v>166.05</v>
      </c>
      <c r="F587" s="23">
        <f t="shared" ref="F587" si="105">F586-D587+E587</f>
        <v>271497.967192001</v>
      </c>
      <c r="H587" s="34"/>
    </row>
    <row r="588" customHeight="1" spans="2:8">
      <c r="B588" s="20">
        <v>46183</v>
      </c>
      <c r="C588" s="15" t="s">
        <v>28</v>
      </c>
      <c r="D588" s="22">
        <v>0</v>
      </c>
      <c r="E588" s="22">
        <v>8999.1</v>
      </c>
      <c r="F588" s="23">
        <f t="shared" ref="F588" si="106">F587-D588+E588</f>
        <v>280497.067192001</v>
      </c>
      <c r="H588" s="34"/>
    </row>
    <row r="589" customHeight="1" spans="2:8">
      <c r="B589" s="20">
        <v>46184</v>
      </c>
      <c r="C589" s="15" t="s">
        <v>30</v>
      </c>
      <c r="D589" s="22">
        <v>0</v>
      </c>
      <c r="E589" s="22">
        <v>12084.66</v>
      </c>
      <c r="F589" s="23">
        <f t="shared" ref="F589" si="107">F588-D589+E589</f>
        <v>292581.727192</v>
      </c>
      <c r="H589" s="34"/>
    </row>
    <row r="590" customHeight="1" spans="2:8">
      <c r="B590" s="20">
        <v>46184</v>
      </c>
      <c r="C590" s="15" t="s">
        <v>31</v>
      </c>
      <c r="D590" s="22">
        <v>0</v>
      </c>
      <c r="E590" s="22">
        <v>19908</v>
      </c>
      <c r="F590" s="23">
        <f t="shared" ref="F590" si="108">F589-D590+E590</f>
        <v>312489.727192</v>
      </c>
      <c r="H590" s="34"/>
    </row>
    <row r="591" customHeight="1" spans="2:8">
      <c r="B591" s="20">
        <v>46184</v>
      </c>
      <c r="C591" s="15" t="s">
        <v>32</v>
      </c>
      <c r="D591" s="22">
        <v>6048</v>
      </c>
      <c r="E591" s="22">
        <v>0</v>
      </c>
      <c r="F591" s="30">
        <f t="shared" ref="F591:F600" si="109">F590-D591+E591</f>
        <v>306441.727192</v>
      </c>
      <c r="H591" s="34"/>
    </row>
    <row r="592" customHeight="1" spans="2:8">
      <c r="B592" s="20">
        <v>46185</v>
      </c>
      <c r="C592" s="15" t="s">
        <v>56</v>
      </c>
      <c r="D592" s="22">
        <v>0</v>
      </c>
      <c r="E592" s="22">
        <v>1134</v>
      </c>
      <c r="F592" s="23">
        <f t="shared" si="109"/>
        <v>307575.727192</v>
      </c>
      <c r="H592" s="34"/>
    </row>
    <row r="593" customHeight="1" spans="1:7">
      <c r="A593" s="20">
        <v>46183</v>
      </c>
      <c r="B593" s="20">
        <v>46185</v>
      </c>
      <c r="C593" s="24" t="s">
        <v>130</v>
      </c>
      <c r="D593" s="32">
        <v>188416.4</v>
      </c>
      <c r="E593" s="16">
        <v>0</v>
      </c>
      <c r="F593" s="23">
        <f t="shared" si="109"/>
        <v>119159.327192</v>
      </c>
      <c r="G593" s="27"/>
    </row>
    <row r="594" customHeight="1" spans="1:7">
      <c r="A594" s="20">
        <v>46183</v>
      </c>
      <c r="B594" s="20">
        <v>46185</v>
      </c>
      <c r="C594" s="21" t="s">
        <v>11</v>
      </c>
      <c r="D594" s="22">
        <v>14.98</v>
      </c>
      <c r="E594" s="22">
        <v>0</v>
      </c>
      <c r="F594" s="23">
        <f t="shared" si="109"/>
        <v>119144.347192</v>
      </c>
      <c r="G594" s="27"/>
    </row>
    <row r="595" customHeight="1" spans="2:8">
      <c r="B595" s="20">
        <v>46186</v>
      </c>
      <c r="C595" s="21" t="s">
        <v>16</v>
      </c>
      <c r="D595" s="22">
        <v>20</v>
      </c>
      <c r="E595" s="22">
        <v>0</v>
      </c>
      <c r="F595" s="23">
        <f t="shared" si="109"/>
        <v>119124.347192</v>
      </c>
      <c r="H595" s="34"/>
    </row>
    <row r="596" customHeight="1" spans="1:6">
      <c r="A596" s="20" t="s">
        <v>6</v>
      </c>
      <c r="B596" s="20">
        <v>46188</v>
      </c>
      <c r="C596" s="21" t="s">
        <v>18</v>
      </c>
      <c r="D596" s="22">
        <v>432</v>
      </c>
      <c r="E596" s="22">
        <v>0</v>
      </c>
      <c r="F596" s="23">
        <f t="shared" si="109"/>
        <v>118692.347192</v>
      </c>
    </row>
    <row r="597" customHeight="1" spans="2:8">
      <c r="B597" s="20">
        <v>46189</v>
      </c>
      <c r="C597" s="15" t="s">
        <v>34</v>
      </c>
      <c r="D597" s="22">
        <v>0</v>
      </c>
      <c r="E597" s="22">
        <v>2709</v>
      </c>
      <c r="F597" s="23">
        <f t="shared" si="109"/>
        <v>121401.347192</v>
      </c>
      <c r="H597" s="34"/>
    </row>
    <row r="598" customHeight="1" spans="2:8">
      <c r="B598" s="20">
        <v>46191</v>
      </c>
      <c r="C598" s="15" t="s">
        <v>38</v>
      </c>
      <c r="D598" s="22">
        <v>0</v>
      </c>
      <c r="E598" s="22">
        <v>6453</v>
      </c>
      <c r="F598" s="30">
        <f t="shared" si="109"/>
        <v>127854.347192</v>
      </c>
      <c r="H598" s="34"/>
    </row>
    <row r="599" customHeight="1" spans="1:6">
      <c r="A599" s="20" t="s">
        <v>6</v>
      </c>
      <c r="B599" s="20">
        <v>46205</v>
      </c>
      <c r="C599" s="21" t="s">
        <v>7</v>
      </c>
      <c r="D599" s="35">
        <v>357.35</v>
      </c>
      <c r="E599" s="22">
        <v>0</v>
      </c>
      <c r="F599" s="23">
        <f t="shared" si="109"/>
        <v>127496.997192</v>
      </c>
    </row>
    <row r="600" customHeight="1" spans="2:8">
      <c r="B600" s="20">
        <v>46210</v>
      </c>
      <c r="C600" s="15" t="s">
        <v>73</v>
      </c>
      <c r="D600" s="22">
        <v>26000</v>
      </c>
      <c r="E600" s="22">
        <v>0</v>
      </c>
      <c r="F600" s="23">
        <f t="shared" si="109"/>
        <v>101496.997192</v>
      </c>
      <c r="H600" s="34"/>
    </row>
    <row r="601" customHeight="1" spans="2:8">
      <c r="B601" s="20">
        <v>46214</v>
      </c>
      <c r="C601" s="21" t="s">
        <v>16</v>
      </c>
      <c r="D601" s="22">
        <v>20</v>
      </c>
      <c r="E601" s="22">
        <v>0</v>
      </c>
      <c r="F601" s="23">
        <f t="shared" ref="F601:F606" si="110">F600-D601+E601</f>
        <v>101476.997192</v>
      </c>
      <c r="H601" s="34"/>
    </row>
    <row r="602" customHeight="1" spans="2:8">
      <c r="B602" s="20">
        <v>46214</v>
      </c>
      <c r="C602" s="15" t="s">
        <v>131</v>
      </c>
      <c r="D602" s="22">
        <v>20000</v>
      </c>
      <c r="E602" s="22">
        <v>0</v>
      </c>
      <c r="F602" s="23">
        <f t="shared" si="110"/>
        <v>81476.997192</v>
      </c>
      <c r="H602" s="34"/>
    </row>
    <row r="603" customHeight="1" spans="1:6">
      <c r="A603" s="20" t="s">
        <v>6</v>
      </c>
      <c r="B603" s="20">
        <v>46218</v>
      </c>
      <c r="C603" s="21" t="s">
        <v>18</v>
      </c>
      <c r="D603" s="22">
        <v>432</v>
      </c>
      <c r="E603" s="22">
        <v>0</v>
      </c>
      <c r="F603" s="23">
        <f t="shared" si="110"/>
        <v>81044.997192</v>
      </c>
    </row>
    <row r="604" customHeight="1" spans="2:8">
      <c r="B604" s="20">
        <v>46218</v>
      </c>
      <c r="C604" s="15" t="s">
        <v>132</v>
      </c>
      <c r="D604" s="22">
        <v>0</v>
      </c>
      <c r="E604" s="22">
        <v>1278</v>
      </c>
      <c r="F604" s="30">
        <f t="shared" si="110"/>
        <v>82322.997192</v>
      </c>
      <c r="H604" s="34"/>
    </row>
    <row r="605" customHeight="1" spans="2:8">
      <c r="B605" s="20">
        <v>46234</v>
      </c>
      <c r="C605" s="15" t="s">
        <v>133</v>
      </c>
      <c r="D605" s="22">
        <v>5000</v>
      </c>
      <c r="E605" s="22">
        <v>0</v>
      </c>
      <c r="F605" s="30">
        <f t="shared" si="110"/>
        <v>77322.997192</v>
      </c>
      <c r="H605" s="34"/>
    </row>
    <row r="606" customHeight="1" spans="1:6">
      <c r="A606" s="20" t="s">
        <v>6</v>
      </c>
      <c r="B606" s="20">
        <v>46235</v>
      </c>
      <c r="C606" s="21" t="s">
        <v>7</v>
      </c>
      <c r="D606" s="35">
        <v>3226.17</v>
      </c>
      <c r="E606" s="22">
        <v>0</v>
      </c>
      <c r="F606" s="23">
        <f t="shared" si="110"/>
        <v>74096.827192</v>
      </c>
    </row>
  </sheetData>
  <pageMargins left="0.7" right="0.7" top="0.75" bottom="0.75" header="0" footer="0"/>
  <pageSetup paperSize="1" orientation="landscape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workbookViewId="0">
      <selection activeCell="A1" sqref="A1:F10"/>
    </sheetView>
  </sheetViews>
  <sheetFormatPr defaultColWidth="9" defaultRowHeight="21" outlineLevelCol="6"/>
  <cols>
    <col min="1" max="1" width="12.75" style="12" customWidth="1"/>
    <col min="2" max="2" width="17.875" customWidth="1"/>
    <col min="3" max="3" width="11.125" style="1" customWidth="1"/>
    <col min="4" max="4" width="12" style="1" customWidth="1"/>
    <col min="5" max="5" width="12.25" style="1" customWidth="1"/>
    <col min="6" max="6" width="10.875" customWidth="1"/>
    <col min="7" max="7" width="10.125" customWidth="1"/>
  </cols>
  <sheetData>
    <row r="1" spans="1:6">
      <c r="A1" s="13" t="s">
        <v>134</v>
      </c>
      <c r="B1" s="2" t="s">
        <v>135</v>
      </c>
      <c r="C1" s="3" t="s">
        <v>136</v>
      </c>
      <c r="D1" s="3" t="s">
        <v>137</v>
      </c>
      <c r="E1" s="3" t="s">
        <v>138</v>
      </c>
      <c r="F1" s="2" t="s">
        <v>139</v>
      </c>
    </row>
    <row r="2" spans="1:7">
      <c r="A2" s="13">
        <v>45839</v>
      </c>
      <c r="B2" s="2" t="s">
        <v>140</v>
      </c>
      <c r="C2" s="3">
        <v>0</v>
      </c>
      <c r="D2" s="3">
        <v>0</v>
      </c>
      <c r="E2" s="3">
        <v>26953.45</v>
      </c>
      <c r="F2" s="2"/>
      <c r="G2" s="12"/>
    </row>
    <row r="3" spans="1:7">
      <c r="A3" s="13">
        <v>45848</v>
      </c>
      <c r="B3" s="2" t="s">
        <v>141</v>
      </c>
      <c r="C3" s="3">
        <v>1555.86</v>
      </c>
      <c r="D3" s="3">
        <v>0</v>
      </c>
      <c r="E3" s="3">
        <f>E2-C3+D3</f>
        <v>25397.59</v>
      </c>
      <c r="F3" s="2" t="s">
        <v>7</v>
      </c>
      <c r="G3" s="12"/>
    </row>
    <row r="4" spans="1:7">
      <c r="A4" s="13">
        <v>45848</v>
      </c>
      <c r="B4" s="2" t="s">
        <v>141</v>
      </c>
      <c r="C4" s="3">
        <v>8790.08</v>
      </c>
      <c r="D4" s="3">
        <v>0</v>
      </c>
      <c r="E4" s="3">
        <f t="shared" ref="E4:E7" si="0">E3-C4+D4</f>
        <v>16607.51</v>
      </c>
      <c r="F4" s="2" t="s">
        <v>7</v>
      </c>
      <c r="G4" s="12"/>
    </row>
    <row r="5" spans="1:6">
      <c r="A5" s="13">
        <v>45849</v>
      </c>
      <c r="B5" s="2" t="s">
        <v>142</v>
      </c>
      <c r="C5" s="3">
        <v>0</v>
      </c>
      <c r="D5" s="3">
        <v>1300</v>
      </c>
      <c r="E5" s="3">
        <f t="shared" si="0"/>
        <v>17907.51</v>
      </c>
      <c r="F5" s="2" t="s">
        <v>143</v>
      </c>
    </row>
    <row r="6" spans="1:7">
      <c r="A6" s="13">
        <v>45851</v>
      </c>
      <c r="B6" s="2" t="s">
        <v>144</v>
      </c>
      <c r="C6" s="3">
        <v>60</v>
      </c>
      <c r="D6" s="3">
        <v>0</v>
      </c>
      <c r="E6" s="3">
        <f t="shared" si="0"/>
        <v>17847.51</v>
      </c>
      <c r="F6" s="2" t="s">
        <v>143</v>
      </c>
      <c r="G6" s="12"/>
    </row>
    <row r="7" spans="1:7">
      <c r="A7" s="13">
        <v>45859</v>
      </c>
      <c r="B7" s="2" t="s">
        <v>145</v>
      </c>
      <c r="C7" s="3">
        <v>837.93</v>
      </c>
      <c r="D7" s="3">
        <v>0</v>
      </c>
      <c r="E7" s="3">
        <f t="shared" si="0"/>
        <v>17009.58</v>
      </c>
      <c r="F7" s="2" t="s">
        <v>143</v>
      </c>
      <c r="G7" s="12"/>
    </row>
    <row r="8" spans="1:6">
      <c r="A8" s="13">
        <v>45869</v>
      </c>
      <c r="B8" s="2" t="s">
        <v>146</v>
      </c>
      <c r="C8" s="3">
        <v>5000</v>
      </c>
      <c r="D8" s="3">
        <v>0</v>
      </c>
      <c r="E8" s="3">
        <f t="shared" ref="E8:E9" si="1">E7-C8+D8</f>
        <v>12009.58</v>
      </c>
      <c r="F8" s="2" t="s">
        <v>143</v>
      </c>
    </row>
    <row r="9" spans="1:6">
      <c r="A9" s="13">
        <v>45869</v>
      </c>
      <c r="B9" s="2" t="s">
        <v>142</v>
      </c>
      <c r="C9" s="3">
        <v>0</v>
      </c>
      <c r="D9" s="3">
        <v>38000</v>
      </c>
      <c r="E9" s="3">
        <f t="shared" si="1"/>
        <v>50009.58</v>
      </c>
      <c r="F9" s="2" t="s">
        <v>143</v>
      </c>
    </row>
    <row r="10" spans="3:5">
      <c r="C10" s="1">
        <f>SUM(C2:C9)</f>
        <v>16243.87</v>
      </c>
      <c r="D10" s="1">
        <f>SUM(D2:D9)</f>
        <v>39300</v>
      </c>
      <c r="E10" s="1">
        <f>D10-C10</f>
        <v>23056.13</v>
      </c>
    </row>
  </sheetData>
  <pageMargins left="0.7" right="0.7" top="0.75" bottom="0.75" header="0.3" footer="0.3"/>
  <pageSetup paperSize="1" orientation="portrait" horizontalDpi="1200" verticalDpi="1200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3"/>
  <sheetViews>
    <sheetView workbookViewId="0">
      <selection activeCell="E12" sqref="E12"/>
    </sheetView>
  </sheetViews>
  <sheetFormatPr defaultColWidth="9" defaultRowHeight="21" outlineLevelCol="6"/>
  <cols>
    <col min="1" max="1" width="12.75" style="12" customWidth="1"/>
    <col min="2" max="2" width="17.875" customWidth="1"/>
    <col min="3" max="3" width="11.125" style="1" customWidth="1"/>
    <col min="4" max="4" width="12" style="1" customWidth="1"/>
    <col min="5" max="5" width="12.25" style="1" customWidth="1"/>
    <col min="7" max="7" width="10.125" customWidth="1"/>
  </cols>
  <sheetData>
    <row r="1" spans="1:6">
      <c r="A1" s="13" t="s">
        <v>134</v>
      </c>
      <c r="B1" s="2" t="s">
        <v>135</v>
      </c>
      <c r="C1" s="3" t="s">
        <v>136</v>
      </c>
      <c r="D1" s="3" t="s">
        <v>137</v>
      </c>
      <c r="E1" s="3" t="s">
        <v>138</v>
      </c>
      <c r="F1" s="2" t="s">
        <v>139</v>
      </c>
    </row>
    <row r="2" spans="1:7">
      <c r="A2" s="13">
        <v>45778</v>
      </c>
      <c r="B2" s="2" t="s">
        <v>140</v>
      </c>
      <c r="C2" s="3">
        <v>0</v>
      </c>
      <c r="D2" s="3">
        <v>0</v>
      </c>
      <c r="E2" s="3">
        <v>51362.28</v>
      </c>
      <c r="F2" s="2"/>
      <c r="G2" s="12"/>
    </row>
    <row r="3" spans="1:7">
      <c r="A3" s="13">
        <v>45787</v>
      </c>
      <c r="B3" s="2" t="s">
        <v>141</v>
      </c>
      <c r="C3" s="3">
        <v>914.93</v>
      </c>
      <c r="D3" s="3">
        <v>0</v>
      </c>
      <c r="E3" s="3">
        <f>E2-C3+D3</f>
        <v>50447.35</v>
      </c>
      <c r="F3" s="2" t="s">
        <v>7</v>
      </c>
      <c r="G3" s="12"/>
    </row>
    <row r="4" spans="1:7">
      <c r="A4" s="13">
        <v>45787</v>
      </c>
      <c r="B4" s="2" t="s">
        <v>141</v>
      </c>
      <c r="C4" s="3">
        <v>10319.04</v>
      </c>
      <c r="D4" s="3">
        <v>0</v>
      </c>
      <c r="E4" s="3">
        <f t="shared" ref="E4:E11" si="0">E3-C4+D4</f>
        <v>40128.31</v>
      </c>
      <c r="F4" s="2" t="s">
        <v>7</v>
      </c>
      <c r="G4" s="12"/>
    </row>
    <row r="5" spans="1:7">
      <c r="A5" s="13">
        <v>45789</v>
      </c>
      <c r="B5" s="2" t="s">
        <v>145</v>
      </c>
      <c r="C5" s="3">
        <v>192</v>
      </c>
      <c r="D5" s="3">
        <v>0</v>
      </c>
      <c r="E5" s="3">
        <f t="shared" si="0"/>
        <v>39936.31</v>
      </c>
      <c r="F5" s="2" t="s">
        <v>143</v>
      </c>
      <c r="G5" s="12"/>
    </row>
    <row r="6" spans="1:7">
      <c r="A6" s="13">
        <v>45795</v>
      </c>
      <c r="B6" s="2" t="s">
        <v>144</v>
      </c>
      <c r="C6" s="3">
        <v>60</v>
      </c>
      <c r="D6" s="3">
        <v>0</v>
      </c>
      <c r="E6" s="3">
        <f t="shared" si="0"/>
        <v>39876.31</v>
      </c>
      <c r="F6" s="2" t="s">
        <v>143</v>
      </c>
      <c r="G6" s="12"/>
    </row>
    <row r="7" spans="1:6">
      <c r="A7" s="13">
        <v>45793</v>
      </c>
      <c r="B7" s="2" t="s">
        <v>142</v>
      </c>
      <c r="C7" s="3">
        <v>0</v>
      </c>
      <c r="D7" s="3">
        <v>1300</v>
      </c>
      <c r="E7" s="3">
        <f t="shared" si="0"/>
        <v>41176.31</v>
      </c>
      <c r="F7" s="2" t="s">
        <v>143</v>
      </c>
    </row>
    <row r="8" spans="1:7">
      <c r="A8" s="13">
        <v>45800</v>
      </c>
      <c r="B8" s="2" t="s">
        <v>145</v>
      </c>
      <c r="C8" s="3">
        <v>837.93</v>
      </c>
      <c r="D8" s="3">
        <v>0</v>
      </c>
      <c r="E8" s="3">
        <f t="shared" si="0"/>
        <v>40338.38</v>
      </c>
      <c r="F8" s="2" t="s">
        <v>143</v>
      </c>
      <c r="G8" s="12"/>
    </row>
    <row r="9" spans="1:7">
      <c r="A9" s="13">
        <v>45800</v>
      </c>
      <c r="B9" s="2" t="s">
        <v>144</v>
      </c>
      <c r="C9" s="3">
        <v>70</v>
      </c>
      <c r="D9" s="3">
        <v>0</v>
      </c>
      <c r="E9" s="3">
        <f t="shared" si="0"/>
        <v>40268.38</v>
      </c>
      <c r="F9" s="2" t="s">
        <v>143</v>
      </c>
      <c r="G9" s="12"/>
    </row>
    <row r="10" spans="1:7">
      <c r="A10" s="13">
        <v>45800</v>
      </c>
      <c r="B10" s="2" t="s">
        <v>144</v>
      </c>
      <c r="C10" s="3">
        <v>1000</v>
      </c>
      <c r="D10" s="3">
        <v>0</v>
      </c>
      <c r="E10" s="3">
        <f t="shared" si="0"/>
        <v>39268.38</v>
      </c>
      <c r="F10" s="2" t="s">
        <v>143</v>
      </c>
      <c r="G10" s="12"/>
    </row>
    <row r="11" spans="1:7">
      <c r="A11" s="13">
        <v>45802</v>
      </c>
      <c r="B11" s="2" t="s">
        <v>144</v>
      </c>
      <c r="C11" s="3">
        <v>245</v>
      </c>
      <c r="D11" s="3">
        <v>0</v>
      </c>
      <c r="E11" s="3">
        <f t="shared" si="0"/>
        <v>39023.38</v>
      </c>
      <c r="F11" s="2" t="s">
        <v>143</v>
      </c>
      <c r="G11" s="12"/>
    </row>
    <row r="12" spans="1:7">
      <c r="A12" s="13">
        <v>45807</v>
      </c>
      <c r="B12" s="2" t="s">
        <v>146</v>
      </c>
      <c r="C12" s="3">
        <v>5000</v>
      </c>
      <c r="D12" s="3">
        <v>0</v>
      </c>
      <c r="E12" s="1">
        <f>SUM(E1:E11)</f>
        <v>421825.39</v>
      </c>
      <c r="F12" s="2" t="s">
        <v>143</v>
      </c>
      <c r="G12" s="12"/>
    </row>
    <row r="13" spans="3:5">
      <c r="C13" s="1">
        <f>SUM(C2:C12)</f>
        <v>18638.9</v>
      </c>
      <c r="D13" s="1">
        <f>SUM(D2:D12)</f>
        <v>1300</v>
      </c>
      <c r="E13" s="1">
        <f>D13-C13</f>
        <v>-17338.9</v>
      </c>
    </row>
  </sheetData>
  <pageMargins left="0.7" right="0.7" top="0.75" bottom="0.75" header="0.3" footer="0.3"/>
  <pageSetup paperSize="1" orientation="portrait" horizontalDpi="1200" verticalDpi="1200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3"/>
  <sheetViews>
    <sheetView workbookViewId="0">
      <selection activeCell="E12" sqref="E12"/>
    </sheetView>
  </sheetViews>
  <sheetFormatPr defaultColWidth="9" defaultRowHeight="21" outlineLevelCol="6"/>
  <cols>
    <col min="1" max="1" width="12.75" style="12" customWidth="1"/>
    <col min="2" max="2" width="17.875" customWidth="1"/>
    <col min="3" max="3" width="11.125" style="1" customWidth="1"/>
    <col min="4" max="4" width="12" style="1" customWidth="1"/>
    <col min="5" max="5" width="12.25" style="1" customWidth="1"/>
    <col min="7" max="7" width="10.125" customWidth="1"/>
  </cols>
  <sheetData>
    <row r="1" spans="1:6">
      <c r="A1" s="13" t="s">
        <v>134</v>
      </c>
      <c r="B1" s="2" t="s">
        <v>135</v>
      </c>
      <c r="C1" s="3" t="s">
        <v>136</v>
      </c>
      <c r="D1" s="3" t="s">
        <v>137</v>
      </c>
      <c r="E1" s="3" t="s">
        <v>138</v>
      </c>
      <c r="F1" s="2" t="s">
        <v>139</v>
      </c>
    </row>
    <row r="2" spans="1:7">
      <c r="A2" s="13">
        <v>45778</v>
      </c>
      <c r="B2" s="2" t="s">
        <v>140</v>
      </c>
      <c r="C2" s="3">
        <v>0</v>
      </c>
      <c r="D2" s="3">
        <v>0</v>
      </c>
      <c r="E2" s="3">
        <v>51362.28</v>
      </c>
      <c r="F2" s="2"/>
      <c r="G2" s="12"/>
    </row>
    <row r="3" spans="1:7">
      <c r="A3" s="13">
        <v>45787</v>
      </c>
      <c r="B3" s="2" t="s">
        <v>141</v>
      </c>
      <c r="C3" s="3">
        <v>914.93</v>
      </c>
      <c r="D3" s="3">
        <v>0</v>
      </c>
      <c r="E3" s="3">
        <f>E2-C3+D3</f>
        <v>50447.35</v>
      </c>
      <c r="F3" s="2" t="s">
        <v>7</v>
      </c>
      <c r="G3" s="12"/>
    </row>
    <row r="4" spans="1:7">
      <c r="A4" s="13">
        <v>45787</v>
      </c>
      <c r="B4" s="2" t="s">
        <v>141</v>
      </c>
      <c r="C4" s="3">
        <v>10319.04</v>
      </c>
      <c r="D4" s="3">
        <v>0</v>
      </c>
      <c r="E4" s="3">
        <f t="shared" ref="E4:E7" si="0">E3-C4+D4</f>
        <v>40128.31</v>
      </c>
      <c r="F4" s="2" t="s">
        <v>7</v>
      </c>
      <c r="G4" s="12"/>
    </row>
    <row r="5" spans="1:7">
      <c r="A5" s="13">
        <v>45789</v>
      </c>
      <c r="B5" s="2" t="s">
        <v>145</v>
      </c>
      <c r="C5" s="3">
        <v>192</v>
      </c>
      <c r="D5" s="3">
        <v>0</v>
      </c>
      <c r="E5" s="3">
        <f t="shared" si="0"/>
        <v>39936.31</v>
      </c>
      <c r="F5" s="2" t="s">
        <v>143</v>
      </c>
      <c r="G5" s="12"/>
    </row>
    <row r="6" spans="1:7">
      <c r="A6" s="13">
        <v>45795</v>
      </c>
      <c r="B6" s="2" t="s">
        <v>144</v>
      </c>
      <c r="C6" s="3">
        <v>60</v>
      </c>
      <c r="D6" s="3">
        <v>0</v>
      </c>
      <c r="E6" s="3">
        <f t="shared" si="0"/>
        <v>39876.31</v>
      </c>
      <c r="F6" s="2" t="s">
        <v>143</v>
      </c>
      <c r="G6" s="12"/>
    </row>
    <row r="7" spans="1:6">
      <c r="A7" s="13">
        <v>45793</v>
      </c>
      <c r="B7" s="2" t="s">
        <v>142</v>
      </c>
      <c r="C7" s="3">
        <v>0</v>
      </c>
      <c r="D7" s="3">
        <v>1300</v>
      </c>
      <c r="E7" s="3">
        <f t="shared" si="0"/>
        <v>41176.31</v>
      </c>
      <c r="F7" s="2" t="s">
        <v>143</v>
      </c>
    </row>
    <row r="8" spans="1:7">
      <c r="A8" s="13">
        <v>45800</v>
      </c>
      <c r="B8" s="2" t="s">
        <v>145</v>
      </c>
      <c r="C8" s="3">
        <v>837.93</v>
      </c>
      <c r="D8" s="3">
        <v>0</v>
      </c>
      <c r="E8" s="3">
        <f t="shared" ref="E8:E11" si="1">E7-C8+D8</f>
        <v>40338.38</v>
      </c>
      <c r="F8" s="2" t="s">
        <v>143</v>
      </c>
      <c r="G8" s="12"/>
    </row>
    <row r="9" spans="1:7">
      <c r="A9" s="13">
        <v>45800</v>
      </c>
      <c r="B9" s="2" t="s">
        <v>144</v>
      </c>
      <c r="C9" s="3">
        <v>70</v>
      </c>
      <c r="D9" s="3">
        <v>0</v>
      </c>
      <c r="E9" s="3">
        <f t="shared" si="1"/>
        <v>40268.38</v>
      </c>
      <c r="F9" s="2" t="s">
        <v>143</v>
      </c>
      <c r="G9" s="12"/>
    </row>
    <row r="10" spans="1:7">
      <c r="A10" s="13">
        <v>45800</v>
      </c>
      <c r="B10" s="2" t="s">
        <v>144</v>
      </c>
      <c r="C10" s="3">
        <v>1000</v>
      </c>
      <c r="D10" s="3">
        <v>0</v>
      </c>
      <c r="E10" s="3">
        <f t="shared" si="1"/>
        <v>39268.38</v>
      </c>
      <c r="F10" s="2" t="s">
        <v>143</v>
      </c>
      <c r="G10" s="12"/>
    </row>
    <row r="11" spans="1:7">
      <c r="A11" s="13">
        <v>45802</v>
      </c>
      <c r="B11" s="2" t="s">
        <v>144</v>
      </c>
      <c r="C11" s="3">
        <v>245</v>
      </c>
      <c r="D11" s="3">
        <v>0</v>
      </c>
      <c r="E11" s="3">
        <f t="shared" si="1"/>
        <v>39023.38</v>
      </c>
      <c r="F11" s="2" t="s">
        <v>143</v>
      </c>
      <c r="G11" s="12"/>
    </row>
    <row r="12" spans="1:7">
      <c r="A12" s="13">
        <v>45807</v>
      </c>
      <c r="B12" s="2" t="s">
        <v>146</v>
      </c>
      <c r="C12" s="3">
        <v>5000</v>
      </c>
      <c r="D12" s="3">
        <v>0</v>
      </c>
      <c r="E12" s="1">
        <f>SUM(E1:E11)</f>
        <v>421825.39</v>
      </c>
      <c r="F12" s="2" t="s">
        <v>143</v>
      </c>
      <c r="G12" s="12"/>
    </row>
    <row r="13" spans="3:5">
      <c r="C13" s="1">
        <f>SUM(C2:C12)</f>
        <v>18638.9</v>
      </c>
      <c r="D13" s="1">
        <f>SUM(D2:D12)</f>
        <v>1300</v>
      </c>
      <c r="E13" s="1">
        <f>D13-C13</f>
        <v>-17338.9</v>
      </c>
    </row>
  </sheetData>
  <pageMargins left="0.7" right="0.7" top="0.75" bottom="0.75" header="0.3" footer="0.3"/>
  <pageSetup paperSize="1" orientation="portrait" horizontalDpi="1200" verticalDpi="1200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5"/>
  <sheetViews>
    <sheetView workbookViewId="0">
      <selection activeCell="A10" sqref="$A10:$XFD10"/>
    </sheetView>
  </sheetViews>
  <sheetFormatPr defaultColWidth="9" defaultRowHeight="21" outlineLevelCol="5"/>
  <cols>
    <col min="1" max="1" width="12.75" style="12" customWidth="1"/>
    <col min="2" max="2" width="17.875" customWidth="1"/>
    <col min="3" max="3" width="11.125" style="1" customWidth="1"/>
    <col min="4" max="4" width="12" style="1" customWidth="1"/>
    <col min="5" max="5" width="12.25" style="1" customWidth="1"/>
    <col min="7" max="7" width="10.125" customWidth="1"/>
  </cols>
  <sheetData>
    <row r="1" spans="1:6">
      <c r="A1" s="13" t="s">
        <v>134</v>
      </c>
      <c r="B1" s="2" t="s">
        <v>135</v>
      </c>
      <c r="C1" s="3" t="s">
        <v>136</v>
      </c>
      <c r="D1" s="3" t="s">
        <v>137</v>
      </c>
      <c r="E1" s="3" t="s">
        <v>138</v>
      </c>
      <c r="F1" s="2" t="s">
        <v>139</v>
      </c>
    </row>
    <row r="2" spans="1:6">
      <c r="A2" s="13">
        <v>45748</v>
      </c>
      <c r="B2" s="2" t="s">
        <v>140</v>
      </c>
      <c r="C2" s="3">
        <v>0</v>
      </c>
      <c r="D2" s="3">
        <v>0</v>
      </c>
      <c r="E2" s="3">
        <v>56455.76</v>
      </c>
      <c r="F2" s="2"/>
    </row>
    <row r="3" spans="1:6">
      <c r="A3" s="13">
        <v>45748</v>
      </c>
      <c r="B3" s="2" t="s">
        <v>146</v>
      </c>
      <c r="C3" s="3">
        <v>27000</v>
      </c>
      <c r="D3" s="3">
        <v>0</v>
      </c>
      <c r="E3" s="3">
        <f>E2-C3+D3</f>
        <v>29455.76</v>
      </c>
      <c r="F3" s="2" t="s">
        <v>143</v>
      </c>
    </row>
    <row r="4" spans="1:6">
      <c r="A4" s="13">
        <v>45748</v>
      </c>
      <c r="B4" s="2" t="s">
        <v>142</v>
      </c>
      <c r="C4" s="3">
        <v>0</v>
      </c>
      <c r="D4" s="3">
        <v>31000</v>
      </c>
      <c r="E4" s="3">
        <f t="shared" ref="E4:E11" si="0">E3-C4+D4</f>
        <v>60455.76</v>
      </c>
      <c r="F4" s="2" t="s">
        <v>143</v>
      </c>
    </row>
    <row r="5" spans="1:6">
      <c r="A5" s="13">
        <v>45752</v>
      </c>
      <c r="B5" s="2" t="s">
        <v>144</v>
      </c>
      <c r="C5" s="3">
        <v>60</v>
      </c>
      <c r="D5" s="3">
        <v>0</v>
      </c>
      <c r="E5" s="3">
        <f t="shared" si="0"/>
        <v>60395.76</v>
      </c>
      <c r="F5" s="2" t="s">
        <v>143</v>
      </c>
    </row>
    <row r="6" spans="1:6">
      <c r="A6" s="13">
        <v>45755</v>
      </c>
      <c r="B6" s="2" t="s">
        <v>147</v>
      </c>
      <c r="C6" s="3">
        <v>0</v>
      </c>
      <c r="D6" s="3">
        <v>899.05</v>
      </c>
      <c r="E6" s="3">
        <f t="shared" si="0"/>
        <v>61294.81</v>
      </c>
      <c r="F6" s="2" t="s">
        <v>143</v>
      </c>
    </row>
    <row r="7" spans="1:6">
      <c r="A7" s="13">
        <v>45756</v>
      </c>
      <c r="B7" s="2" t="s">
        <v>141</v>
      </c>
      <c r="C7" s="3">
        <v>914.93</v>
      </c>
      <c r="D7" s="3">
        <v>0</v>
      </c>
      <c r="E7" s="3">
        <f t="shared" si="0"/>
        <v>60379.88</v>
      </c>
      <c r="F7" s="2" t="s">
        <v>7</v>
      </c>
    </row>
    <row r="8" spans="1:6">
      <c r="A8" s="13">
        <v>45756</v>
      </c>
      <c r="B8" s="2" t="s">
        <v>141</v>
      </c>
      <c r="C8" s="3">
        <v>4476.81</v>
      </c>
      <c r="D8" s="3">
        <v>0</v>
      </c>
      <c r="E8" s="3">
        <f t="shared" si="0"/>
        <v>55903.07</v>
      </c>
      <c r="F8" s="2" t="s">
        <v>7</v>
      </c>
    </row>
    <row r="9" spans="1:6">
      <c r="A9" s="13">
        <v>45757</v>
      </c>
      <c r="B9" s="2" t="s">
        <v>145</v>
      </c>
      <c r="C9" s="3">
        <v>660.79</v>
      </c>
      <c r="D9" s="3">
        <v>0</v>
      </c>
      <c r="E9" s="3">
        <f t="shared" si="0"/>
        <v>55242.28</v>
      </c>
      <c r="F9" s="2" t="s">
        <v>143</v>
      </c>
    </row>
    <row r="10" spans="1:6">
      <c r="A10" s="13">
        <v>45761</v>
      </c>
      <c r="B10" s="2" t="s">
        <v>142</v>
      </c>
      <c r="C10" s="3">
        <v>0</v>
      </c>
      <c r="D10" s="3">
        <v>1300</v>
      </c>
      <c r="E10" s="3">
        <f t="shared" si="0"/>
        <v>56542.28</v>
      </c>
      <c r="F10" s="2" t="s">
        <v>143</v>
      </c>
    </row>
    <row r="11" spans="1:6">
      <c r="A11" s="13">
        <v>45765</v>
      </c>
      <c r="B11" s="2" t="s">
        <v>144</v>
      </c>
      <c r="C11" s="3">
        <v>60</v>
      </c>
      <c r="D11" s="3">
        <v>0</v>
      </c>
      <c r="E11" s="3">
        <f t="shared" si="0"/>
        <v>56482.28</v>
      </c>
      <c r="F11" s="2" t="s">
        <v>143</v>
      </c>
    </row>
    <row r="12" spans="1:6">
      <c r="A12" s="13">
        <v>45770</v>
      </c>
      <c r="B12" s="2" t="s">
        <v>144</v>
      </c>
      <c r="C12" s="3">
        <v>60</v>
      </c>
      <c r="D12" s="3">
        <v>0</v>
      </c>
      <c r="E12" s="3">
        <f t="shared" ref="E12" si="1">E11-C12+D12</f>
        <v>56422.28</v>
      </c>
      <c r="F12" s="2" t="s">
        <v>143</v>
      </c>
    </row>
    <row r="13" spans="1:6">
      <c r="A13" s="13">
        <v>45772</v>
      </c>
      <c r="B13" s="2" t="s">
        <v>144</v>
      </c>
      <c r="C13" s="3">
        <v>60</v>
      </c>
      <c r="D13" s="3">
        <v>0</v>
      </c>
      <c r="E13" s="3">
        <f t="shared" ref="E13:E14" si="2">E12-C13+D13</f>
        <v>56362.28</v>
      </c>
      <c r="F13" s="2" t="s">
        <v>143</v>
      </c>
    </row>
    <row r="14" spans="1:6">
      <c r="A14" s="13">
        <v>45777</v>
      </c>
      <c r="B14" s="2" t="s">
        <v>146</v>
      </c>
      <c r="C14" s="3">
        <v>5000</v>
      </c>
      <c r="D14" s="3">
        <v>0</v>
      </c>
      <c r="E14" s="3">
        <f t="shared" si="2"/>
        <v>51362.28</v>
      </c>
      <c r="F14" s="2" t="s">
        <v>143</v>
      </c>
    </row>
    <row r="15" spans="3:5">
      <c r="C15" s="1">
        <f>SUM(C2:C10)</f>
        <v>33112.53</v>
      </c>
      <c r="D15" s="1">
        <f>SUM(D2:D10)</f>
        <v>33199.05</v>
      </c>
      <c r="E15" s="1">
        <f>D15-C15</f>
        <v>86.5200000000041</v>
      </c>
    </row>
  </sheetData>
  <pageMargins left="0.7" right="0.7" top="0.75" bottom="0.75" header="0.3" footer="0.3"/>
  <pageSetup paperSize="1" orientation="portrait" horizontalDpi="1200" verticalDpi="1200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2"/>
  <sheetViews>
    <sheetView workbookViewId="0">
      <selection activeCell="E12" sqref="E12"/>
    </sheetView>
  </sheetViews>
  <sheetFormatPr defaultColWidth="9" defaultRowHeight="21" outlineLevelCol="5"/>
  <cols>
    <col min="1" max="1" width="12.75" style="12" customWidth="1"/>
    <col min="2" max="2" width="17.875" customWidth="1"/>
    <col min="3" max="3" width="11.125" style="1" customWidth="1"/>
    <col min="4" max="4" width="12" style="1" customWidth="1"/>
    <col min="5" max="5" width="12.25" style="1" customWidth="1"/>
    <col min="7" max="7" width="10.125" customWidth="1"/>
  </cols>
  <sheetData>
    <row r="1" spans="1:6">
      <c r="A1" s="13" t="s">
        <v>134</v>
      </c>
      <c r="B1" s="2" t="s">
        <v>135</v>
      </c>
      <c r="C1" s="3" t="s">
        <v>136</v>
      </c>
      <c r="D1" s="3" t="s">
        <v>137</v>
      </c>
      <c r="E1" s="3" t="s">
        <v>138</v>
      </c>
      <c r="F1" s="2" t="s">
        <v>139</v>
      </c>
    </row>
    <row r="2" spans="1:6">
      <c r="A2" s="13">
        <v>45717</v>
      </c>
      <c r="B2" s="2" t="s">
        <v>148</v>
      </c>
      <c r="C2" s="3">
        <v>0</v>
      </c>
      <c r="D2" s="3">
        <v>0</v>
      </c>
      <c r="E2" s="3">
        <v>32906.37</v>
      </c>
      <c r="F2" s="2" t="s">
        <v>143</v>
      </c>
    </row>
    <row r="3" spans="1:6">
      <c r="A3" s="13">
        <v>45727</v>
      </c>
      <c r="B3" s="2" t="s">
        <v>142</v>
      </c>
      <c r="C3" s="3">
        <v>0</v>
      </c>
      <c r="D3" s="3">
        <v>47100</v>
      </c>
      <c r="E3" s="3">
        <f t="shared" ref="E3:E5" si="0">E2-C3+D3</f>
        <v>80006.37</v>
      </c>
      <c r="F3" s="2" t="s">
        <v>143</v>
      </c>
    </row>
    <row r="4" spans="1:6">
      <c r="A4" s="13">
        <v>45728</v>
      </c>
      <c r="B4" s="2" t="s">
        <v>141</v>
      </c>
      <c r="C4" s="3">
        <v>1576.53</v>
      </c>
      <c r="D4" s="3">
        <v>0</v>
      </c>
      <c r="E4" s="3">
        <f t="shared" si="0"/>
        <v>78429.84</v>
      </c>
      <c r="F4" s="2" t="s">
        <v>7</v>
      </c>
    </row>
    <row r="5" spans="1:6">
      <c r="A5" s="13">
        <v>45728</v>
      </c>
      <c r="B5" s="2" t="s">
        <v>141</v>
      </c>
      <c r="C5" s="3">
        <v>12586.08</v>
      </c>
      <c r="D5" s="3">
        <v>0</v>
      </c>
      <c r="E5" s="3">
        <f t="shared" si="0"/>
        <v>65843.76</v>
      </c>
      <c r="F5" s="2" t="s">
        <v>7</v>
      </c>
    </row>
    <row r="6" spans="1:6">
      <c r="A6" s="13">
        <v>45731</v>
      </c>
      <c r="B6" s="2" t="s">
        <v>142</v>
      </c>
      <c r="C6" s="3">
        <v>0</v>
      </c>
      <c r="D6" s="3">
        <v>1300</v>
      </c>
      <c r="E6" s="3">
        <f t="shared" ref="E6:E8" si="1">E5-C6+D6</f>
        <v>67143.76</v>
      </c>
      <c r="F6" s="2" t="s">
        <v>143</v>
      </c>
    </row>
    <row r="7" spans="1:6">
      <c r="A7" s="13">
        <v>45735</v>
      </c>
      <c r="B7" s="2" t="s">
        <v>145</v>
      </c>
      <c r="C7" s="3">
        <v>518</v>
      </c>
      <c r="D7" s="3">
        <v>0</v>
      </c>
      <c r="E7" s="3">
        <f t="shared" si="1"/>
        <v>66625.76</v>
      </c>
      <c r="F7" s="2" t="s">
        <v>143</v>
      </c>
    </row>
    <row r="8" spans="1:6">
      <c r="A8" s="13">
        <v>45739</v>
      </c>
      <c r="B8" s="2" t="s">
        <v>144</v>
      </c>
      <c r="C8" s="3">
        <v>60</v>
      </c>
      <c r="D8" s="3">
        <v>0</v>
      </c>
      <c r="E8" s="3">
        <f t="shared" si="1"/>
        <v>66565.76</v>
      </c>
      <c r="F8" s="2" t="s">
        <v>143</v>
      </c>
    </row>
    <row r="9" spans="1:6">
      <c r="A9" s="13">
        <v>45741</v>
      </c>
      <c r="B9" s="2" t="s">
        <v>144</v>
      </c>
      <c r="C9" s="3">
        <v>50</v>
      </c>
      <c r="D9" s="3">
        <v>0</v>
      </c>
      <c r="E9" s="3">
        <f t="shared" ref="E9:E10" si="2">E8-C9+D9</f>
        <v>66515.76</v>
      </c>
      <c r="F9" s="2" t="s">
        <v>143</v>
      </c>
    </row>
    <row r="10" spans="1:6">
      <c r="A10" s="13">
        <v>45747</v>
      </c>
      <c r="B10" s="2" t="s">
        <v>146</v>
      </c>
      <c r="C10" s="3">
        <v>10000</v>
      </c>
      <c r="D10" s="3">
        <v>0</v>
      </c>
      <c r="E10" s="3">
        <f t="shared" si="2"/>
        <v>56515.76</v>
      </c>
      <c r="F10" s="2" t="s">
        <v>6</v>
      </c>
    </row>
    <row r="11" spans="1:6">
      <c r="A11" s="13">
        <v>45747</v>
      </c>
      <c r="B11" s="2" t="s">
        <v>144</v>
      </c>
      <c r="C11" s="3">
        <v>60</v>
      </c>
      <c r="D11" s="3">
        <v>0</v>
      </c>
      <c r="E11" s="3">
        <f t="shared" ref="E11" si="3">E10-C11+D11</f>
        <v>56455.76</v>
      </c>
      <c r="F11" s="2" t="s">
        <v>143</v>
      </c>
    </row>
    <row r="12" spans="3:5">
      <c r="C12" s="1">
        <f>SUM(C2:C11)</f>
        <v>24850.61</v>
      </c>
      <c r="D12" s="1">
        <f>SUM(D2:D11)</f>
        <v>48400</v>
      </c>
      <c r="E12" s="1">
        <f>D12-C12</f>
        <v>23549.39</v>
      </c>
    </row>
  </sheetData>
  <pageMargins left="0.7" right="0.7" top="0.75" bottom="0.75" header="0.3" footer="0.3"/>
  <pageSetup paperSize="1" orientation="portrait" horizontalDpi="1200" verticalDpi="1200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5"/>
  <sheetViews>
    <sheetView workbookViewId="0">
      <selection activeCell="A14" sqref="$A14:$XFD14"/>
    </sheetView>
  </sheetViews>
  <sheetFormatPr defaultColWidth="9" defaultRowHeight="21" outlineLevelCol="6"/>
  <cols>
    <col min="1" max="1" width="12.25" style="9" customWidth="1"/>
    <col min="2" max="2" width="17.875" customWidth="1"/>
    <col min="3" max="3" width="11.125" style="1" customWidth="1"/>
    <col min="4" max="4" width="12" style="1" customWidth="1"/>
    <col min="5" max="5" width="12.25" style="1" customWidth="1"/>
    <col min="7" max="7" width="10.125" customWidth="1"/>
  </cols>
  <sheetData>
    <row r="1" spans="1:6">
      <c r="A1" s="10" t="s">
        <v>134</v>
      </c>
      <c r="B1" s="2" t="s">
        <v>135</v>
      </c>
      <c r="C1" s="3" t="s">
        <v>136</v>
      </c>
      <c r="D1" s="3" t="s">
        <v>137</v>
      </c>
      <c r="E1" s="3" t="s">
        <v>138</v>
      </c>
      <c r="F1" s="2" t="s">
        <v>139</v>
      </c>
    </row>
    <row r="2" spans="1:6">
      <c r="A2" s="10">
        <v>45689</v>
      </c>
      <c r="B2" s="2" t="s">
        <v>140</v>
      </c>
      <c r="C2" s="3">
        <v>0</v>
      </c>
      <c r="D2" s="3">
        <v>0</v>
      </c>
      <c r="E2" s="3">
        <v>52295.57</v>
      </c>
      <c r="F2" s="2"/>
    </row>
    <row r="3" spans="1:6">
      <c r="A3" s="10">
        <v>45693</v>
      </c>
      <c r="B3" s="2" t="s">
        <v>146</v>
      </c>
      <c r="C3" s="3">
        <v>300</v>
      </c>
      <c r="D3" s="3">
        <v>0</v>
      </c>
      <c r="E3" s="3">
        <f>E2-C3+D3</f>
        <v>51995.57</v>
      </c>
      <c r="F3" s="2" t="s">
        <v>6</v>
      </c>
    </row>
    <row r="4" spans="1:6">
      <c r="A4" s="10">
        <v>45695</v>
      </c>
      <c r="B4" s="2" t="s">
        <v>145</v>
      </c>
      <c r="C4" s="3">
        <v>817</v>
      </c>
      <c r="D4" s="3">
        <v>0</v>
      </c>
      <c r="E4" s="3">
        <f t="shared" ref="E4:E10" si="0">E3-C4+D4</f>
        <v>51178.57</v>
      </c>
      <c r="F4" s="2" t="s">
        <v>143</v>
      </c>
    </row>
    <row r="5" spans="1:6">
      <c r="A5" s="10">
        <v>45697</v>
      </c>
      <c r="B5" s="2" t="s">
        <v>141</v>
      </c>
      <c r="C5" s="3">
        <v>973</v>
      </c>
      <c r="D5" s="3">
        <v>0</v>
      </c>
      <c r="E5" s="3">
        <f t="shared" si="0"/>
        <v>50205.57</v>
      </c>
      <c r="F5" s="2" t="s">
        <v>7</v>
      </c>
    </row>
    <row r="6" spans="1:6">
      <c r="A6" s="10">
        <v>45697</v>
      </c>
      <c r="B6" s="2" t="s">
        <v>141</v>
      </c>
      <c r="C6" s="3">
        <v>25099.6</v>
      </c>
      <c r="D6" s="3">
        <v>0</v>
      </c>
      <c r="E6" s="3">
        <f t="shared" si="0"/>
        <v>25105.97</v>
      </c>
      <c r="F6" s="2" t="s">
        <v>7</v>
      </c>
    </row>
    <row r="7" spans="1:7">
      <c r="A7" s="10">
        <v>45702</v>
      </c>
      <c r="B7" s="2" t="s">
        <v>142</v>
      </c>
      <c r="C7" s="3">
        <v>0</v>
      </c>
      <c r="D7" s="3">
        <v>1300</v>
      </c>
      <c r="E7" s="3">
        <f t="shared" si="0"/>
        <v>26405.97</v>
      </c>
      <c r="F7" s="2" t="s">
        <v>118</v>
      </c>
      <c r="G7" s="11">
        <v>27000</v>
      </c>
    </row>
    <row r="8" spans="1:7">
      <c r="A8" s="10">
        <v>45703</v>
      </c>
      <c r="B8" s="2" t="s">
        <v>142</v>
      </c>
      <c r="C8" s="3">
        <v>0</v>
      </c>
      <c r="D8" s="3">
        <v>25000</v>
      </c>
      <c r="E8" s="3">
        <f t="shared" si="0"/>
        <v>51405.97</v>
      </c>
      <c r="F8" s="2" t="s">
        <v>118</v>
      </c>
      <c r="G8" s="11">
        <v>27000</v>
      </c>
    </row>
    <row r="9" spans="1:6">
      <c r="A9" s="10">
        <v>45706</v>
      </c>
      <c r="B9" s="2" t="s">
        <v>146</v>
      </c>
      <c r="C9" s="3">
        <v>13322.8</v>
      </c>
      <c r="D9" s="3">
        <v>0</v>
      </c>
      <c r="E9" s="3">
        <f t="shared" si="0"/>
        <v>38083.17</v>
      </c>
      <c r="F9" s="2" t="s">
        <v>6</v>
      </c>
    </row>
    <row r="10" spans="1:6">
      <c r="A10" s="10">
        <v>45706</v>
      </c>
      <c r="B10" s="2" t="s">
        <v>146</v>
      </c>
      <c r="C10" s="3">
        <v>13322.8</v>
      </c>
      <c r="D10" s="3">
        <v>0</v>
      </c>
      <c r="E10" s="3">
        <f t="shared" si="0"/>
        <v>24760.37</v>
      </c>
      <c r="F10" s="2" t="s">
        <v>6</v>
      </c>
    </row>
    <row r="11" spans="1:7">
      <c r="A11" s="10">
        <v>45707</v>
      </c>
      <c r="B11" s="2" t="s">
        <v>142</v>
      </c>
      <c r="C11" s="3">
        <v>0</v>
      </c>
      <c r="D11" s="3">
        <v>25000</v>
      </c>
      <c r="E11" s="3">
        <f t="shared" ref="E11:E14" si="1">E10-C11+D11</f>
        <v>49760.37</v>
      </c>
      <c r="F11" s="2" t="s">
        <v>118</v>
      </c>
      <c r="G11" s="11">
        <v>27000</v>
      </c>
    </row>
    <row r="12" spans="1:6">
      <c r="A12" s="10">
        <v>45709</v>
      </c>
      <c r="B12" s="2" t="s">
        <v>145</v>
      </c>
      <c r="C12" s="3">
        <v>518</v>
      </c>
      <c r="D12" s="3">
        <v>0</v>
      </c>
      <c r="E12" s="3">
        <f t="shared" si="1"/>
        <v>49242.37</v>
      </c>
      <c r="F12" s="2" t="s">
        <v>143</v>
      </c>
    </row>
    <row r="13" spans="1:6">
      <c r="A13" s="10">
        <v>45714</v>
      </c>
      <c r="B13" s="2" t="s">
        <v>146</v>
      </c>
      <c r="C13" s="3">
        <v>6336</v>
      </c>
      <c r="D13" s="3">
        <v>0</v>
      </c>
      <c r="E13" s="3">
        <f t="shared" si="1"/>
        <v>42906.37</v>
      </c>
      <c r="F13" s="2" t="s">
        <v>6</v>
      </c>
    </row>
    <row r="14" spans="1:6">
      <c r="A14" s="10">
        <v>45716</v>
      </c>
      <c r="B14" s="2" t="s">
        <v>146</v>
      </c>
      <c r="C14" s="3">
        <v>10000</v>
      </c>
      <c r="D14" s="3">
        <v>0</v>
      </c>
      <c r="E14" s="3">
        <f t="shared" si="1"/>
        <v>32906.37</v>
      </c>
      <c r="F14" s="2" t="s">
        <v>6</v>
      </c>
    </row>
    <row r="15" spans="3:5">
      <c r="C15" s="1">
        <f>SUM(C2:C11)</f>
        <v>53835.2</v>
      </c>
      <c r="D15" s="1">
        <f>SUM(D2:D11)</f>
        <v>51300</v>
      </c>
      <c r="E15" s="1">
        <f>D15-C15</f>
        <v>-2535.2</v>
      </c>
    </row>
  </sheetData>
  <pageMargins left="0.7" right="0.7" top="0.75" bottom="0.75" header="0.3" footer="0.3"/>
  <pageSetup paperSize="1" orientation="portrait" horizontalDpi="1200" verticalDpi="1200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8"/>
  <sheetViews>
    <sheetView topLeftCell="A4" workbookViewId="0">
      <selection activeCell="A15" sqref="$A15:$XFD15"/>
    </sheetView>
  </sheetViews>
  <sheetFormatPr defaultColWidth="9" defaultRowHeight="21" outlineLevelCol="5"/>
  <cols>
    <col min="1" max="1" width="11.875" style="6" customWidth="1"/>
    <col min="2" max="2" width="17.875" customWidth="1"/>
    <col min="3" max="3" width="11.125" style="1" customWidth="1"/>
    <col min="4" max="4" width="12" style="1" customWidth="1"/>
    <col min="5" max="5" width="12.25" style="1" customWidth="1"/>
  </cols>
  <sheetData>
    <row r="1" spans="1:6">
      <c r="A1" s="7" t="s">
        <v>134</v>
      </c>
      <c r="B1" s="2" t="s">
        <v>135</v>
      </c>
      <c r="C1" s="3" t="s">
        <v>136</v>
      </c>
      <c r="D1" s="3" t="s">
        <v>137</v>
      </c>
      <c r="E1" s="3" t="s">
        <v>138</v>
      </c>
      <c r="F1" s="2" t="s">
        <v>139</v>
      </c>
    </row>
    <row r="2" spans="1:6">
      <c r="A2" s="7">
        <v>45658</v>
      </c>
      <c r="B2" s="2" t="s">
        <v>140</v>
      </c>
      <c r="C2" s="3">
        <v>0</v>
      </c>
      <c r="D2" s="3">
        <v>0</v>
      </c>
      <c r="E2" s="3">
        <v>91518.59</v>
      </c>
      <c r="F2" s="2"/>
    </row>
    <row r="3" spans="1:6">
      <c r="A3" s="4">
        <v>45658</v>
      </c>
      <c r="B3" s="2" t="s">
        <v>146</v>
      </c>
      <c r="C3" s="3">
        <v>48092</v>
      </c>
      <c r="D3" s="3">
        <v>0</v>
      </c>
      <c r="E3" s="3">
        <f>E2-C3+D3</f>
        <v>43426.59</v>
      </c>
      <c r="F3" s="2" t="s">
        <v>6</v>
      </c>
    </row>
    <row r="4" spans="1:6">
      <c r="A4" s="7">
        <v>45839</v>
      </c>
      <c r="B4" s="2" t="s">
        <v>145</v>
      </c>
      <c r="C4" s="3">
        <v>497</v>
      </c>
      <c r="D4" s="3">
        <v>0</v>
      </c>
      <c r="E4" s="3">
        <f t="shared" ref="E4:E5" si="0">E3-C4+D4</f>
        <v>42929.59</v>
      </c>
      <c r="F4" s="2" t="s">
        <v>143</v>
      </c>
    </row>
    <row r="5" spans="1:6">
      <c r="A5" s="7">
        <v>45870</v>
      </c>
      <c r="B5" s="2" t="s">
        <v>142</v>
      </c>
      <c r="C5" s="3">
        <v>0</v>
      </c>
      <c r="D5" s="3">
        <v>4017.13</v>
      </c>
      <c r="E5" s="3">
        <f t="shared" si="0"/>
        <v>46946.72</v>
      </c>
      <c r="F5" s="2" t="s">
        <v>149</v>
      </c>
    </row>
    <row r="6" spans="1:6">
      <c r="A6" s="7">
        <v>45665</v>
      </c>
      <c r="B6" s="2" t="s">
        <v>144</v>
      </c>
      <c r="C6" s="3">
        <v>1900</v>
      </c>
      <c r="D6" s="3">
        <v>0</v>
      </c>
      <c r="E6" s="3">
        <f t="shared" ref="E6:E9" si="1">E5-C6+D6</f>
        <v>45046.72</v>
      </c>
      <c r="F6" s="2" t="s">
        <v>150</v>
      </c>
    </row>
    <row r="7" spans="1:6">
      <c r="A7" s="7">
        <v>45666</v>
      </c>
      <c r="B7" s="2" t="s">
        <v>141</v>
      </c>
      <c r="C7" s="3">
        <v>1613.93</v>
      </c>
      <c r="D7" s="3">
        <v>0</v>
      </c>
      <c r="E7" s="3">
        <f t="shared" si="1"/>
        <v>43432.79</v>
      </c>
      <c r="F7" s="2" t="s">
        <v>7</v>
      </c>
    </row>
    <row r="8" spans="1:6">
      <c r="A8" s="7">
        <v>45666</v>
      </c>
      <c r="B8" s="2" t="s">
        <v>141</v>
      </c>
      <c r="C8" s="3">
        <v>22915.82</v>
      </c>
      <c r="D8" s="3">
        <v>0</v>
      </c>
      <c r="E8" s="3">
        <f t="shared" si="1"/>
        <v>20516.97</v>
      </c>
      <c r="F8" s="2" t="s">
        <v>7</v>
      </c>
    </row>
    <row r="9" spans="1:6">
      <c r="A9" s="7">
        <v>45667</v>
      </c>
      <c r="B9" s="2" t="s">
        <v>142</v>
      </c>
      <c r="C9" s="3">
        <v>4017.13</v>
      </c>
      <c r="D9" s="3">
        <v>0</v>
      </c>
      <c r="E9" s="3">
        <f t="shared" si="1"/>
        <v>16499.84</v>
      </c>
      <c r="F9" s="2" t="s">
        <v>143</v>
      </c>
    </row>
    <row r="10" spans="1:6">
      <c r="A10" s="7">
        <v>45667</v>
      </c>
      <c r="B10" s="2" t="s">
        <v>142</v>
      </c>
      <c r="C10" s="3">
        <v>0</v>
      </c>
      <c r="D10" s="3">
        <v>49500</v>
      </c>
      <c r="E10" s="3">
        <f t="shared" ref="E10:E12" si="2">E9-C10+D10</f>
        <v>65999.84</v>
      </c>
      <c r="F10" s="2" t="s">
        <v>150</v>
      </c>
    </row>
    <row r="11" spans="1:6">
      <c r="A11" s="7">
        <v>45668</v>
      </c>
      <c r="B11" s="2" t="s">
        <v>145</v>
      </c>
      <c r="C11" s="3">
        <v>904.27</v>
      </c>
      <c r="D11" s="3">
        <v>0</v>
      </c>
      <c r="E11" s="3">
        <f t="shared" si="2"/>
        <v>65095.57</v>
      </c>
      <c r="F11" s="2" t="s">
        <v>143</v>
      </c>
    </row>
    <row r="12" spans="1:6">
      <c r="A12" s="4">
        <v>45671</v>
      </c>
      <c r="B12" s="2" t="s">
        <v>146</v>
      </c>
      <c r="C12" s="3">
        <v>4100</v>
      </c>
      <c r="D12" s="3">
        <v>0</v>
      </c>
      <c r="E12" s="3">
        <f t="shared" si="2"/>
        <v>60995.57</v>
      </c>
      <c r="F12" s="2" t="s">
        <v>6</v>
      </c>
    </row>
    <row r="13" spans="1:6">
      <c r="A13" s="7">
        <v>45672</v>
      </c>
      <c r="B13" s="2" t="s">
        <v>142</v>
      </c>
      <c r="C13" s="3">
        <v>0</v>
      </c>
      <c r="D13" s="3">
        <v>1300</v>
      </c>
      <c r="E13" s="3">
        <f t="shared" ref="E13:E17" si="3">E12-C13+D13</f>
        <v>62295.57</v>
      </c>
      <c r="F13" s="2" t="s">
        <v>150</v>
      </c>
    </row>
    <row r="14" spans="1:6">
      <c r="A14" s="7">
        <v>45684</v>
      </c>
      <c r="B14" s="2" t="s">
        <v>142</v>
      </c>
      <c r="C14" s="3">
        <v>0</v>
      </c>
      <c r="D14" s="3">
        <v>10000</v>
      </c>
      <c r="E14" s="3">
        <f t="shared" si="3"/>
        <v>72295.57</v>
      </c>
      <c r="F14" s="2" t="s">
        <v>149</v>
      </c>
    </row>
    <row r="15" spans="1:6">
      <c r="A15" s="7">
        <v>45685</v>
      </c>
      <c r="B15" s="2" t="s">
        <v>144</v>
      </c>
      <c r="C15" s="3">
        <v>5000</v>
      </c>
      <c r="D15" s="3">
        <v>0</v>
      </c>
      <c r="E15" s="3">
        <f t="shared" si="3"/>
        <v>67295.57</v>
      </c>
      <c r="F15" s="2" t="s">
        <v>150</v>
      </c>
    </row>
    <row r="16" spans="1:6">
      <c r="A16" s="7">
        <v>45685</v>
      </c>
      <c r="B16" s="2" t="s">
        <v>144</v>
      </c>
      <c r="C16" s="3">
        <v>5000</v>
      </c>
      <c r="D16" s="3">
        <v>0</v>
      </c>
      <c r="E16" s="3">
        <f t="shared" ref="E16" si="4">E15-C16+D16</f>
        <v>62295.57</v>
      </c>
      <c r="F16" s="2" t="s">
        <v>150</v>
      </c>
    </row>
    <row r="17" spans="1:6">
      <c r="A17" s="4">
        <v>45688</v>
      </c>
      <c r="B17" s="2" t="s">
        <v>146</v>
      </c>
      <c r="C17" s="3">
        <v>10000</v>
      </c>
      <c r="D17" s="3">
        <v>0</v>
      </c>
      <c r="E17" s="3">
        <f t="shared" si="3"/>
        <v>52295.57</v>
      </c>
      <c r="F17" s="2" t="s">
        <v>149</v>
      </c>
    </row>
    <row r="18" spans="3:5">
      <c r="C18" s="1">
        <f>SUM(C2:C17)</f>
        <v>104040.15</v>
      </c>
      <c r="D18" s="1">
        <f>SUM(D2:D17)</f>
        <v>64817.13</v>
      </c>
      <c r="E18" s="1">
        <f>D18-C18</f>
        <v>-39223.02</v>
      </c>
    </row>
  </sheetData>
  <pageMargins left="0.7" right="0.7" top="0.75" bottom="0.75" header="0.3" footer="0.3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1"/>
  <sheetViews>
    <sheetView workbookViewId="0">
      <selection activeCell="A11" sqref="A11"/>
    </sheetView>
  </sheetViews>
  <sheetFormatPr defaultColWidth="9" defaultRowHeight="21" outlineLevelCol="5"/>
  <cols>
    <col min="1" max="1" width="11.875" style="6" customWidth="1"/>
    <col min="2" max="2" width="17.875" customWidth="1"/>
    <col min="3" max="3" width="11.125" style="1" customWidth="1"/>
    <col min="4" max="4" width="10.625" style="1" customWidth="1"/>
    <col min="5" max="5" width="12.25" style="1" customWidth="1"/>
  </cols>
  <sheetData>
    <row r="1" spans="1:6">
      <c r="A1" s="7" t="s">
        <v>134</v>
      </c>
      <c r="B1" s="2" t="s">
        <v>135</v>
      </c>
      <c r="C1" s="3" t="s">
        <v>136</v>
      </c>
      <c r="D1" s="3" t="s">
        <v>137</v>
      </c>
      <c r="E1" s="3" t="s">
        <v>138</v>
      </c>
      <c r="F1" s="2" t="s">
        <v>139</v>
      </c>
    </row>
    <row r="2" spans="1:6">
      <c r="A2" s="7">
        <v>45992</v>
      </c>
      <c r="B2" s="2" t="s">
        <v>140</v>
      </c>
      <c r="C2" s="3">
        <v>0</v>
      </c>
      <c r="D2" s="3">
        <v>0</v>
      </c>
      <c r="E2" s="3">
        <v>118918.17</v>
      </c>
      <c r="F2" s="2"/>
    </row>
    <row r="3" spans="1:6">
      <c r="A3" s="7">
        <v>45997</v>
      </c>
      <c r="B3" s="2" t="s">
        <v>145</v>
      </c>
      <c r="C3" s="3">
        <v>192</v>
      </c>
      <c r="D3" s="3">
        <v>0</v>
      </c>
      <c r="E3" s="3">
        <f>E2-C3+D3</f>
        <v>118726.17</v>
      </c>
      <c r="F3" s="2" t="s">
        <v>143</v>
      </c>
    </row>
    <row r="4" spans="1:6">
      <c r="A4" s="7">
        <v>46000</v>
      </c>
      <c r="B4" s="2" t="s">
        <v>142</v>
      </c>
      <c r="C4" s="3">
        <v>0</v>
      </c>
      <c r="D4" s="3">
        <v>3000</v>
      </c>
      <c r="E4" s="3">
        <f t="shared" ref="E4:E7" si="0">E3-C4+D4</f>
        <v>121726.17</v>
      </c>
      <c r="F4" s="2" t="s">
        <v>143</v>
      </c>
    </row>
    <row r="5" spans="1:6">
      <c r="A5" s="7">
        <v>46001</v>
      </c>
      <c r="B5" s="2" t="s">
        <v>141</v>
      </c>
      <c r="C5" s="3">
        <v>1613.93</v>
      </c>
      <c r="D5" s="3">
        <v>0</v>
      </c>
      <c r="E5" s="3">
        <f t="shared" si="0"/>
        <v>120112.24</v>
      </c>
      <c r="F5" s="2" t="s">
        <v>7</v>
      </c>
    </row>
    <row r="6" spans="1:6">
      <c r="A6" s="7">
        <v>46001</v>
      </c>
      <c r="B6" s="2" t="s">
        <v>141</v>
      </c>
      <c r="C6" s="3">
        <v>19175.65</v>
      </c>
      <c r="D6" s="3">
        <v>0</v>
      </c>
      <c r="E6" s="3">
        <f t="shared" si="0"/>
        <v>100936.59</v>
      </c>
      <c r="F6" s="2" t="s">
        <v>7</v>
      </c>
    </row>
    <row r="7" spans="1:6">
      <c r="A7" s="7">
        <v>46005</v>
      </c>
      <c r="B7" s="2" t="s">
        <v>145</v>
      </c>
      <c r="C7" s="3">
        <v>660.79</v>
      </c>
      <c r="D7" s="3">
        <v>0</v>
      </c>
      <c r="E7" s="3">
        <f t="shared" si="0"/>
        <v>100275.8</v>
      </c>
      <c r="F7" s="2" t="s">
        <v>143</v>
      </c>
    </row>
    <row r="8" spans="1:6">
      <c r="A8" s="7">
        <v>46006</v>
      </c>
      <c r="B8" s="2" t="s">
        <v>142</v>
      </c>
      <c r="C8" s="3">
        <v>0</v>
      </c>
      <c r="D8" s="3">
        <v>1300</v>
      </c>
      <c r="E8" s="3">
        <f t="shared" ref="E8:E11" si="1">E7-C8+D8</f>
        <v>101575.8</v>
      </c>
      <c r="F8" s="2" t="s">
        <v>150</v>
      </c>
    </row>
    <row r="9" spans="1:6">
      <c r="A9" s="7">
        <v>46016</v>
      </c>
      <c r="B9" s="2" t="s">
        <v>151</v>
      </c>
      <c r="C9" s="3">
        <v>0</v>
      </c>
      <c r="D9" s="3">
        <v>242.79</v>
      </c>
      <c r="E9" s="3">
        <f t="shared" si="1"/>
        <v>101818.59</v>
      </c>
      <c r="F9" s="2" t="s">
        <v>152</v>
      </c>
    </row>
    <row r="10" spans="1:6">
      <c r="A10" s="6">
        <v>46022</v>
      </c>
      <c r="B10" s="8" t="s">
        <v>153</v>
      </c>
      <c r="C10" s="1">
        <v>300</v>
      </c>
      <c r="D10" s="1">
        <v>0</v>
      </c>
      <c r="E10" s="3">
        <f t="shared" si="1"/>
        <v>101518.59</v>
      </c>
      <c r="F10" t="s">
        <v>143</v>
      </c>
    </row>
    <row r="11" spans="1:6">
      <c r="A11" s="4">
        <v>45596</v>
      </c>
      <c r="B11" s="2" t="s">
        <v>146</v>
      </c>
      <c r="C11" s="3">
        <v>10000</v>
      </c>
      <c r="D11" s="3">
        <v>0</v>
      </c>
      <c r="E11" s="3">
        <f t="shared" si="1"/>
        <v>91518.59</v>
      </c>
      <c r="F11" s="2" t="s">
        <v>149</v>
      </c>
    </row>
  </sheetData>
  <pageMargins left="0.7" right="0.7" top="0.75" bottom="0.75" header="0.3" footer="0.3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8"/>
  <sheetViews>
    <sheetView workbookViewId="0">
      <selection activeCell="E3" sqref="E3"/>
    </sheetView>
  </sheetViews>
  <sheetFormatPr defaultColWidth="9" defaultRowHeight="21" outlineLevelRow="7" outlineLevelCol="5"/>
  <cols>
    <col min="1" max="1" width="11.875" customWidth="1"/>
    <col min="2" max="2" width="17.875" customWidth="1"/>
    <col min="3" max="3" width="11.125" style="1" customWidth="1"/>
    <col min="4" max="4" width="10.625" style="1" customWidth="1"/>
    <col min="5" max="5" width="12.25" style="1" customWidth="1"/>
  </cols>
  <sheetData>
    <row r="1" spans="1:6">
      <c r="A1" s="2" t="s">
        <v>134</v>
      </c>
      <c r="B1" s="2" t="s">
        <v>135</v>
      </c>
      <c r="C1" s="3" t="s">
        <v>136</v>
      </c>
      <c r="D1" s="3" t="s">
        <v>137</v>
      </c>
      <c r="E1" s="3" t="s">
        <v>138</v>
      </c>
      <c r="F1" s="2" t="s">
        <v>139</v>
      </c>
    </row>
    <row r="2" spans="1:6">
      <c r="A2" s="4">
        <v>45597</v>
      </c>
      <c r="B2" s="2" t="s">
        <v>140</v>
      </c>
      <c r="C2" s="3">
        <v>0</v>
      </c>
      <c r="D2" s="3">
        <v>0</v>
      </c>
      <c r="E2" s="3">
        <v>141717.12</v>
      </c>
      <c r="F2" s="2"/>
    </row>
    <row r="3" spans="1:6">
      <c r="A3" s="4">
        <v>45605</v>
      </c>
      <c r="B3" s="2" t="s">
        <v>141</v>
      </c>
      <c r="C3" s="3">
        <v>1613.93</v>
      </c>
      <c r="D3" s="3">
        <v>0</v>
      </c>
      <c r="E3" s="3">
        <f>E2-C3+D3</f>
        <v>140103.19</v>
      </c>
      <c r="F3" s="2" t="s">
        <v>7</v>
      </c>
    </row>
    <row r="4" spans="1:6">
      <c r="A4" s="4">
        <v>45605</v>
      </c>
      <c r="B4" s="2" t="s">
        <v>141</v>
      </c>
      <c r="C4" s="3">
        <v>22118.67</v>
      </c>
      <c r="D4" s="3">
        <v>0</v>
      </c>
      <c r="E4" s="3">
        <f t="shared" ref="E4:E8" si="0">E3-C4+D4</f>
        <v>117984.52</v>
      </c>
      <c r="F4" s="2" t="s">
        <v>7</v>
      </c>
    </row>
    <row r="5" spans="1:6">
      <c r="A5" s="4">
        <v>45607</v>
      </c>
      <c r="B5" s="2" t="s">
        <v>142</v>
      </c>
      <c r="C5" s="3">
        <v>0</v>
      </c>
      <c r="D5" s="3">
        <v>1300</v>
      </c>
      <c r="E5" s="3">
        <f t="shared" si="0"/>
        <v>119284.52</v>
      </c>
      <c r="F5" s="2" t="s">
        <v>150</v>
      </c>
    </row>
    <row r="6" spans="1:6">
      <c r="A6" s="5">
        <v>45609</v>
      </c>
      <c r="B6" t="s">
        <v>154</v>
      </c>
      <c r="C6" s="1">
        <v>330</v>
      </c>
      <c r="D6" s="1">
        <v>0</v>
      </c>
      <c r="E6" s="3">
        <f t="shared" si="0"/>
        <v>118954.52</v>
      </c>
      <c r="F6" t="s">
        <v>143</v>
      </c>
    </row>
    <row r="7" spans="1:6">
      <c r="A7" s="5">
        <v>45614</v>
      </c>
      <c r="B7" t="s">
        <v>154</v>
      </c>
      <c r="C7" s="1">
        <v>518</v>
      </c>
      <c r="D7" s="1">
        <v>0</v>
      </c>
      <c r="E7" s="3">
        <f t="shared" si="0"/>
        <v>118436.52</v>
      </c>
      <c r="F7" t="s">
        <v>143</v>
      </c>
    </row>
    <row r="8" spans="1:6">
      <c r="A8" s="4">
        <v>45596</v>
      </c>
      <c r="B8" s="2" t="s">
        <v>142</v>
      </c>
      <c r="C8" s="3">
        <v>0</v>
      </c>
      <c r="D8" s="3">
        <v>481.65</v>
      </c>
      <c r="E8" s="3">
        <f t="shared" si="0"/>
        <v>118918.17</v>
      </c>
      <c r="F8" s="2"/>
    </row>
  </sheetData>
  <pageMargins left="0.7" right="0.7" top="0.75" bottom="0.75" header="0.3" footer="0.3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1"/>
  <sheetViews>
    <sheetView workbookViewId="0">
      <selection activeCell="A11" sqref="$A11:$XFD11"/>
    </sheetView>
  </sheetViews>
  <sheetFormatPr defaultColWidth="9" defaultRowHeight="21" outlineLevelCol="5"/>
  <cols>
    <col min="1" max="1" width="10.25" customWidth="1"/>
    <col min="2" max="2" width="17.875" customWidth="1"/>
    <col min="3" max="3" width="11.125" style="1" customWidth="1"/>
    <col min="4" max="5" width="10.625" style="1" customWidth="1"/>
  </cols>
  <sheetData>
    <row r="1" spans="1:6">
      <c r="A1" s="2" t="s">
        <v>134</v>
      </c>
      <c r="B1" s="2" t="s">
        <v>135</v>
      </c>
      <c r="C1" s="3" t="s">
        <v>136</v>
      </c>
      <c r="D1" s="3" t="s">
        <v>137</v>
      </c>
      <c r="E1" s="3" t="s">
        <v>138</v>
      </c>
      <c r="F1" s="2" t="s">
        <v>139</v>
      </c>
    </row>
    <row r="2" spans="1:6">
      <c r="A2" s="4">
        <v>45566</v>
      </c>
      <c r="B2" s="2" t="s">
        <v>140</v>
      </c>
      <c r="C2" s="3">
        <v>0</v>
      </c>
      <c r="D2" s="3">
        <v>0</v>
      </c>
      <c r="E2" s="3">
        <v>188426.47</v>
      </c>
      <c r="F2" s="2"/>
    </row>
    <row r="3" spans="1:6">
      <c r="A3" s="5">
        <v>45566</v>
      </c>
      <c r="B3" t="s">
        <v>154</v>
      </c>
      <c r="C3" s="1">
        <v>5000</v>
      </c>
      <c r="D3" s="1">
        <v>0</v>
      </c>
      <c r="E3" s="3">
        <f t="shared" ref="E3:E9" si="0">E2-C3+D3</f>
        <v>183426.47</v>
      </c>
      <c r="F3" t="s">
        <v>143</v>
      </c>
    </row>
    <row r="4" spans="1:6">
      <c r="A4" s="5">
        <v>45572</v>
      </c>
      <c r="B4" t="s">
        <v>145</v>
      </c>
      <c r="C4" s="1">
        <v>639.86</v>
      </c>
      <c r="D4" s="1">
        <v>0</v>
      </c>
      <c r="E4" s="3">
        <f t="shared" si="0"/>
        <v>182786.61</v>
      </c>
      <c r="F4" t="s">
        <v>143</v>
      </c>
    </row>
    <row r="5" spans="1:6">
      <c r="A5" s="4">
        <v>45575</v>
      </c>
      <c r="B5" s="2" t="s">
        <v>141</v>
      </c>
      <c r="C5" s="3">
        <v>2224.86</v>
      </c>
      <c r="D5" s="3">
        <v>0</v>
      </c>
      <c r="E5" s="3">
        <f t="shared" si="0"/>
        <v>180561.75</v>
      </c>
      <c r="F5" s="2" t="s">
        <v>7</v>
      </c>
    </row>
    <row r="6" spans="1:6">
      <c r="A6" s="4">
        <v>45575</v>
      </c>
      <c r="B6" s="2" t="s">
        <v>141</v>
      </c>
      <c r="C6" s="3">
        <v>14381.63</v>
      </c>
      <c r="D6" s="3">
        <v>0</v>
      </c>
      <c r="E6" s="3">
        <f t="shared" si="0"/>
        <v>166180.12</v>
      </c>
      <c r="F6" s="2" t="s">
        <v>7</v>
      </c>
    </row>
    <row r="7" spans="1:6">
      <c r="A7" s="4">
        <v>45576</v>
      </c>
      <c r="B7" s="2" t="s">
        <v>142</v>
      </c>
      <c r="C7" s="3">
        <v>0</v>
      </c>
      <c r="D7" s="3">
        <v>1300</v>
      </c>
      <c r="E7" s="3">
        <f t="shared" si="0"/>
        <v>167480.12</v>
      </c>
      <c r="F7" s="2" t="s">
        <v>150</v>
      </c>
    </row>
    <row r="8" spans="1:6">
      <c r="A8" s="5">
        <v>45581</v>
      </c>
      <c r="B8" t="s">
        <v>154</v>
      </c>
      <c r="C8" s="1">
        <v>245</v>
      </c>
      <c r="D8" s="1">
        <v>0</v>
      </c>
      <c r="E8" s="3">
        <f t="shared" si="0"/>
        <v>167235.12</v>
      </c>
      <c r="F8" t="s">
        <v>143</v>
      </c>
    </row>
    <row r="9" spans="1:6">
      <c r="A9" s="5">
        <v>45582</v>
      </c>
      <c r="B9" t="s">
        <v>154</v>
      </c>
      <c r="C9" s="1">
        <v>15000</v>
      </c>
      <c r="D9" s="1">
        <v>0</v>
      </c>
      <c r="E9" s="3">
        <f t="shared" si="0"/>
        <v>152235.12</v>
      </c>
      <c r="F9" t="s">
        <v>143</v>
      </c>
    </row>
    <row r="10" spans="1:6">
      <c r="A10" s="5">
        <v>45581</v>
      </c>
      <c r="B10" t="s">
        <v>145</v>
      </c>
      <c r="C10" s="1">
        <v>518</v>
      </c>
      <c r="D10" s="1">
        <v>0</v>
      </c>
      <c r="E10" s="3">
        <f t="shared" ref="E10:E11" si="1">E9-C10+D10</f>
        <v>151717.12</v>
      </c>
      <c r="F10" t="s">
        <v>143</v>
      </c>
    </row>
    <row r="11" spans="1:6">
      <c r="A11" s="4">
        <v>45596</v>
      </c>
      <c r="B11" s="2" t="s">
        <v>146</v>
      </c>
      <c r="C11" s="3">
        <v>10000</v>
      </c>
      <c r="D11" s="3">
        <v>0</v>
      </c>
      <c r="E11" s="3">
        <f t="shared" si="1"/>
        <v>141717.12</v>
      </c>
      <c r="F11" s="2" t="s">
        <v>149</v>
      </c>
    </row>
  </sheetData>
  <pageMargins left="0.7" right="0.7" top="0.75" bottom="0.75" header="0.3" footer="0.3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4"/>
  <sheetViews>
    <sheetView topLeftCell="A10" workbookViewId="0">
      <selection activeCell="B14" sqref="B14"/>
    </sheetView>
  </sheetViews>
  <sheetFormatPr defaultColWidth="9" defaultRowHeight="21" outlineLevelCol="5"/>
  <cols>
    <col min="1" max="1" width="10.25" customWidth="1"/>
    <col min="2" max="2" width="17.875" customWidth="1"/>
    <col min="3" max="5" width="10.625" style="1" customWidth="1"/>
  </cols>
  <sheetData>
    <row r="1" spans="1:6">
      <c r="A1" s="2" t="s">
        <v>134</v>
      </c>
      <c r="B1" s="2" t="s">
        <v>135</v>
      </c>
      <c r="C1" s="3" t="s">
        <v>136</v>
      </c>
      <c r="D1" s="3" t="s">
        <v>137</v>
      </c>
      <c r="E1" s="3" t="s">
        <v>138</v>
      </c>
      <c r="F1" s="2" t="s">
        <v>139</v>
      </c>
    </row>
    <row r="2" spans="1:6">
      <c r="A2" s="4">
        <v>45536</v>
      </c>
      <c r="B2" s="2" t="s">
        <v>140</v>
      </c>
      <c r="C2" s="3">
        <v>0</v>
      </c>
      <c r="D2" s="3">
        <v>0</v>
      </c>
      <c r="E2" s="3">
        <v>100666.74</v>
      </c>
      <c r="F2" s="2"/>
    </row>
    <row r="3" spans="1:6">
      <c r="A3" s="5">
        <v>45538</v>
      </c>
      <c r="B3" t="s">
        <v>154</v>
      </c>
      <c r="C3" s="1">
        <v>500</v>
      </c>
      <c r="D3" s="1">
        <v>0</v>
      </c>
      <c r="E3" s="3">
        <f t="shared" ref="E3" si="0">E2-C3+D3</f>
        <v>100166.74</v>
      </c>
      <c r="F3" t="s">
        <v>143</v>
      </c>
    </row>
    <row r="4" spans="1:6">
      <c r="A4" s="5">
        <v>45539</v>
      </c>
      <c r="B4" t="s">
        <v>154</v>
      </c>
      <c r="C4" s="1">
        <v>100</v>
      </c>
      <c r="D4" s="1">
        <v>0</v>
      </c>
      <c r="E4" s="3">
        <f t="shared" ref="E4:E5" si="1">E3-C4+D4</f>
        <v>100066.74</v>
      </c>
      <c r="F4" t="s">
        <v>143</v>
      </c>
    </row>
    <row r="5" spans="1:6">
      <c r="A5" s="4">
        <v>45544</v>
      </c>
      <c r="B5" s="2" t="s">
        <v>141</v>
      </c>
      <c r="C5" s="3">
        <v>393</v>
      </c>
      <c r="D5" s="3">
        <v>0</v>
      </c>
      <c r="E5" s="3">
        <f t="shared" si="1"/>
        <v>99673.74</v>
      </c>
      <c r="F5" s="2" t="s">
        <v>7</v>
      </c>
    </row>
    <row r="6" spans="1:6">
      <c r="A6" s="4">
        <v>45544</v>
      </c>
      <c r="B6" s="2" t="s">
        <v>141</v>
      </c>
      <c r="C6" s="3">
        <v>27661.77</v>
      </c>
      <c r="D6" s="3">
        <v>0</v>
      </c>
      <c r="E6" s="3">
        <f t="shared" ref="E6:E10" si="2">E5-C6+D6</f>
        <v>72011.97</v>
      </c>
      <c r="F6" s="2" t="s">
        <v>7</v>
      </c>
    </row>
    <row r="7" spans="1:6">
      <c r="A7" s="4">
        <v>45545</v>
      </c>
      <c r="B7" s="2" t="s">
        <v>145</v>
      </c>
      <c r="C7" s="3">
        <v>901.06</v>
      </c>
      <c r="D7" s="3">
        <v>0</v>
      </c>
      <c r="E7" s="3">
        <f t="shared" si="2"/>
        <v>71110.91</v>
      </c>
      <c r="F7" s="2" t="s">
        <v>155</v>
      </c>
    </row>
    <row r="8" spans="1:6">
      <c r="A8" s="4">
        <v>45545</v>
      </c>
      <c r="B8" s="2" t="s">
        <v>142</v>
      </c>
      <c r="C8" s="3">
        <v>40000</v>
      </c>
      <c r="D8" s="3">
        <v>0</v>
      </c>
      <c r="E8" s="3">
        <f t="shared" si="2"/>
        <v>31110.91</v>
      </c>
      <c r="F8" s="2" t="s">
        <v>156</v>
      </c>
    </row>
    <row r="9" spans="1:6">
      <c r="A9" s="4">
        <v>45545</v>
      </c>
      <c r="B9" s="2" t="s">
        <v>142</v>
      </c>
      <c r="C9" s="3">
        <v>0</v>
      </c>
      <c r="D9" s="3">
        <v>1300</v>
      </c>
      <c r="E9" s="3">
        <f t="shared" si="2"/>
        <v>32410.91</v>
      </c>
      <c r="F9" s="2" t="s">
        <v>150</v>
      </c>
    </row>
    <row r="10" spans="1:6">
      <c r="A10" s="5">
        <v>45546</v>
      </c>
      <c r="B10" t="s">
        <v>154</v>
      </c>
      <c r="C10" s="1">
        <v>861.84</v>
      </c>
      <c r="D10" s="1">
        <v>0</v>
      </c>
      <c r="E10" s="3">
        <f t="shared" si="2"/>
        <v>31549.07</v>
      </c>
      <c r="F10" t="s">
        <v>143</v>
      </c>
    </row>
    <row r="11" spans="1:6">
      <c r="A11" s="5">
        <v>45546</v>
      </c>
      <c r="B11" t="s">
        <v>154</v>
      </c>
      <c r="C11" s="1">
        <v>3079.2</v>
      </c>
      <c r="D11" s="1">
        <v>0</v>
      </c>
      <c r="E11" s="3">
        <f t="shared" ref="E11:E12" si="3">E10-C11+D11</f>
        <v>28469.87</v>
      </c>
      <c r="F11" t="s">
        <v>143</v>
      </c>
    </row>
    <row r="12" spans="1:6">
      <c r="A12" s="4">
        <v>45547</v>
      </c>
      <c r="B12" s="2" t="s">
        <v>147</v>
      </c>
      <c r="C12" s="3">
        <v>0</v>
      </c>
      <c r="D12" s="3">
        <v>2956.6</v>
      </c>
      <c r="E12" s="3">
        <f t="shared" si="3"/>
        <v>31426.47</v>
      </c>
      <c r="F12" s="2" t="s">
        <v>6</v>
      </c>
    </row>
    <row r="13" spans="1:6">
      <c r="A13" s="4">
        <v>45547</v>
      </c>
      <c r="B13" s="2" t="s">
        <v>157</v>
      </c>
      <c r="C13" s="3">
        <v>0</v>
      </c>
      <c r="D13" s="3">
        <v>167000</v>
      </c>
      <c r="E13" s="3">
        <f t="shared" ref="E13:E14" si="4">E12-C13+D13</f>
        <v>198426.47</v>
      </c>
      <c r="F13" s="2" t="s">
        <v>6</v>
      </c>
    </row>
    <row r="14" spans="1:6">
      <c r="A14" s="4">
        <v>45565</v>
      </c>
      <c r="B14" s="2" t="s">
        <v>146</v>
      </c>
      <c r="C14" s="3">
        <v>10000</v>
      </c>
      <c r="D14" s="3">
        <v>0</v>
      </c>
      <c r="E14" s="3">
        <f t="shared" si="4"/>
        <v>188426.47</v>
      </c>
      <c r="F14" s="2" t="s">
        <v>149</v>
      </c>
    </row>
  </sheetData>
  <pageMargins left="0.7" right="0.7" top="0.75" bottom="0.75" header="0.3" footer="0.3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1"/>
  <sheetViews>
    <sheetView workbookViewId="0">
      <selection activeCell="H2" sqref="H2"/>
    </sheetView>
  </sheetViews>
  <sheetFormatPr defaultColWidth="9" defaultRowHeight="21" outlineLevelCol="5"/>
  <cols>
    <col min="1" max="1" width="10.25" customWidth="1"/>
    <col min="2" max="2" width="17.875" customWidth="1"/>
    <col min="3" max="5" width="10.625" style="1" customWidth="1"/>
  </cols>
  <sheetData>
    <row r="1" spans="1:6">
      <c r="A1" s="2" t="s">
        <v>134</v>
      </c>
      <c r="B1" s="2" t="s">
        <v>135</v>
      </c>
      <c r="C1" s="3" t="s">
        <v>136</v>
      </c>
      <c r="D1" s="3" t="s">
        <v>137</v>
      </c>
      <c r="E1" s="3" t="s">
        <v>138</v>
      </c>
      <c r="F1" s="2" t="s">
        <v>139</v>
      </c>
    </row>
    <row r="2" spans="1:6">
      <c r="A2" s="4">
        <v>45505</v>
      </c>
      <c r="B2" s="2" t="s">
        <v>140</v>
      </c>
      <c r="C2" s="3">
        <v>0</v>
      </c>
      <c r="D2" s="3">
        <v>0</v>
      </c>
      <c r="E2" s="3">
        <v>95468.79</v>
      </c>
      <c r="F2" s="2"/>
    </row>
    <row r="3" spans="1:6">
      <c r="A3" s="4">
        <v>45513</v>
      </c>
      <c r="B3" s="2" t="s">
        <v>141</v>
      </c>
      <c r="C3" s="3">
        <v>1033.93</v>
      </c>
      <c r="D3" s="3">
        <v>0</v>
      </c>
      <c r="E3" s="3">
        <f>E2-C3+D3</f>
        <v>94434.86</v>
      </c>
      <c r="F3" s="2" t="s">
        <v>7</v>
      </c>
    </row>
    <row r="4" spans="1:6">
      <c r="A4" s="4">
        <v>45513</v>
      </c>
      <c r="B4" s="2" t="s">
        <v>141</v>
      </c>
      <c r="C4" s="3">
        <v>32201.26</v>
      </c>
      <c r="D4" s="3">
        <v>0</v>
      </c>
      <c r="E4" s="3">
        <f t="shared" ref="E4:E7" si="0">E3-C4+D4</f>
        <v>62233.6</v>
      </c>
      <c r="F4" s="2" t="s">
        <v>7</v>
      </c>
    </row>
    <row r="5" spans="1:6">
      <c r="A5" s="4">
        <v>45514</v>
      </c>
      <c r="B5" s="2" t="s">
        <v>145</v>
      </c>
      <c r="C5" s="3">
        <v>943.86</v>
      </c>
      <c r="D5" s="3">
        <v>0</v>
      </c>
      <c r="E5" s="3">
        <f t="shared" si="0"/>
        <v>61289.74</v>
      </c>
      <c r="F5" s="2" t="s">
        <v>155</v>
      </c>
    </row>
    <row r="6" spans="1:6">
      <c r="A6" s="4">
        <v>45514</v>
      </c>
      <c r="B6" s="2" t="s">
        <v>142</v>
      </c>
      <c r="C6" s="3">
        <v>0</v>
      </c>
      <c r="D6" s="3">
        <v>40000</v>
      </c>
      <c r="E6" s="3">
        <f t="shared" si="0"/>
        <v>101289.74</v>
      </c>
      <c r="F6" s="2" t="s">
        <v>156</v>
      </c>
    </row>
    <row r="7" spans="1:6">
      <c r="A7" s="5">
        <f>A6+3</f>
        <v>45517</v>
      </c>
      <c r="B7" t="s">
        <v>154</v>
      </c>
      <c r="C7" s="1">
        <v>60</v>
      </c>
      <c r="D7" s="1">
        <v>0</v>
      </c>
      <c r="E7" s="3">
        <f t="shared" si="0"/>
        <v>101229.74</v>
      </c>
      <c r="F7" t="s">
        <v>143</v>
      </c>
    </row>
    <row r="8" spans="1:6">
      <c r="A8" s="4">
        <v>45522</v>
      </c>
      <c r="B8" s="2" t="s">
        <v>142</v>
      </c>
      <c r="C8" s="3">
        <v>0</v>
      </c>
      <c r="D8" s="3">
        <v>1300</v>
      </c>
      <c r="E8" s="3">
        <f t="shared" ref="E8:E10" si="1">E7-C8+D8</f>
        <v>102529.74</v>
      </c>
      <c r="F8" s="2" t="s">
        <v>150</v>
      </c>
    </row>
    <row r="9" spans="1:6">
      <c r="A9" s="5">
        <v>45525</v>
      </c>
      <c r="B9" t="s">
        <v>154</v>
      </c>
      <c r="C9" s="1">
        <v>500</v>
      </c>
      <c r="D9" s="1">
        <v>0</v>
      </c>
      <c r="E9" s="3">
        <f t="shared" si="1"/>
        <v>102029.74</v>
      </c>
      <c r="F9" t="s">
        <v>143</v>
      </c>
    </row>
    <row r="10" spans="1:6">
      <c r="A10" s="4">
        <v>45531</v>
      </c>
      <c r="B10" s="2" t="s">
        <v>146</v>
      </c>
      <c r="C10" s="3">
        <v>26363</v>
      </c>
      <c r="D10" s="3">
        <v>0</v>
      </c>
      <c r="E10" s="3">
        <f t="shared" si="1"/>
        <v>75666.74</v>
      </c>
      <c r="F10" s="2" t="s">
        <v>150</v>
      </c>
    </row>
    <row r="11" spans="1:6">
      <c r="A11" s="4">
        <v>45533</v>
      </c>
      <c r="B11" s="2" t="s">
        <v>142</v>
      </c>
      <c r="C11" s="3">
        <v>0</v>
      </c>
      <c r="D11" s="3">
        <v>25000</v>
      </c>
      <c r="E11" s="3">
        <f t="shared" ref="E11" si="2">E10-C11+D11</f>
        <v>100666.74</v>
      </c>
      <c r="F11" s="2" t="s">
        <v>150</v>
      </c>
    </row>
  </sheetData>
  <pageMargins left="0.7" right="0.7" top="0.75" bottom="0.75" header="0.3" footer="0.3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0"/>
  <sheetViews>
    <sheetView workbookViewId="0">
      <selection activeCell="A10" sqref="$A10:$XFD10"/>
    </sheetView>
  </sheetViews>
  <sheetFormatPr defaultColWidth="9" defaultRowHeight="21" outlineLevelCol="5"/>
  <cols>
    <col min="2" max="2" width="17.875" customWidth="1"/>
    <col min="3" max="3" width="11.125" style="1" customWidth="1"/>
    <col min="4" max="4" width="10.625" style="1" customWidth="1"/>
    <col min="5" max="5" width="12.25" style="1" customWidth="1"/>
  </cols>
  <sheetData>
    <row r="1" spans="1:6">
      <c r="A1" s="2" t="s">
        <v>134</v>
      </c>
      <c r="B1" s="2" t="s">
        <v>135</v>
      </c>
      <c r="C1" s="3" t="s">
        <v>136</v>
      </c>
      <c r="D1" s="3" t="s">
        <v>137</v>
      </c>
      <c r="E1" s="3" t="s">
        <v>138</v>
      </c>
      <c r="F1" s="2" t="s">
        <v>139</v>
      </c>
    </row>
    <row r="2" spans="1:6">
      <c r="A2" s="4">
        <v>45474</v>
      </c>
      <c r="B2" s="2" t="s">
        <v>140</v>
      </c>
      <c r="C2" s="3">
        <v>0</v>
      </c>
      <c r="D2" s="3">
        <v>0</v>
      </c>
      <c r="E2" s="3">
        <v>157659.9</v>
      </c>
      <c r="F2" s="2"/>
    </row>
    <row r="3" spans="1:6">
      <c r="A3" s="4">
        <v>45480</v>
      </c>
      <c r="B3" s="2" t="s">
        <v>146</v>
      </c>
      <c r="C3" s="3">
        <v>7200</v>
      </c>
      <c r="D3" s="3">
        <v>0</v>
      </c>
      <c r="E3" s="3">
        <f>E2-C3+D3</f>
        <v>150459.9</v>
      </c>
      <c r="F3" s="2" t="s">
        <v>22</v>
      </c>
    </row>
    <row r="4" spans="1:6">
      <c r="A4" s="4">
        <v>45480</v>
      </c>
      <c r="B4" s="2" t="s">
        <v>146</v>
      </c>
      <c r="C4" s="3">
        <v>21390</v>
      </c>
      <c r="D4" s="3">
        <v>0</v>
      </c>
      <c r="E4" s="3">
        <f>E3-C4+D4</f>
        <v>129069.9</v>
      </c>
      <c r="F4" s="2" t="s">
        <v>158</v>
      </c>
    </row>
    <row r="5" spans="1:6">
      <c r="A5" s="4">
        <v>45481</v>
      </c>
      <c r="B5" s="2" t="s">
        <v>147</v>
      </c>
      <c r="C5" s="3">
        <v>0</v>
      </c>
      <c r="D5" s="3">
        <v>3973.46</v>
      </c>
      <c r="E5" s="3">
        <f t="shared" ref="E5:E6" si="0">E4-C5+D5</f>
        <v>133043.36</v>
      </c>
      <c r="F5" s="2" t="s">
        <v>159</v>
      </c>
    </row>
    <row r="6" spans="1:6">
      <c r="A6" s="4">
        <v>45483</v>
      </c>
      <c r="B6" s="2" t="s">
        <v>141</v>
      </c>
      <c r="C6" s="3">
        <v>1674.86</v>
      </c>
      <c r="D6" s="3">
        <v>0</v>
      </c>
      <c r="E6" s="3">
        <f t="shared" si="0"/>
        <v>131368.5</v>
      </c>
      <c r="F6" s="2" t="s">
        <v>152</v>
      </c>
    </row>
    <row r="7" spans="1:6">
      <c r="A7" s="4">
        <v>45483</v>
      </c>
      <c r="B7" s="2" t="s">
        <v>141</v>
      </c>
      <c r="C7" s="3">
        <v>26681.71</v>
      </c>
      <c r="D7" s="3">
        <v>0</v>
      </c>
      <c r="E7" s="3">
        <f t="shared" ref="E7:E10" si="1">E6-C7+D7</f>
        <v>104686.79</v>
      </c>
      <c r="F7" s="2" t="s">
        <v>7</v>
      </c>
    </row>
    <row r="8" spans="1:6">
      <c r="A8" s="4">
        <v>45483</v>
      </c>
      <c r="B8" s="2" t="s">
        <v>145</v>
      </c>
      <c r="C8" s="3">
        <v>518</v>
      </c>
      <c r="D8" s="3">
        <v>0</v>
      </c>
      <c r="E8" s="3">
        <f t="shared" si="1"/>
        <v>104168.79</v>
      </c>
      <c r="F8" s="2" t="s">
        <v>160</v>
      </c>
    </row>
    <row r="9" spans="1:6">
      <c r="A9" s="4">
        <v>45488</v>
      </c>
      <c r="B9" s="2" t="s">
        <v>142</v>
      </c>
      <c r="C9" s="3">
        <v>0</v>
      </c>
      <c r="D9" s="3">
        <v>1300</v>
      </c>
      <c r="E9" s="3">
        <f t="shared" si="1"/>
        <v>105468.79</v>
      </c>
      <c r="F9" s="2" t="s">
        <v>150</v>
      </c>
    </row>
    <row r="10" spans="1:6">
      <c r="A10" s="4">
        <v>45504</v>
      </c>
      <c r="B10" s="2" t="s">
        <v>146</v>
      </c>
      <c r="C10" s="3">
        <v>10000</v>
      </c>
      <c r="D10" s="3">
        <v>0</v>
      </c>
      <c r="E10" s="3">
        <f t="shared" si="1"/>
        <v>95468.79</v>
      </c>
      <c r="F10" s="2" t="s">
        <v>149</v>
      </c>
    </row>
  </sheetData>
  <pageMargins left="0.7" right="0.7" top="0.75" bottom="0.75" header="0.3" footer="0.3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2"/>
  <sheetViews>
    <sheetView topLeftCell="A16" workbookViewId="0">
      <selection activeCell="A22" sqref="$A22:$XFD22"/>
    </sheetView>
  </sheetViews>
  <sheetFormatPr defaultColWidth="9" defaultRowHeight="21" outlineLevelCol="5"/>
  <cols>
    <col min="1" max="1" width="11.375" customWidth="1"/>
    <col min="2" max="2" width="17.875" customWidth="1"/>
    <col min="3" max="3" width="11.125" style="1" customWidth="1"/>
    <col min="4" max="5" width="12.25" style="1" customWidth="1"/>
  </cols>
  <sheetData>
    <row r="1" spans="1:6">
      <c r="A1" s="2" t="s">
        <v>134</v>
      </c>
      <c r="B1" s="2" t="s">
        <v>135</v>
      </c>
      <c r="C1" s="3" t="s">
        <v>136</v>
      </c>
      <c r="D1" s="3" t="s">
        <v>137</v>
      </c>
      <c r="E1" s="3" t="s">
        <v>138</v>
      </c>
      <c r="F1" s="2" t="s">
        <v>139</v>
      </c>
    </row>
    <row r="2" spans="1:6">
      <c r="A2" s="4">
        <v>45444</v>
      </c>
      <c r="B2" s="2" t="s">
        <v>140</v>
      </c>
      <c r="C2" s="3">
        <v>0</v>
      </c>
      <c r="D2" s="3">
        <v>0</v>
      </c>
      <c r="E2" s="3">
        <v>30879.11</v>
      </c>
      <c r="F2" s="2"/>
    </row>
    <row r="3" spans="1:6">
      <c r="A3" s="4">
        <v>45452</v>
      </c>
      <c r="B3" s="2" t="s">
        <v>141</v>
      </c>
      <c r="C3" s="3">
        <v>393</v>
      </c>
      <c r="D3" s="3">
        <v>0</v>
      </c>
      <c r="E3" s="3">
        <f>E2-C3+D3</f>
        <v>30486.11</v>
      </c>
      <c r="F3" s="2" t="s">
        <v>152</v>
      </c>
    </row>
    <row r="4" spans="1:6">
      <c r="A4" s="4">
        <v>45452</v>
      </c>
      <c r="B4" s="2" t="s">
        <v>141</v>
      </c>
      <c r="C4" s="3">
        <v>13205.64</v>
      </c>
      <c r="D4" s="3">
        <v>0</v>
      </c>
      <c r="E4" s="3">
        <f t="shared" ref="E4:E19" si="0">E3-C4+D4</f>
        <v>17280.47</v>
      </c>
      <c r="F4" s="2" t="s">
        <v>152</v>
      </c>
    </row>
    <row r="5" spans="1:6">
      <c r="A5" s="4">
        <v>45453</v>
      </c>
      <c r="B5" s="2" t="s">
        <v>161</v>
      </c>
      <c r="C5" s="3">
        <v>0</v>
      </c>
      <c r="D5" s="3">
        <v>3396.97</v>
      </c>
      <c r="E5" s="3">
        <f t="shared" si="0"/>
        <v>20677.44</v>
      </c>
      <c r="F5" s="2" t="s">
        <v>162</v>
      </c>
    </row>
    <row r="6" spans="1:6">
      <c r="A6" s="4">
        <v>45453</v>
      </c>
      <c r="B6" s="2" t="s">
        <v>146</v>
      </c>
      <c r="C6" s="3">
        <v>7400</v>
      </c>
      <c r="D6" s="3">
        <v>0</v>
      </c>
      <c r="E6" s="3">
        <f t="shared" si="0"/>
        <v>13277.44</v>
      </c>
      <c r="F6" s="2" t="s">
        <v>143</v>
      </c>
    </row>
    <row r="7" spans="1:6">
      <c r="A7" s="4">
        <v>45453</v>
      </c>
      <c r="B7" s="2" t="s">
        <v>163</v>
      </c>
      <c r="C7" s="3">
        <v>3300</v>
      </c>
      <c r="D7" s="3">
        <v>0</v>
      </c>
      <c r="E7" s="3">
        <f t="shared" si="0"/>
        <v>9977.44</v>
      </c>
      <c r="F7" s="2" t="s">
        <v>143</v>
      </c>
    </row>
    <row r="8" spans="1:6">
      <c r="A8" s="4">
        <v>45453</v>
      </c>
      <c r="B8" s="2" t="s">
        <v>142</v>
      </c>
      <c r="C8" s="3">
        <v>0</v>
      </c>
      <c r="D8" s="3">
        <v>49000</v>
      </c>
      <c r="E8" s="3">
        <f t="shared" si="0"/>
        <v>58977.44</v>
      </c>
      <c r="F8" s="2" t="s">
        <v>143</v>
      </c>
    </row>
    <row r="9" spans="1:6">
      <c r="A9" s="4">
        <v>45454</v>
      </c>
      <c r="B9" s="2" t="s">
        <v>161</v>
      </c>
      <c r="C9" s="3">
        <v>0</v>
      </c>
      <c r="D9" s="3">
        <v>181498.8</v>
      </c>
      <c r="E9" s="3">
        <f t="shared" si="0"/>
        <v>240476.24</v>
      </c>
      <c r="F9" s="2" t="s">
        <v>162</v>
      </c>
    </row>
    <row r="10" spans="1:6">
      <c r="A10" s="4">
        <v>45454</v>
      </c>
      <c r="B10" s="2" t="s">
        <v>147</v>
      </c>
      <c r="C10" s="3">
        <v>0</v>
      </c>
      <c r="D10" s="3">
        <v>40380.22</v>
      </c>
      <c r="E10" s="3">
        <f t="shared" si="0"/>
        <v>280856.46</v>
      </c>
      <c r="F10" s="2" t="s">
        <v>162</v>
      </c>
    </row>
    <row r="11" spans="1:6">
      <c r="A11" s="4">
        <v>45454</v>
      </c>
      <c r="B11" s="2" t="s">
        <v>142</v>
      </c>
      <c r="C11" s="3">
        <v>0</v>
      </c>
      <c r="D11" s="3">
        <v>10000</v>
      </c>
      <c r="E11" s="3">
        <f t="shared" si="0"/>
        <v>290856.46</v>
      </c>
      <c r="F11" s="2" t="s">
        <v>162</v>
      </c>
    </row>
    <row r="12" spans="1:6">
      <c r="A12" s="4">
        <v>45455</v>
      </c>
      <c r="B12" s="2" t="s">
        <v>147</v>
      </c>
      <c r="C12" s="3">
        <v>0</v>
      </c>
      <c r="D12" s="3">
        <v>2956.6</v>
      </c>
      <c r="E12" s="3">
        <f t="shared" si="0"/>
        <v>293813.06</v>
      </c>
      <c r="F12" s="2" t="s">
        <v>143</v>
      </c>
    </row>
    <row r="13" spans="1:6">
      <c r="A13" s="4">
        <v>45455</v>
      </c>
      <c r="B13" s="2" t="s">
        <v>146</v>
      </c>
      <c r="C13" s="3">
        <v>43000</v>
      </c>
      <c r="D13" s="3">
        <v>0</v>
      </c>
      <c r="E13" s="3">
        <f t="shared" si="0"/>
        <v>250813.06</v>
      </c>
      <c r="F13" s="2" t="s">
        <v>143</v>
      </c>
    </row>
    <row r="14" spans="1:6">
      <c r="A14" s="4">
        <v>45456</v>
      </c>
      <c r="B14" s="2" t="s">
        <v>164</v>
      </c>
      <c r="C14" s="3">
        <v>0</v>
      </c>
      <c r="D14" s="3">
        <v>10000</v>
      </c>
      <c r="E14" s="3">
        <f t="shared" si="0"/>
        <v>260813.06</v>
      </c>
      <c r="F14" s="2" t="s">
        <v>15</v>
      </c>
    </row>
    <row r="15" spans="1:6">
      <c r="A15" s="4">
        <v>45456</v>
      </c>
      <c r="B15" s="2" t="s">
        <v>146</v>
      </c>
      <c r="C15" s="3">
        <v>43000</v>
      </c>
      <c r="D15" s="3">
        <v>0</v>
      </c>
      <c r="E15" s="3">
        <f t="shared" si="0"/>
        <v>217813.06</v>
      </c>
      <c r="F15" s="2" t="s">
        <v>143</v>
      </c>
    </row>
    <row r="16" spans="1:6">
      <c r="A16" s="4">
        <v>45457</v>
      </c>
      <c r="B16" s="2" t="s">
        <v>146</v>
      </c>
      <c r="C16" s="3">
        <v>49733.17</v>
      </c>
      <c r="D16" s="3">
        <v>0</v>
      </c>
      <c r="E16" s="3">
        <f t="shared" si="0"/>
        <v>168079.89</v>
      </c>
      <c r="F16" s="2" t="s">
        <v>143</v>
      </c>
    </row>
    <row r="17" spans="1:6">
      <c r="A17" s="4">
        <v>45458</v>
      </c>
      <c r="B17" s="2" t="s">
        <v>142</v>
      </c>
      <c r="C17" s="3">
        <v>0</v>
      </c>
      <c r="D17" s="3">
        <v>1300</v>
      </c>
      <c r="E17" s="3">
        <f t="shared" si="0"/>
        <v>169379.89</v>
      </c>
      <c r="F17" s="2" t="s">
        <v>143</v>
      </c>
    </row>
    <row r="18" spans="1:6">
      <c r="A18" s="4">
        <v>45461</v>
      </c>
      <c r="B18" s="2" t="s">
        <v>163</v>
      </c>
      <c r="C18" s="3">
        <v>1115</v>
      </c>
      <c r="D18" s="3">
        <v>0</v>
      </c>
      <c r="E18" s="3">
        <f t="shared" si="0"/>
        <v>168264.89</v>
      </c>
      <c r="F18" s="2" t="s">
        <v>143</v>
      </c>
    </row>
    <row r="19" spans="1:6">
      <c r="A19" s="4">
        <v>45462</v>
      </c>
      <c r="B19" s="2" t="s">
        <v>145</v>
      </c>
      <c r="C19" s="3">
        <v>518</v>
      </c>
      <c r="D19" s="3">
        <v>0</v>
      </c>
      <c r="E19" s="3">
        <f t="shared" si="0"/>
        <v>167746.89</v>
      </c>
      <c r="F19" s="2" t="s">
        <v>143</v>
      </c>
    </row>
    <row r="20" spans="1:6">
      <c r="A20" s="4">
        <v>45468</v>
      </c>
      <c r="B20" s="2" t="s">
        <v>151</v>
      </c>
      <c r="C20" s="3">
        <v>0</v>
      </c>
      <c r="D20" s="3">
        <v>105.01</v>
      </c>
      <c r="E20" s="3">
        <f t="shared" ref="E20:E21" si="1">E19-C20+D20</f>
        <v>167851.9</v>
      </c>
      <c r="F20" s="2" t="s">
        <v>152</v>
      </c>
    </row>
    <row r="21" spans="1:6">
      <c r="A21" s="4">
        <v>45471</v>
      </c>
      <c r="B21" s="2" t="s">
        <v>145</v>
      </c>
      <c r="C21" s="3">
        <v>192</v>
      </c>
      <c r="D21" s="3">
        <v>0</v>
      </c>
      <c r="E21" s="3">
        <f t="shared" si="1"/>
        <v>167659.9</v>
      </c>
      <c r="F21" s="2" t="s">
        <v>143</v>
      </c>
    </row>
    <row r="22" spans="1:6">
      <c r="A22" s="4">
        <v>45473</v>
      </c>
      <c r="B22" s="2" t="s">
        <v>146</v>
      </c>
      <c r="C22" s="3">
        <v>10000</v>
      </c>
      <c r="D22" s="3">
        <v>0</v>
      </c>
      <c r="E22" s="3">
        <f t="shared" ref="E22" si="2">E21-C22+D22</f>
        <v>157659.9</v>
      </c>
      <c r="F22" s="2" t="s">
        <v>143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15</vt:i4>
      </vt:variant>
    </vt:vector>
  </HeadingPairs>
  <TitlesOfParts>
    <vt:vector size="15" baseType="lpstr">
      <vt:lpstr>SCIB</vt:lpstr>
      <vt:lpstr>BBL-2507</vt:lpstr>
      <vt:lpstr>BBL-2506</vt:lpstr>
      <vt:lpstr>BBL-2505</vt:lpstr>
      <vt:lpstr>BBL-2504</vt:lpstr>
      <vt:lpstr>BBL-2503</vt:lpstr>
      <vt:lpstr>BBL-2502</vt:lpstr>
      <vt:lpstr>BBL-2501</vt:lpstr>
      <vt:lpstr>BBL-12</vt:lpstr>
      <vt:lpstr>BBL-11</vt:lpstr>
      <vt:lpstr>BBL-10</vt:lpstr>
      <vt:lpstr>BBL-09</vt:lpstr>
      <vt:lpstr>BBL-08</vt:lpstr>
      <vt:lpstr>BBL-07</vt:lpstr>
      <vt:lpstr>BBL-06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Santi Soontarinka</dc:creator>
  <cp:lastModifiedBy>User</cp:lastModifiedBy>
  <dcterms:created xsi:type="dcterms:W3CDTF">2018-06-27T07:48:00Z</dcterms:created>
  <dcterms:modified xsi:type="dcterms:W3CDTF">2026-08-02T08:08:45Z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1B93933AD839442B9C90C467DCDBAE62_12</vt:lpwstr>
  </property>
  <property fmtid="{D5CDD505-2E9C-101B-9397-08002B2CF9AE}" pid="3" name="KSOProductBuildVer">
    <vt:lpwstr>2057-12.2.0.23206</vt:lpwstr>
  </property>
</Properties>
</file>