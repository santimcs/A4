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784" windowHeight="9000" tabRatio="461" firstSheet="10" activeTab="11"/>
  </bookViews>
  <sheets>
    <sheet name="PTTGC" sheetId="42" r:id="rId1"/>
    <sheet name="STA (2)" sheetId="228" r:id="rId2"/>
    <sheet name="STA" sheetId="197" r:id="rId3"/>
    <sheet name="3BBIF" sheetId="46" r:id="rId4"/>
    <sheet name="ADVANC" sheetId="225" r:id="rId5"/>
    <sheet name="AH" sheetId="217" r:id="rId6"/>
    <sheet name="AIMIRT" sheetId="210" r:id="rId7"/>
    <sheet name="AWC" sheetId="212" r:id="rId8"/>
    <sheet name="BCH" sheetId="150" r:id="rId9"/>
    <sheet name="CPF" sheetId="223" r:id="rId10"/>
    <sheet name="CPNREIT" sheetId="194" r:id="rId11"/>
    <sheet name="DIF" sheetId="57" r:id="rId12"/>
    <sheet name="GVREIT" sheetId="195" r:id="rId13"/>
    <sheet name="IVL" sheetId="196" r:id="rId14"/>
    <sheet name="JMART" sheetId="204" r:id="rId15"/>
    <sheet name="JMT" sheetId="205" r:id="rId16"/>
    <sheet name="MCS" sheetId="20" r:id="rId17"/>
    <sheet name="NER" sheetId="117" r:id="rId18"/>
    <sheet name="ORI" sheetId="184" r:id="rId19"/>
    <sheet name="PROSPECT" sheetId="227" r:id="rId20"/>
    <sheet name="PTG" sheetId="216" r:id="rId21"/>
    <sheet name="PTT" sheetId="224" r:id="rId22"/>
    <sheet name="RCL" sheetId="161" r:id="rId23"/>
    <sheet name="SENA" sheetId="183" r:id="rId24"/>
    <sheet name="SINGER" sheetId="203" r:id="rId25"/>
    <sheet name="SYNEX" sheetId="199" r:id="rId26"/>
    <sheet name="TFFIF" sheetId="214" r:id="rId27"/>
    <sheet name="TOA" sheetId="218" r:id="rId28"/>
    <sheet name="TVO" sheetId="221" r:id="rId29"/>
    <sheet name="WHAIR" sheetId="157" r:id="rId30"/>
    <sheet name="WHART" sheetId="171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<sst xmlns="http://schemas.openxmlformats.org/spreadsheetml/2006/main" count="636" uniqueCount="45">
  <si>
    <t>PTTGC</t>
  </si>
  <si>
    <t>BUY</t>
  </si>
  <si>
    <t>Balance</t>
  </si>
  <si>
    <t>SELL</t>
  </si>
  <si>
    <t xml:space="preserve"> </t>
  </si>
  <si>
    <t>XD</t>
  </si>
  <si>
    <t>STA</t>
  </si>
  <si>
    <t>3BBIF</t>
  </si>
  <si>
    <t>BALANCE</t>
  </si>
  <si>
    <t>ADVANC</t>
  </si>
  <si>
    <t>AH</t>
  </si>
  <si>
    <t>AIMIRT</t>
  </si>
  <si>
    <t>AWC</t>
  </si>
  <si>
    <t>BCH</t>
  </si>
  <si>
    <t>CPF</t>
  </si>
  <si>
    <t>DIVIDEND</t>
  </si>
  <si>
    <t>PLANB</t>
  </si>
  <si>
    <t>CPNREIT</t>
  </si>
  <si>
    <t>POM</t>
  </si>
  <si>
    <t>DIF</t>
  </si>
  <si>
    <t>BAL</t>
  </si>
  <si>
    <t>GVREIT</t>
  </si>
  <si>
    <t>IVL</t>
  </si>
  <si>
    <t>JMART</t>
  </si>
  <si>
    <t>JMT</t>
  </si>
  <si>
    <t>MCS</t>
  </si>
  <si>
    <t>balance</t>
  </si>
  <si>
    <t>Active</t>
  </si>
  <si>
    <t>HD</t>
  </si>
  <si>
    <t>None</t>
  </si>
  <si>
    <t>NER</t>
  </si>
  <si>
    <t>ORI</t>
  </si>
  <si>
    <t>ORI-W2</t>
  </si>
  <si>
    <t>PROSPECT</t>
  </si>
  <si>
    <t>PTG</t>
  </si>
  <si>
    <t>PTT</t>
  </si>
  <si>
    <t>RCL</t>
  </si>
  <si>
    <t>SENA</t>
  </si>
  <si>
    <t>SINGER</t>
  </si>
  <si>
    <t>SYNEX</t>
  </si>
  <si>
    <t>TFFIF</t>
  </si>
  <si>
    <t>TOA</t>
  </si>
  <si>
    <t>TVO</t>
  </si>
  <si>
    <t>WHAIR</t>
  </si>
  <si>
    <t>WHART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</si>
</sst>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  <numFmt numFmtId="179" formatCode="&quot;฿&quot;#,##0.00"/>
    <numFmt numFmtId="180" formatCode="[$฿-41E]#,##0.00"/>
    <numFmt numFmtId="181" formatCode="#,##0.0000"/>
    <numFmt numFmtId="182" formatCode="yyyy\-mm\-dd;@"/>
    <numFmt numFmtId="183" formatCode="0.0000"/>
    <numFmt numFmtId="184" formatCode="&quot;฿&quot;#,##0.000"/>
    <numFmt numFmtId="185" formatCode="_-&quot;฿&quot;* #,##0.0000_-;\-&quot;฿&quot;* #,##0.0000_-;_-&quot;฿&quot;* &quot;-&quot;????_-;_-@_-"/>
  </numFmts>
  <fonts count="36">
    <font>
      <sz val="11"/>
      <color indexed="8"/>
      <name val="Calibri"/>
      <charset val="222"/>
    </font>
    <font>
      <sz val="10"/>
      <name val="Calibri"/>
      <charset val="134"/>
    </font>
    <font>
      <sz val="14"/>
      <name val="Cordia New"/>
      <charset val="134"/>
    </font>
    <font>
      <b/>
      <sz val="10"/>
      <color indexed="8"/>
      <name val="Calibri"/>
      <charset val="134"/>
    </font>
    <font>
      <sz val="10"/>
      <color indexed="8"/>
      <name val="Calibri"/>
      <charset val="134"/>
    </font>
    <font>
      <b/>
      <sz val="10"/>
      <name val="Calibri"/>
      <charset val="134"/>
    </font>
    <font>
      <b/>
      <sz val="14"/>
      <name val="Cordia New"/>
      <charset val="134"/>
    </font>
    <font>
      <b/>
      <sz val="8"/>
      <color rgb="FF333333"/>
      <name val="Verdana"/>
      <charset val="134"/>
    </font>
    <font>
      <b/>
      <sz val="10"/>
      <color rgb="FF92D050"/>
      <name val="Calibri"/>
      <charset val="134"/>
    </font>
    <font>
      <sz val="10"/>
      <name val="Cordia New"/>
      <charset val="134"/>
    </font>
    <font>
      <sz val="12"/>
      <name val="Cordia New"/>
      <charset val="134"/>
    </font>
    <font>
      <sz val="10"/>
      <color rgb="FFFF0000"/>
      <name val="Calibri"/>
      <charset val="134"/>
    </font>
    <font>
      <sz val="8"/>
      <color rgb="FF333333"/>
      <name val="Verdana"/>
      <charset val="134"/>
    </font>
    <font>
      <sz val="10"/>
      <color rgb="FF000000"/>
      <name val="Calibri"/>
      <charset val="134"/>
    </font>
    <font>
      <b/>
      <sz val="10"/>
      <color rgb="FF000000"/>
      <name val="Calibri"/>
      <charset val="134"/>
    </font>
    <font>
      <b/>
      <sz val="10"/>
      <color rgb="FFFF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1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23" fillId="0" borderId="2" applyNumberFormat="0" applyFill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5" borderId="4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7" fillId="6" borderId="4" applyNumberFormat="0" applyAlignment="0" applyProtection="0">
      <alignment vertical="center"/>
    </xf>
    <xf numFmtId="0" fontId="28" fillId="7" borderId="6" applyNumberFormat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</cellStyleXfs>
  <cellXfs count="8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78" fontId="4" fillId="0" borderId="0" xfId="0" applyNumberFormat="1" applyFont="1"/>
    <xf numFmtId="0" fontId="4" fillId="0" borderId="0" xfId="0" applyFont="1"/>
    <xf numFmtId="3" fontId="4" fillId="0" borderId="0" xfId="0" applyNumberFormat="1" applyFont="1"/>
    <xf numFmtId="10" fontId="4" fillId="0" borderId="0" xfId="0" applyNumberFormat="1" applyFont="1"/>
    <xf numFmtId="178" fontId="5" fillId="0" borderId="0" xfId="0" applyNumberFormat="1" applyFont="1"/>
    <xf numFmtId="0" fontId="5" fillId="0" borderId="0" xfId="0" applyFont="1"/>
    <xf numFmtId="3" fontId="5" fillId="0" borderId="0" xfId="0" applyNumberFormat="1" applyFont="1"/>
    <xf numFmtId="179" fontId="5" fillId="0" borderId="0" xfId="0" applyNumberFormat="1" applyFont="1"/>
    <xf numFmtId="180" fontId="5" fillId="0" borderId="0" xfId="0" applyNumberFormat="1" applyFont="1"/>
    <xf numFmtId="58" fontId="5" fillId="0" borderId="0" xfId="0" applyNumberFormat="1" applyFont="1"/>
    <xf numFmtId="181" fontId="5" fillId="0" borderId="0" xfId="0" applyNumberFormat="1" applyFont="1"/>
    <xf numFmtId="58" fontId="3" fillId="0" borderId="0" xfId="0" applyNumberFormat="1" applyFont="1"/>
    <xf numFmtId="10" fontId="3" fillId="0" borderId="0" xfId="0" applyNumberFormat="1" applyFont="1"/>
    <xf numFmtId="3" fontId="3" fillId="0" borderId="0" xfId="0" applyNumberFormat="1" applyFont="1"/>
    <xf numFmtId="181" fontId="3" fillId="0" borderId="0" xfId="0" applyNumberFormat="1" applyFont="1"/>
    <xf numFmtId="4" fontId="3" fillId="0" borderId="0" xfId="0" applyNumberFormat="1" applyFont="1"/>
    <xf numFmtId="58" fontId="1" fillId="0" borderId="0" xfId="0" applyNumberFormat="1" applyFont="1"/>
    <xf numFmtId="3" fontId="1" fillId="0" borderId="0" xfId="0" applyNumberFormat="1" applyFont="1"/>
    <xf numFmtId="181" fontId="1" fillId="0" borderId="0" xfId="0" applyNumberFormat="1" applyFont="1"/>
    <xf numFmtId="180" fontId="1" fillId="0" borderId="0" xfId="0" applyNumberFormat="1" applyFont="1"/>
    <xf numFmtId="58" fontId="4" fillId="0" borderId="0" xfId="0" applyNumberFormat="1" applyFont="1"/>
    <xf numFmtId="181" fontId="4" fillId="0" borderId="0" xfId="0" applyNumberFormat="1" applyFont="1"/>
    <xf numFmtId="182" fontId="5" fillId="0" borderId="0" xfId="0" applyNumberFormat="1" applyFont="1"/>
    <xf numFmtId="0" fontId="6" fillId="0" borderId="0" xfId="0" applyFont="1"/>
    <xf numFmtId="183" fontId="5" fillId="0" borderId="0" xfId="0" applyNumberFormat="1" applyFont="1"/>
    <xf numFmtId="4" fontId="7" fillId="0" borderId="0" xfId="0" applyNumberFormat="1" applyFont="1"/>
    <xf numFmtId="2" fontId="5" fillId="0" borderId="0" xfId="0" applyNumberFormat="1" applyFont="1"/>
    <xf numFmtId="4" fontId="5" fillId="0" borderId="0" xfId="0" applyNumberFormat="1" applyFont="1"/>
    <xf numFmtId="184" fontId="5" fillId="0" borderId="0" xfId="0" applyNumberFormat="1" applyFont="1"/>
    <xf numFmtId="182" fontId="3" fillId="0" borderId="0" xfId="0" applyNumberFormat="1" applyFont="1"/>
    <xf numFmtId="181" fontId="8" fillId="0" borderId="0" xfId="0" applyNumberFormat="1" applyFont="1"/>
    <xf numFmtId="10" fontId="5" fillId="0" borderId="0" xfId="0" applyNumberFormat="1" applyFont="1"/>
    <xf numFmtId="179" fontId="6" fillId="0" borderId="0" xfId="0" applyNumberFormat="1" applyFont="1"/>
    <xf numFmtId="179" fontId="1" fillId="0" borderId="0" xfId="0" applyNumberFormat="1" applyFont="1"/>
    <xf numFmtId="180" fontId="3" fillId="0" borderId="0" xfId="0" applyNumberFormat="1" applyFont="1"/>
    <xf numFmtId="0" fontId="9" fillId="0" borderId="0" xfId="0" applyFont="1"/>
    <xf numFmtId="182" fontId="4" fillId="0" borderId="0" xfId="0" applyNumberFormat="1" applyFont="1"/>
    <xf numFmtId="178" fontId="1" fillId="0" borderId="0" xfId="0" applyNumberFormat="1" applyFont="1"/>
    <xf numFmtId="182" fontId="1" fillId="0" borderId="0" xfId="0" applyNumberFormat="1" applyFont="1"/>
    <xf numFmtId="10" fontId="2" fillId="0" borderId="0" xfId="0" applyNumberFormat="1" applyFont="1"/>
    <xf numFmtId="183" fontId="1" fillId="0" borderId="0" xfId="0" applyNumberFormat="1" applyFont="1"/>
    <xf numFmtId="4" fontId="1" fillId="0" borderId="0" xfId="0" applyNumberFormat="1" applyFont="1"/>
    <xf numFmtId="184" fontId="1" fillId="0" borderId="0" xfId="0" applyNumberFormat="1" applyFont="1"/>
    <xf numFmtId="10" fontId="1" fillId="0" borderId="0" xfId="0" applyNumberFormat="1" applyFont="1"/>
    <xf numFmtId="2" fontId="1" fillId="0" borderId="0" xfId="0" applyNumberFormat="1" applyFont="1"/>
    <xf numFmtId="10" fontId="6" fillId="0" borderId="0" xfId="0" applyNumberFormat="1" applyFont="1"/>
    <xf numFmtId="180" fontId="4" fillId="0" borderId="0" xfId="0" applyNumberFormat="1" applyFont="1"/>
    <xf numFmtId="0" fontId="10" fillId="0" borderId="0" xfId="0" applyFont="1"/>
    <xf numFmtId="183" fontId="3" fillId="0" borderId="0" xfId="0" applyNumberFormat="1" applyFont="1"/>
    <xf numFmtId="183" fontId="4" fillId="0" borderId="0" xfId="0" applyNumberFormat="1" applyFont="1"/>
    <xf numFmtId="178" fontId="3" fillId="0" borderId="0" xfId="0" applyNumberFormat="1" applyFont="1"/>
    <xf numFmtId="0" fontId="11" fillId="0" borderId="0" xfId="0" applyFont="1"/>
    <xf numFmtId="4" fontId="12" fillId="0" borderId="0" xfId="0" applyNumberFormat="1" applyFont="1"/>
    <xf numFmtId="179" fontId="2" fillId="0" borderId="0" xfId="0" applyNumberFormat="1" applyFont="1"/>
    <xf numFmtId="1" fontId="1" fillId="0" borderId="0" xfId="0" applyNumberFormat="1" applyFont="1"/>
    <xf numFmtId="185" fontId="5" fillId="0" borderId="0" xfId="0" applyNumberFormat="1" applyFont="1"/>
    <xf numFmtId="185" fontId="1" fillId="0" borderId="0" xfId="0" applyNumberFormat="1" applyFont="1"/>
    <xf numFmtId="1" fontId="5" fillId="0" borderId="0" xfId="0" applyNumberFormat="1" applyFont="1"/>
    <xf numFmtId="4" fontId="4" fillId="0" borderId="0" xfId="0" applyNumberFormat="1" applyFont="1"/>
    <xf numFmtId="58" fontId="5" fillId="2" borderId="0" xfId="0" applyNumberFormat="1" applyFont="1" applyFill="1"/>
    <xf numFmtId="0" fontId="5" fillId="2" borderId="0" xfId="0" applyFont="1" applyFill="1"/>
    <xf numFmtId="3" fontId="5" fillId="2" borderId="0" xfId="0" applyNumberFormat="1" applyFont="1" applyFill="1"/>
    <xf numFmtId="0" fontId="4" fillId="3" borderId="0" xfId="0" applyFont="1" applyFill="1" applyAlignment="1">
      <alignment horizontal="right" vertical="center" wrapText="1"/>
    </xf>
    <xf numFmtId="3" fontId="4" fillId="3" borderId="0" xfId="0" applyNumberFormat="1" applyFont="1" applyFill="1" applyAlignment="1">
      <alignment horizontal="right" vertical="center" wrapText="1"/>
    </xf>
    <xf numFmtId="58" fontId="4" fillId="3" borderId="0" xfId="0" applyNumberFormat="1" applyFont="1" applyFill="1" applyAlignment="1">
      <alignment horizontal="right" vertical="center" wrapText="1"/>
    </xf>
    <xf numFmtId="4" fontId="4" fillId="3" borderId="0" xfId="0" applyNumberFormat="1" applyFont="1" applyFill="1" applyAlignment="1">
      <alignment horizontal="right" vertical="center" wrapText="1"/>
    </xf>
    <xf numFmtId="179" fontId="4" fillId="0" borderId="0" xfId="0" applyNumberFormat="1" applyFont="1"/>
    <xf numFmtId="0" fontId="13" fillId="0" borderId="0" xfId="0" applyFont="1"/>
    <xf numFmtId="58" fontId="14" fillId="0" borderId="0" xfId="0" applyNumberFormat="1" applyFont="1"/>
    <xf numFmtId="0" fontId="14" fillId="0" borderId="0" xfId="0" applyFont="1"/>
    <xf numFmtId="3" fontId="14" fillId="0" borderId="0" xfId="0" applyNumberFormat="1" applyFont="1"/>
    <xf numFmtId="179" fontId="14" fillId="0" borderId="0" xfId="0" applyNumberFormat="1" applyFont="1"/>
    <xf numFmtId="180" fontId="14" fillId="0" borderId="0" xfId="0" applyNumberFormat="1" applyFont="1"/>
    <xf numFmtId="3" fontId="15" fillId="0" borderId="0" xfId="0" applyNumberFormat="1" applyFont="1"/>
    <xf numFmtId="3" fontId="11" fillId="0" borderId="0" xfId="0" applyNumberFormat="1" applyFont="1"/>
    <xf numFmtId="10" fontId="14" fillId="0" borderId="0" xfId="0" applyNumberFormat="1" applyFont="1"/>
    <xf numFmtId="10" fontId="13" fillId="0" borderId="0" xfId="0" applyNumberFormat="1" applyFont="1"/>
    <xf numFmtId="3" fontId="13" fillId="0" borderId="0" xfId="0" applyNumberFormat="1" applyFont="1"/>
    <xf numFmtId="179" fontId="13" fillId="0" borderId="0" xfId="0" applyNumberFormat="1" applyFont="1"/>
    <xf numFmtId="180" fontId="13" fillId="0" borderId="0" xfId="0" applyNumberFormat="1" applyFont="1"/>
    <xf numFmtId="2" fontId="4" fillId="0" borderId="0" xfId="0" applyNumberFormat="1" applyFont="1"/>
    <xf numFmtId="179" fontId="3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4" Type="http://schemas.openxmlformats.org/officeDocument/2006/relationships/styles" Target="styles.xml"/><Relationship Id="rId33" Type="http://schemas.openxmlformats.org/officeDocument/2006/relationships/sharedStrings" Target="sharedStrings.xml"/><Relationship Id="rId32" Type="http://schemas.openxmlformats.org/officeDocument/2006/relationships/theme" Target="theme/theme1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O61"/>
  <sheetViews>
    <sheetView topLeftCell="A56" workbookViewId="0">
      <selection activeCell="C59" sqref="C59"/>
    </sheetView>
  </sheetViews>
  <sheetFormatPr defaultColWidth="8.88888888888889" defaultRowHeight="13.8"/>
  <cols>
    <col min="1" max="1" width="10.6666666666667" style="40" customWidth="1"/>
    <col min="2" max="2" width="7.44444444444444" style="5" customWidth="1"/>
    <col min="3" max="3" width="6.66666666666667" style="5" customWidth="1"/>
    <col min="4" max="4" width="7.88888888888889" style="5" customWidth="1"/>
    <col min="5" max="5" width="11.1111111111111" style="5" customWidth="1"/>
    <col min="6" max="6" width="8.88888888888889" style="5"/>
    <col min="7" max="7" width="6.66666666666667" style="5" customWidth="1"/>
    <col min="8" max="8" width="5.77777777777778" style="5" customWidth="1"/>
    <col min="9" max="9" width="6.66666666666667" style="5" customWidth="1"/>
    <col min="10" max="10" width="11.1111111111111" style="5" customWidth="1"/>
    <col min="11" max="16384" width="8.88888888888889" style="5"/>
  </cols>
  <sheetData>
    <row r="1" spans="2:2">
      <c r="B1" s="5" t="s">
        <v>0</v>
      </c>
    </row>
    <row r="2" spans="1:12">
      <c r="A2" s="42">
        <v>43252</v>
      </c>
      <c r="B2" s="1" t="s">
        <v>1</v>
      </c>
      <c r="C2" s="21">
        <v>3000</v>
      </c>
      <c r="D2" s="37">
        <v>89</v>
      </c>
      <c r="E2" s="23">
        <f>C2*D2</f>
        <v>267000</v>
      </c>
      <c r="F2" s="23">
        <f>E2*0.002</f>
        <v>534</v>
      </c>
      <c r="G2" s="23">
        <f>E2*0.000068</f>
        <v>18.156</v>
      </c>
      <c r="H2" s="23">
        <f>E2*0.00001</f>
        <v>2.67</v>
      </c>
      <c r="I2" s="23">
        <f>(F2+G2+H2)*0.07</f>
        <v>38.83782</v>
      </c>
      <c r="J2" s="23">
        <f>E2+F2+I2+G2+H2</f>
        <v>267593.66382</v>
      </c>
      <c r="K2" s="3"/>
      <c r="L2" s="3"/>
    </row>
    <row r="3" ht="21" customHeight="1" spans="1:10">
      <c r="A3" s="42">
        <v>43280</v>
      </c>
      <c r="B3" s="1" t="s">
        <v>1</v>
      </c>
      <c r="C3" s="21">
        <v>1500</v>
      </c>
      <c r="D3" s="37">
        <v>75.5</v>
      </c>
      <c r="E3" s="23">
        <f>C3*D3</f>
        <v>113250</v>
      </c>
      <c r="F3" s="23">
        <f>E3*0.002</f>
        <v>226.5</v>
      </c>
      <c r="G3" s="23">
        <f>E3*0.000068</f>
        <v>7.701</v>
      </c>
      <c r="H3" s="23">
        <f>E3*0.00001</f>
        <v>1.1325</v>
      </c>
      <c r="I3" s="23">
        <f>(F3+G3+H3)*0.07</f>
        <v>16.473345</v>
      </c>
      <c r="J3" s="23">
        <f>E3+F3+I3+G3+H3</f>
        <v>113501.806845</v>
      </c>
    </row>
    <row r="4" spans="3:12">
      <c r="C4" s="6">
        <f>SUM(C2:C3)</f>
        <v>4500</v>
      </c>
      <c r="D4" s="25">
        <f>E4/C4</f>
        <v>84.5</v>
      </c>
      <c r="E4" s="6">
        <f t="shared" ref="E4:J4" si="0">SUM(E2:E3)</f>
        <v>380250</v>
      </c>
      <c r="F4" s="6">
        <f t="shared" si="0"/>
        <v>760.5</v>
      </c>
      <c r="G4" s="6">
        <f t="shared" si="0"/>
        <v>25.857</v>
      </c>
      <c r="H4" s="6">
        <f t="shared" si="0"/>
        <v>3.8025</v>
      </c>
      <c r="I4" s="6">
        <f t="shared" si="0"/>
        <v>55.311165</v>
      </c>
      <c r="J4" s="6">
        <f t="shared" si="0"/>
        <v>381095.470665</v>
      </c>
      <c r="K4" s="6"/>
      <c r="L4" s="6"/>
    </row>
    <row r="5" ht="21" customHeight="1" spans="1:10">
      <c r="A5" s="42">
        <v>43397</v>
      </c>
      <c r="B5" s="1" t="s">
        <v>1</v>
      </c>
      <c r="C5" s="21">
        <v>1500</v>
      </c>
      <c r="D5" s="37">
        <v>74.5</v>
      </c>
      <c r="E5" s="23">
        <f>C5*D5</f>
        <v>111750</v>
      </c>
      <c r="F5" s="23">
        <f>E5*0.002</f>
        <v>223.5</v>
      </c>
      <c r="G5" s="23">
        <f>E5*0.000068</f>
        <v>7.599</v>
      </c>
      <c r="H5" s="23">
        <f>E5*0.00001</f>
        <v>1.1175</v>
      </c>
      <c r="I5" s="23">
        <f>(F5+G5+H5)*0.07</f>
        <v>16.255155</v>
      </c>
      <c r="J5" s="23">
        <f>E5+F5+I5+G5+H5</f>
        <v>111998.471655</v>
      </c>
    </row>
    <row r="6" spans="3:12">
      <c r="C6" s="6">
        <f>SUM(C4:C5)</f>
        <v>6000</v>
      </c>
      <c r="D6" s="25">
        <f>E6/C6</f>
        <v>82</v>
      </c>
      <c r="E6" s="6">
        <f t="shared" ref="E6:J6" si="1">SUM(E4:E5)</f>
        <v>492000</v>
      </c>
      <c r="F6" s="6">
        <f t="shared" si="1"/>
        <v>984</v>
      </c>
      <c r="G6" s="6">
        <f t="shared" si="1"/>
        <v>33.456</v>
      </c>
      <c r="H6" s="6">
        <f t="shared" si="1"/>
        <v>4.92</v>
      </c>
      <c r="I6" s="6">
        <f t="shared" si="1"/>
        <v>71.56632</v>
      </c>
      <c r="J6" s="6">
        <f t="shared" si="1"/>
        <v>493093.94232</v>
      </c>
      <c r="K6" s="6"/>
      <c r="L6" s="6"/>
    </row>
    <row r="7" spans="1:12">
      <c r="A7" s="42">
        <v>43651</v>
      </c>
      <c r="B7" s="1" t="s">
        <v>1</v>
      </c>
      <c r="C7" s="21">
        <v>2000</v>
      </c>
      <c r="D7" s="37">
        <v>63</v>
      </c>
      <c r="E7" s="23">
        <f>C7*D7</f>
        <v>126000</v>
      </c>
      <c r="F7" s="23">
        <f>E7*0.002</f>
        <v>252</v>
      </c>
      <c r="G7" s="23">
        <f>E7*0.000068</f>
        <v>8.568</v>
      </c>
      <c r="H7" s="23">
        <f>E7*0.00001</f>
        <v>1.26</v>
      </c>
      <c r="I7" s="23">
        <f>(F7+G7+H7)*0.07</f>
        <v>18.32796</v>
      </c>
      <c r="J7" s="23">
        <f>E7+F7+I7+G7+H7</f>
        <v>126280.15596</v>
      </c>
      <c r="K7" s="7"/>
      <c r="L7" s="3"/>
    </row>
    <row r="8" s="1" customFormat="1" spans="1:12">
      <c r="A8" s="40"/>
      <c r="B8" s="5"/>
      <c r="C8" s="6">
        <f>SUM(C6:C7)</f>
        <v>8000</v>
      </c>
      <c r="D8" s="25">
        <f>E8/C8</f>
        <v>77.25</v>
      </c>
      <c r="E8" s="6">
        <f t="shared" ref="E8:J8" si="2">SUM(E6:E7)</f>
        <v>618000</v>
      </c>
      <c r="F8" s="6">
        <f t="shared" si="2"/>
        <v>1236</v>
      </c>
      <c r="G8" s="6">
        <f t="shared" si="2"/>
        <v>42.024</v>
      </c>
      <c r="H8" s="6">
        <f t="shared" si="2"/>
        <v>6.18</v>
      </c>
      <c r="I8" s="6">
        <f t="shared" si="2"/>
        <v>89.89428</v>
      </c>
      <c r="J8" s="6">
        <f t="shared" si="2"/>
        <v>619374.09828</v>
      </c>
      <c r="K8" s="7"/>
      <c r="L8" s="9"/>
    </row>
    <row r="9" spans="1:12">
      <c r="A9" s="42">
        <v>43990</v>
      </c>
      <c r="B9" s="1" t="s">
        <v>2</v>
      </c>
      <c r="C9" s="21">
        <v>2000</v>
      </c>
      <c r="D9" s="37">
        <v>75.5</v>
      </c>
      <c r="E9" s="23">
        <f>C9*D9</f>
        <v>151000</v>
      </c>
      <c r="F9" s="23">
        <f>E9*0.002</f>
        <v>302</v>
      </c>
      <c r="G9" s="23">
        <f>E9*0.000068</f>
        <v>10.268</v>
      </c>
      <c r="H9" s="23">
        <f>E9*0.00001</f>
        <v>1.51</v>
      </c>
      <c r="I9" s="23">
        <f>(F9+G9+H9)*0.07</f>
        <v>21.96446</v>
      </c>
      <c r="J9" s="23">
        <f>E9+F9+I9+G9+H9</f>
        <v>151335.74246</v>
      </c>
      <c r="K9" s="7"/>
      <c r="L9" s="3"/>
    </row>
    <row r="10" spans="1:12">
      <c r="A10" s="26">
        <v>44272</v>
      </c>
      <c r="B10" s="9" t="s">
        <v>1</v>
      </c>
      <c r="C10" s="10">
        <v>2000</v>
      </c>
      <c r="D10" s="11">
        <v>66.5</v>
      </c>
      <c r="E10" s="12">
        <f>C10*D10</f>
        <v>133000</v>
      </c>
      <c r="F10" s="12">
        <f>E10*0.002</f>
        <v>266</v>
      </c>
      <c r="G10" s="12">
        <f>E10*0.000068</f>
        <v>9.044</v>
      </c>
      <c r="H10" s="12">
        <f>E10*0.00001</f>
        <v>1.33</v>
      </c>
      <c r="I10" s="12">
        <f>(F10+G10+H10)*0.07</f>
        <v>19.34618</v>
      </c>
      <c r="J10" s="12">
        <f>E10+F10+I10+G10+H10</f>
        <v>133295.72018</v>
      </c>
      <c r="K10" s="7"/>
      <c r="L10" s="3"/>
    </row>
    <row r="11" s="1" customFormat="1" spans="1:12">
      <c r="A11" s="33"/>
      <c r="B11" s="3"/>
      <c r="C11" s="17">
        <f>C9+C10</f>
        <v>4000</v>
      </c>
      <c r="D11" s="18">
        <f>E11/C11</f>
        <v>71</v>
      </c>
      <c r="E11" s="17">
        <f t="shared" ref="E11:J11" si="3">E9+E10</f>
        <v>284000</v>
      </c>
      <c r="F11" s="17">
        <f t="shared" si="3"/>
        <v>568</v>
      </c>
      <c r="G11" s="17">
        <f t="shared" si="3"/>
        <v>19.312</v>
      </c>
      <c r="H11" s="17">
        <f t="shared" si="3"/>
        <v>2.84</v>
      </c>
      <c r="I11" s="17">
        <f t="shared" si="3"/>
        <v>41.31064</v>
      </c>
      <c r="J11" s="17">
        <f t="shared" si="3"/>
        <v>284631.46264</v>
      </c>
      <c r="K11" s="7"/>
      <c r="L11" s="9"/>
    </row>
    <row r="12" spans="1:12">
      <c r="A12" s="26">
        <v>44274</v>
      </c>
      <c r="B12" s="9" t="s">
        <v>1</v>
      </c>
      <c r="C12" s="10">
        <v>2000</v>
      </c>
      <c r="D12" s="11">
        <v>65</v>
      </c>
      <c r="E12" s="12">
        <f>C12*D12</f>
        <v>130000</v>
      </c>
      <c r="F12" s="12">
        <f>E12*0.002</f>
        <v>260</v>
      </c>
      <c r="G12" s="12">
        <f>E12*0.000068</f>
        <v>8.84</v>
      </c>
      <c r="H12" s="12">
        <f>E12*0.00001</f>
        <v>1.3</v>
      </c>
      <c r="I12" s="12">
        <f>(F12+G12+H12)*0.07</f>
        <v>18.9098</v>
      </c>
      <c r="J12" s="12">
        <f>E12+F12+I12+G12+H12</f>
        <v>130289.0498</v>
      </c>
      <c r="K12" s="7"/>
      <c r="L12" s="3"/>
    </row>
    <row r="13" s="1" customFormat="1" spans="1:12">
      <c r="A13" s="33"/>
      <c r="B13" s="3"/>
      <c r="C13" s="17">
        <f>C11+C12</f>
        <v>6000</v>
      </c>
      <c r="D13" s="18">
        <f>E13/C13</f>
        <v>69</v>
      </c>
      <c r="E13" s="17">
        <f t="shared" ref="E13:E17" si="4">E11+E12</f>
        <v>414000</v>
      </c>
      <c r="F13" s="17">
        <f t="shared" ref="F13:F17" si="5">F11+F12</f>
        <v>828</v>
      </c>
      <c r="G13" s="17">
        <f t="shared" ref="G13:G17" si="6">G11+G12</f>
        <v>28.152</v>
      </c>
      <c r="H13" s="17">
        <f t="shared" ref="H13:H17" si="7">H11+H12</f>
        <v>4.14</v>
      </c>
      <c r="I13" s="17">
        <f t="shared" ref="I13:I17" si="8">I11+I12</f>
        <v>60.22044</v>
      </c>
      <c r="J13" s="17">
        <f t="shared" ref="J13:J17" si="9">J11+J12</f>
        <v>414920.51244</v>
      </c>
      <c r="K13" s="7"/>
      <c r="L13" s="9"/>
    </row>
    <row r="14" spans="1:11">
      <c r="A14" s="26">
        <v>44295</v>
      </c>
      <c r="B14" s="9" t="s">
        <v>1</v>
      </c>
      <c r="C14" s="10">
        <v>1000</v>
      </c>
      <c r="D14" s="11">
        <v>62</v>
      </c>
      <c r="E14" s="12">
        <f>C14*D14</f>
        <v>62000</v>
      </c>
      <c r="F14" s="12">
        <f>E14*0.002</f>
        <v>124</v>
      </c>
      <c r="G14" s="12">
        <f>E14*0.000068</f>
        <v>4.216</v>
      </c>
      <c r="H14" s="12">
        <f>E14*0.00001</f>
        <v>0.62</v>
      </c>
      <c r="I14" s="12">
        <f>(F14+G14+H14)*0.07</f>
        <v>9.01852</v>
      </c>
      <c r="J14" s="12">
        <f>E14+F14+I14+G14+H14</f>
        <v>62137.85452</v>
      </c>
      <c r="K14" s="7"/>
    </row>
    <row r="15" s="1" customFormat="1" spans="1:11">
      <c r="A15" s="33"/>
      <c r="B15" s="3"/>
      <c r="C15" s="17">
        <f>C13+C14</f>
        <v>7000</v>
      </c>
      <c r="D15" s="18">
        <f>E15/C15</f>
        <v>68</v>
      </c>
      <c r="E15" s="17">
        <f t="shared" si="4"/>
        <v>476000</v>
      </c>
      <c r="F15" s="17">
        <f t="shared" si="5"/>
        <v>952</v>
      </c>
      <c r="G15" s="17">
        <f t="shared" si="6"/>
        <v>32.368</v>
      </c>
      <c r="H15" s="17">
        <f t="shared" si="7"/>
        <v>4.76</v>
      </c>
      <c r="I15" s="17">
        <f t="shared" si="8"/>
        <v>69.23896</v>
      </c>
      <c r="J15" s="17">
        <f t="shared" si="9"/>
        <v>477058.36696</v>
      </c>
      <c r="K15" s="7"/>
    </row>
    <row r="16" spans="1:11">
      <c r="A16" s="26">
        <v>44295</v>
      </c>
      <c r="B16" s="9" t="s">
        <v>1</v>
      </c>
      <c r="C16" s="10">
        <v>1000</v>
      </c>
      <c r="D16" s="11">
        <v>58</v>
      </c>
      <c r="E16" s="12">
        <f>C16*D16</f>
        <v>58000</v>
      </c>
      <c r="F16" s="12">
        <f>E16*0.002</f>
        <v>116</v>
      </c>
      <c r="G16" s="12">
        <f>E16*0.000068</f>
        <v>3.944</v>
      </c>
      <c r="H16" s="12">
        <f>E16*0.00001</f>
        <v>0.58</v>
      </c>
      <c r="I16" s="12">
        <f>(F16+G16+H16)*0.07</f>
        <v>8.43668</v>
      </c>
      <c r="J16" s="12">
        <f>E16+F16+I16+G16+H16</f>
        <v>58128.96068</v>
      </c>
      <c r="K16" s="7"/>
    </row>
    <row r="17" s="1" customFormat="1" spans="1:11">
      <c r="A17" s="33"/>
      <c r="B17" s="3"/>
      <c r="C17" s="17">
        <f>C15+C16</f>
        <v>8000</v>
      </c>
      <c r="D17" s="18">
        <f>E17/C17</f>
        <v>66.75</v>
      </c>
      <c r="E17" s="17">
        <f t="shared" si="4"/>
        <v>534000</v>
      </c>
      <c r="F17" s="17">
        <f t="shared" si="5"/>
        <v>1068</v>
      </c>
      <c r="G17" s="17">
        <f t="shared" si="6"/>
        <v>36.312</v>
      </c>
      <c r="H17" s="17">
        <f t="shared" si="7"/>
        <v>5.34</v>
      </c>
      <c r="I17" s="17">
        <f t="shared" si="8"/>
        <v>77.67564</v>
      </c>
      <c r="J17" s="17">
        <f t="shared" si="9"/>
        <v>535187.32764</v>
      </c>
      <c r="K17" s="7"/>
    </row>
    <row r="18" spans="1:11">
      <c r="A18" s="26">
        <v>44538</v>
      </c>
      <c r="B18" s="9" t="s">
        <v>1</v>
      </c>
      <c r="C18" s="10">
        <v>6000</v>
      </c>
      <c r="D18" s="11">
        <v>66.75</v>
      </c>
      <c r="E18" s="12">
        <f>C18*D18</f>
        <v>400500</v>
      </c>
      <c r="F18" s="12">
        <f>E18*0.002</f>
        <v>801</v>
      </c>
      <c r="G18" s="12">
        <f>E18*0.000068</f>
        <v>27.234</v>
      </c>
      <c r="H18" s="12">
        <f>E18*0.00001</f>
        <v>4.005</v>
      </c>
      <c r="I18" s="12">
        <f>(F18+G18+H18)*0.07</f>
        <v>58.25673</v>
      </c>
      <c r="J18" s="12">
        <f>E18+F18+I18+G18+H18</f>
        <v>401390.49573</v>
      </c>
      <c r="K18" s="7"/>
    </row>
    <row r="19" spans="1:12">
      <c r="A19" s="26">
        <v>44557</v>
      </c>
      <c r="B19" s="9" t="s">
        <v>2</v>
      </c>
      <c r="C19" s="10">
        <v>5400</v>
      </c>
      <c r="D19" s="11">
        <v>66.75</v>
      </c>
      <c r="E19" s="12">
        <f>C19*D19</f>
        <v>360450</v>
      </c>
      <c r="F19" s="12">
        <f>E19*0.002</f>
        <v>720.9</v>
      </c>
      <c r="G19" s="12">
        <f>E19*0.000068</f>
        <v>24.5106</v>
      </c>
      <c r="H19" s="12">
        <f>E19*0.00001</f>
        <v>3.6045</v>
      </c>
      <c r="I19" s="12">
        <f>(F19+G19+H19)*0.07</f>
        <v>52.431057</v>
      </c>
      <c r="J19" s="12">
        <f>E19+F19+I19+G19+H19</f>
        <v>361251.446157</v>
      </c>
      <c r="K19" s="7"/>
      <c r="L19" s="3"/>
    </row>
    <row r="20" spans="1:12">
      <c r="A20" s="26">
        <v>44560</v>
      </c>
      <c r="B20" s="9" t="s">
        <v>2</v>
      </c>
      <c r="C20" s="10">
        <v>4400</v>
      </c>
      <c r="D20" s="11">
        <v>66.75</v>
      </c>
      <c r="E20" s="12">
        <f>C20*D20</f>
        <v>293700</v>
      </c>
      <c r="F20" s="12">
        <f>E20*0.002</f>
        <v>587.4</v>
      </c>
      <c r="G20" s="12">
        <f>E20*0.000068</f>
        <v>19.9716</v>
      </c>
      <c r="H20" s="12">
        <f>E20*0.00001</f>
        <v>2.937</v>
      </c>
      <c r="I20" s="12">
        <f>(F20+G20+H20)*0.07</f>
        <v>42.721602</v>
      </c>
      <c r="J20" s="12">
        <f>E20+F20+I20+G20+H20</f>
        <v>294353.030202</v>
      </c>
      <c r="K20" s="7"/>
      <c r="L20" s="3"/>
    </row>
    <row r="21" s="1" customFormat="1" spans="1:12">
      <c r="A21" s="26">
        <v>44578</v>
      </c>
      <c r="B21" s="9" t="s">
        <v>1</v>
      </c>
      <c r="C21" s="10">
        <v>1600</v>
      </c>
      <c r="D21" s="11">
        <v>59.25</v>
      </c>
      <c r="E21" s="12">
        <f>C21*D21</f>
        <v>94800</v>
      </c>
      <c r="F21" s="12">
        <f>E21*0.002</f>
        <v>189.6</v>
      </c>
      <c r="G21" s="12">
        <f>E21*0.00006</f>
        <v>5.688</v>
      </c>
      <c r="H21" s="12">
        <f>E21*0.00001</f>
        <v>0.948</v>
      </c>
      <c r="I21" s="12">
        <f>(F21+G21+H21)*0.07</f>
        <v>13.73652</v>
      </c>
      <c r="J21" s="12">
        <f>E21+F21+I21+G21+H21</f>
        <v>95009.97252</v>
      </c>
      <c r="K21" s="37"/>
      <c r="L21" s="47"/>
    </row>
    <row r="22" spans="1:12">
      <c r="A22" s="33"/>
      <c r="B22" s="16">
        <f>(D21-D20)/D20</f>
        <v>-0.112359550561798</v>
      </c>
      <c r="C22" s="17">
        <f>SUM(C20:C21)</f>
        <v>6000</v>
      </c>
      <c r="D22" s="85">
        <f>E22/C22</f>
        <v>64.75</v>
      </c>
      <c r="E22" s="17">
        <f t="shared" ref="E22:J22" si="10">SUM(E20:E21)</f>
        <v>388500</v>
      </c>
      <c r="F22" s="17">
        <f t="shared" si="10"/>
        <v>777</v>
      </c>
      <c r="G22" s="17">
        <f t="shared" si="10"/>
        <v>25.6596</v>
      </c>
      <c r="H22" s="17">
        <f t="shared" si="10"/>
        <v>3.885</v>
      </c>
      <c r="I22" s="17">
        <f t="shared" si="10"/>
        <v>56.458122</v>
      </c>
      <c r="J22" s="17">
        <f t="shared" si="10"/>
        <v>389363.002722</v>
      </c>
      <c r="L22" s="7"/>
    </row>
    <row r="23" s="1" customFormat="1" spans="1:12">
      <c r="A23" s="42">
        <v>44578</v>
      </c>
      <c r="B23" s="1" t="s">
        <v>1</v>
      </c>
      <c r="C23" s="21">
        <v>1000</v>
      </c>
      <c r="D23" s="37">
        <v>14</v>
      </c>
      <c r="E23" s="23">
        <f>C23*D23</f>
        <v>14000</v>
      </c>
      <c r="F23" s="23">
        <f>E23*0.002</f>
        <v>28</v>
      </c>
      <c r="G23" s="23">
        <f>E23*0.00006</f>
        <v>0.84</v>
      </c>
      <c r="H23" s="23">
        <f>E23*0.00001</f>
        <v>0.14</v>
      </c>
      <c r="I23" s="23">
        <f>(F23+G23+H23)*0.07</f>
        <v>2.0286</v>
      </c>
      <c r="J23" s="23">
        <f>E23+F23+I23+G23+H23</f>
        <v>14031.0086</v>
      </c>
      <c r="K23" s="37"/>
      <c r="L23" s="47"/>
    </row>
    <row r="24" spans="2:12">
      <c r="B24" s="7">
        <f>(D23-D22)/D22</f>
        <v>-0.783783783783784</v>
      </c>
      <c r="C24" s="6">
        <f>SUM(C22:C23)</f>
        <v>7000</v>
      </c>
      <c r="D24" s="84">
        <f>E24/C24</f>
        <v>57.5</v>
      </c>
      <c r="E24" s="6">
        <f t="shared" ref="E24:J24" si="11">SUM(E22:E23)</f>
        <v>402500</v>
      </c>
      <c r="F24" s="6">
        <f t="shared" si="11"/>
        <v>805</v>
      </c>
      <c r="G24" s="6">
        <f t="shared" si="11"/>
        <v>26.4996</v>
      </c>
      <c r="H24" s="6">
        <f t="shared" si="11"/>
        <v>4.025</v>
      </c>
      <c r="I24" s="6">
        <f t="shared" si="11"/>
        <v>58.486722</v>
      </c>
      <c r="J24" s="6">
        <f t="shared" si="11"/>
        <v>403394.011322</v>
      </c>
      <c r="L24" s="7"/>
    </row>
    <row r="25" spans="1:12">
      <c r="A25" s="33"/>
      <c r="B25" s="16"/>
      <c r="C25" s="17"/>
      <c r="D25" s="85"/>
      <c r="E25" s="17"/>
      <c r="F25" s="17"/>
      <c r="G25" s="17"/>
      <c r="H25" s="17"/>
      <c r="I25" s="17"/>
      <c r="J25" s="17"/>
      <c r="L25" s="7"/>
    </row>
    <row r="26" s="1" customFormat="1" spans="1:12">
      <c r="A26" s="26">
        <v>44615</v>
      </c>
      <c r="B26" s="9" t="s">
        <v>1</v>
      </c>
      <c r="C26" s="10">
        <v>3000</v>
      </c>
      <c r="D26" s="11">
        <v>54.25</v>
      </c>
      <c r="E26" s="12">
        <f>C26*D26</f>
        <v>162750</v>
      </c>
      <c r="F26" s="12">
        <f>E26*0.002</f>
        <v>325.5</v>
      </c>
      <c r="G26" s="12">
        <f>E26*0.00006</f>
        <v>9.765</v>
      </c>
      <c r="H26" s="12">
        <f>E26*0.00001</f>
        <v>1.6275</v>
      </c>
      <c r="I26" s="12">
        <f>(F26+G26+H26)*0.07</f>
        <v>23.582475</v>
      </c>
      <c r="J26" s="12">
        <f>E26+F26+I26+G26+H26</f>
        <v>163110.474975</v>
      </c>
      <c r="K26" s="37"/>
      <c r="L26" s="47"/>
    </row>
    <row r="27" s="1" customFormat="1" spans="1:10">
      <c r="A27" s="26">
        <v>44943</v>
      </c>
      <c r="B27" s="9" t="s">
        <v>3</v>
      </c>
      <c r="C27" s="10">
        <f>C26</f>
        <v>3000</v>
      </c>
      <c r="D27" s="31">
        <v>50.75</v>
      </c>
      <c r="E27" s="11">
        <f>C27*D27</f>
        <v>152250</v>
      </c>
      <c r="F27" s="32">
        <f>E27*0.002</f>
        <v>304.5</v>
      </c>
      <c r="G27" s="31">
        <f>E27*0.000068</f>
        <v>10.353</v>
      </c>
      <c r="H27" s="31">
        <f>E27*0.00001</f>
        <v>1.5225</v>
      </c>
      <c r="I27" s="31">
        <f>(F27+G27+H27)*0.07</f>
        <v>22.146285</v>
      </c>
      <c r="J27" s="31">
        <f>E27-F27-G27-H27-I27</f>
        <v>151911.478215</v>
      </c>
    </row>
    <row r="28" s="51" customFormat="1" ht="18.6" spans="1:11">
      <c r="A28" s="26" t="s">
        <v>4</v>
      </c>
      <c r="B28" s="16">
        <f>(D27-D26)/D26</f>
        <v>-0.0645161290322581</v>
      </c>
      <c r="C28" s="10"/>
      <c r="D28" s="11"/>
      <c r="E28" s="12">
        <f>E27-E26</f>
        <v>-10500</v>
      </c>
      <c r="F28" s="12"/>
      <c r="G28" s="12"/>
      <c r="H28" s="12"/>
      <c r="I28" s="12"/>
      <c r="J28" s="12">
        <f>J27-J26</f>
        <v>-11198.99676</v>
      </c>
      <c r="K28" s="47"/>
    </row>
    <row r="29" spans="1:12">
      <c r="A29" s="26">
        <v>44943</v>
      </c>
      <c r="B29" s="16" t="s">
        <v>2</v>
      </c>
      <c r="C29" s="17">
        <v>6000</v>
      </c>
      <c r="D29" s="85">
        <v>64.75</v>
      </c>
      <c r="E29" s="17">
        <v>388500</v>
      </c>
      <c r="F29" s="17">
        <v>777</v>
      </c>
      <c r="G29" s="17">
        <v>25.6596</v>
      </c>
      <c r="H29" s="17">
        <v>3.885</v>
      </c>
      <c r="I29" s="17">
        <v>56.458122</v>
      </c>
      <c r="J29" s="17">
        <v>389363.002722</v>
      </c>
      <c r="L29" s="7"/>
    </row>
    <row r="30" s="39" customFormat="1" ht="15.6" spans="1:15">
      <c r="A30" s="42">
        <v>44543</v>
      </c>
      <c r="B30" s="1" t="s">
        <v>1</v>
      </c>
      <c r="C30" s="21">
        <v>3000</v>
      </c>
      <c r="D30" s="22">
        <v>48.25</v>
      </c>
      <c r="E30" s="23">
        <f>C30*D30</f>
        <v>144750</v>
      </c>
      <c r="F30" s="23">
        <f>E30*0.002</f>
        <v>289.5</v>
      </c>
      <c r="G30" s="23">
        <f>E30*0.00006</f>
        <v>8.685</v>
      </c>
      <c r="H30" s="23">
        <f>E30*0.00001</f>
        <v>1.4475</v>
      </c>
      <c r="I30" s="23">
        <f>(F30+G30+H30)*0.07</f>
        <v>20.974275</v>
      </c>
      <c r="J30" s="23">
        <f>E30+F30+I30+G30+H30</f>
        <v>145070.606775</v>
      </c>
      <c r="K30" s="37"/>
      <c r="L30" s="1"/>
      <c r="M30" s="1"/>
      <c r="N30" s="1"/>
      <c r="O30" s="1"/>
    </row>
    <row r="31" spans="2:13">
      <c r="B31" s="7">
        <f>(D30-D29)/D29</f>
        <v>-0.254826254826255</v>
      </c>
      <c r="C31" s="6">
        <f>SUM(C29:C30)</f>
        <v>9000</v>
      </c>
      <c r="D31" s="25">
        <f>E31/C31</f>
        <v>59.25</v>
      </c>
      <c r="E31" s="6">
        <f t="shared" ref="E31:J31" si="12">SUM(E29:E30)</f>
        <v>533250</v>
      </c>
      <c r="F31" s="6">
        <f t="shared" si="12"/>
        <v>1066.5</v>
      </c>
      <c r="G31" s="6">
        <f t="shared" si="12"/>
        <v>34.3446</v>
      </c>
      <c r="H31" s="6">
        <f t="shared" si="12"/>
        <v>5.3325</v>
      </c>
      <c r="I31" s="6">
        <f t="shared" si="12"/>
        <v>77.432397</v>
      </c>
      <c r="J31" s="6">
        <f t="shared" si="12"/>
        <v>534433.609497</v>
      </c>
      <c r="K31" s="37"/>
      <c r="L31" s="1"/>
      <c r="M31" s="1"/>
    </row>
    <row r="32" spans="1:12">
      <c r="A32" s="33"/>
      <c r="B32" s="16"/>
      <c r="C32" s="17"/>
      <c r="D32" s="85"/>
      <c r="E32" s="17"/>
      <c r="F32" s="17"/>
      <c r="G32" s="17"/>
      <c r="H32" s="17"/>
      <c r="I32" s="17"/>
      <c r="J32" s="17"/>
      <c r="L32" s="7"/>
    </row>
    <row r="33" spans="1:12">
      <c r="A33" s="33"/>
      <c r="B33" s="16"/>
      <c r="C33" s="17"/>
      <c r="D33" s="85"/>
      <c r="E33" s="17"/>
      <c r="F33" s="17"/>
      <c r="G33" s="17"/>
      <c r="H33" s="17"/>
      <c r="I33" s="17"/>
      <c r="J33" s="17"/>
      <c r="L33" s="7"/>
    </row>
    <row r="34" s="1" customFormat="1" spans="1:12">
      <c r="A34" s="26">
        <v>44623</v>
      </c>
      <c r="B34" s="9" t="s">
        <v>1</v>
      </c>
      <c r="C34" s="10">
        <v>3000</v>
      </c>
      <c r="D34" s="11">
        <v>51.25</v>
      </c>
      <c r="E34" s="12">
        <f>C34*D34</f>
        <v>153750</v>
      </c>
      <c r="F34" s="12">
        <f>E34*0.002</f>
        <v>307.5</v>
      </c>
      <c r="G34" s="12">
        <f>E34*0.00006</f>
        <v>9.225</v>
      </c>
      <c r="H34" s="12">
        <f>E34*0.00001</f>
        <v>1.5375</v>
      </c>
      <c r="I34" s="12">
        <f>(F34+G34+H34)*0.07</f>
        <v>22.278375</v>
      </c>
      <c r="J34" s="12">
        <f>E34+F34+I34+G34+H34</f>
        <v>154090.540875</v>
      </c>
      <c r="K34" s="37"/>
      <c r="L34" s="47"/>
    </row>
    <row r="35" s="1" customFormat="1" spans="1:10">
      <c r="A35" s="26">
        <v>44865</v>
      </c>
      <c r="B35" s="9" t="s">
        <v>3</v>
      </c>
      <c r="C35" s="10">
        <f>C34</f>
        <v>3000</v>
      </c>
      <c r="D35" s="31">
        <v>43.5</v>
      </c>
      <c r="E35" s="11">
        <f>C35*D35</f>
        <v>130500</v>
      </c>
      <c r="F35" s="32">
        <f>E35*0.002</f>
        <v>261</v>
      </c>
      <c r="G35" s="31">
        <f>E35*0.000068</f>
        <v>8.874</v>
      </c>
      <c r="H35" s="31">
        <f>E35*0.00001</f>
        <v>1.305</v>
      </c>
      <c r="I35" s="31">
        <f>(F35+G35+H35)*0.07</f>
        <v>18.98253</v>
      </c>
      <c r="J35" s="31">
        <f>E35-F35-G35-H35-I35</f>
        <v>130209.83847</v>
      </c>
    </row>
    <row r="36" s="51" customFormat="1" ht="18.6" spans="1:11">
      <c r="A36" s="26" t="s">
        <v>4</v>
      </c>
      <c r="B36" s="16">
        <f>(D35-D34)/D34</f>
        <v>-0.151219512195122</v>
      </c>
      <c r="C36" s="10"/>
      <c r="D36" s="11"/>
      <c r="E36" s="12">
        <f>E35-E34</f>
        <v>-23250</v>
      </c>
      <c r="F36" s="12"/>
      <c r="G36" s="12"/>
      <c r="H36" s="12"/>
      <c r="I36" s="12"/>
      <c r="J36" s="12">
        <f>J35-J34</f>
        <v>-23880.702405</v>
      </c>
      <c r="K36" s="47"/>
    </row>
    <row r="37" spans="1:1">
      <c r="A37" s="40" t="s">
        <v>5</v>
      </c>
    </row>
    <row r="38" spans="1:1">
      <c r="A38" s="40">
        <v>44620</v>
      </c>
    </row>
    <row r="39" s="39" customFormat="1" ht="15.6" spans="1:15">
      <c r="A39" s="42">
        <v>44619</v>
      </c>
      <c r="B39" s="1" t="s">
        <v>1</v>
      </c>
      <c r="C39" s="10">
        <v>3000</v>
      </c>
      <c r="D39" s="22">
        <v>54.25</v>
      </c>
      <c r="E39" s="23">
        <f>C39*D39</f>
        <v>162750</v>
      </c>
      <c r="F39" s="23">
        <f>E39*0.002</f>
        <v>325.5</v>
      </c>
      <c r="G39" s="23">
        <f>E39*0.00006</f>
        <v>9.765</v>
      </c>
      <c r="H39" s="23">
        <f>E39*0.00001</f>
        <v>1.6275</v>
      </c>
      <c r="I39" s="23">
        <f>(F39+G39+H39)*0.07</f>
        <v>23.582475</v>
      </c>
      <c r="J39" s="23">
        <f>E39+F39+I39+G39+H39</f>
        <v>163110.474975</v>
      </c>
      <c r="K39" s="37"/>
      <c r="L39" s="1"/>
      <c r="M39" s="1"/>
      <c r="N39" s="1"/>
      <c r="O39" s="1"/>
    </row>
    <row r="40" s="1" customFormat="1" spans="1:10">
      <c r="A40" s="42">
        <v>44524</v>
      </c>
      <c r="B40" s="1" t="s">
        <v>3</v>
      </c>
      <c r="C40" s="21">
        <f>C39</f>
        <v>3000</v>
      </c>
      <c r="D40" s="31">
        <v>58</v>
      </c>
      <c r="E40" s="37">
        <f>C40*D40</f>
        <v>174000</v>
      </c>
      <c r="F40" s="46">
        <f>E40*0.002</f>
        <v>348</v>
      </c>
      <c r="G40" s="45">
        <f>E40*0.000068</f>
        <v>11.832</v>
      </c>
      <c r="H40" s="45">
        <f>E40*0.00001</f>
        <v>1.74</v>
      </c>
      <c r="I40" s="45">
        <f>(F40+G40+H40)*0.07</f>
        <v>25.31004</v>
      </c>
      <c r="J40" s="45">
        <f>E40-F40-G40-H40-I40</f>
        <v>173613.11796</v>
      </c>
    </row>
    <row r="41" s="51" customFormat="1" ht="18.6" spans="1:11">
      <c r="A41" s="42" t="s">
        <v>4</v>
      </c>
      <c r="B41" s="7">
        <f>(D40-D39)/D39</f>
        <v>0.0691244239631336</v>
      </c>
      <c r="C41" s="21"/>
      <c r="D41" s="37"/>
      <c r="E41" s="23">
        <f>E40-E39</f>
        <v>11250</v>
      </c>
      <c r="F41" s="23"/>
      <c r="G41" s="23"/>
      <c r="H41" s="23"/>
      <c r="I41" s="23"/>
      <c r="J41" s="12">
        <f>J40-J39</f>
        <v>10502.642985</v>
      </c>
      <c r="K41" s="47"/>
    </row>
    <row r="42" s="39" customFormat="1" ht="15.6" spans="1:15">
      <c r="A42" s="26">
        <v>44578</v>
      </c>
      <c r="B42" s="1" t="s">
        <v>1</v>
      </c>
      <c r="C42" s="10">
        <v>1600</v>
      </c>
      <c r="D42" s="22">
        <v>59.25</v>
      </c>
      <c r="E42" s="23">
        <f>C42*D42</f>
        <v>94800</v>
      </c>
      <c r="F42" s="23">
        <f>E42*0.002</f>
        <v>189.6</v>
      </c>
      <c r="G42" s="23">
        <f>E42*0.00006</f>
        <v>5.688</v>
      </c>
      <c r="H42" s="23">
        <f>E42*0.00001</f>
        <v>0.948</v>
      </c>
      <c r="I42" s="23">
        <f>(F42+G42+H42)*0.07</f>
        <v>13.73652</v>
      </c>
      <c r="J42" s="23">
        <f>E42+F42+I42+G42+H42</f>
        <v>95009.97252</v>
      </c>
      <c r="K42" s="37"/>
      <c r="L42" s="1"/>
      <c r="M42" s="1"/>
      <c r="N42" s="1"/>
      <c r="O42" s="1"/>
    </row>
    <row r="43" s="1" customFormat="1" spans="1:10">
      <c r="A43" s="42">
        <v>44524</v>
      </c>
      <c r="B43" s="1" t="s">
        <v>3</v>
      </c>
      <c r="C43" s="21">
        <f>C42</f>
        <v>1600</v>
      </c>
      <c r="D43" s="31">
        <v>58</v>
      </c>
      <c r="E43" s="37">
        <f>C43*D43</f>
        <v>92800</v>
      </c>
      <c r="F43" s="46">
        <f>E43*0.002</f>
        <v>185.6</v>
      </c>
      <c r="G43" s="45">
        <f>E43*0.000068</f>
        <v>6.3104</v>
      </c>
      <c r="H43" s="45">
        <f>E43*0.00001</f>
        <v>0.928</v>
      </c>
      <c r="I43" s="45">
        <f>(F43+G43+H43)*0.07</f>
        <v>13.498688</v>
      </c>
      <c r="J43" s="45">
        <f>E43-F43-G43-H43-I43</f>
        <v>92593.662912</v>
      </c>
    </row>
    <row r="44" s="51" customFormat="1" ht="18.6" spans="1:11">
      <c r="A44" s="42" t="s">
        <v>4</v>
      </c>
      <c r="B44" s="7">
        <f>(D43-D42)/D42</f>
        <v>-0.0210970464135021</v>
      </c>
      <c r="C44" s="21"/>
      <c r="D44" s="37"/>
      <c r="E44" s="23">
        <f>E43-E42</f>
        <v>-2000</v>
      </c>
      <c r="F44" s="23"/>
      <c r="G44" s="23"/>
      <c r="H44" s="23"/>
      <c r="I44" s="23"/>
      <c r="J44" s="12">
        <f>J43-J42</f>
        <v>-2416.30960800003</v>
      </c>
      <c r="K44" s="23"/>
    </row>
    <row r="45" s="39" customFormat="1" ht="15.6" spans="1:15">
      <c r="A45" s="42">
        <v>44295</v>
      </c>
      <c r="B45" s="1" t="s">
        <v>1</v>
      </c>
      <c r="C45" s="10">
        <v>1000</v>
      </c>
      <c r="D45" s="22">
        <v>66.75</v>
      </c>
      <c r="E45" s="23">
        <f>C45*D45</f>
        <v>66750</v>
      </c>
      <c r="F45" s="23">
        <f>E45*0.002</f>
        <v>133.5</v>
      </c>
      <c r="G45" s="23">
        <f>E45*0.00006</f>
        <v>4.005</v>
      </c>
      <c r="H45" s="23">
        <f>E45*0.00001</f>
        <v>0.6675</v>
      </c>
      <c r="I45" s="23">
        <f>(F45+G45+H45)*0.07</f>
        <v>9.672075</v>
      </c>
      <c r="J45" s="23">
        <f>E45+F45+I45+G45+H45</f>
        <v>66897.844575</v>
      </c>
      <c r="K45" s="37"/>
      <c r="L45" s="1"/>
      <c r="M45" s="1"/>
      <c r="N45" s="1"/>
      <c r="O45" s="1"/>
    </row>
    <row r="46" s="1" customFormat="1" spans="1:10">
      <c r="A46" s="42">
        <v>44524</v>
      </c>
      <c r="B46" s="1" t="s">
        <v>3</v>
      </c>
      <c r="C46" s="21">
        <f>C45</f>
        <v>1000</v>
      </c>
      <c r="D46" s="45">
        <f>D43</f>
        <v>58</v>
      </c>
      <c r="E46" s="37">
        <f>C46*D46</f>
        <v>58000</v>
      </c>
      <c r="F46" s="46">
        <f>E46*0.002</f>
        <v>116</v>
      </c>
      <c r="G46" s="45">
        <f>E46*0.000068</f>
        <v>3.944</v>
      </c>
      <c r="H46" s="45">
        <f>E46*0.00001</f>
        <v>0.58</v>
      </c>
      <c r="I46" s="45">
        <f>(F46+G46+H46)*0.07</f>
        <v>8.43668</v>
      </c>
      <c r="J46" s="45">
        <f>E46-F46-G46-H46-I46</f>
        <v>57871.03932</v>
      </c>
    </row>
    <row r="47" s="51" customFormat="1" ht="18.6" spans="1:11">
      <c r="A47" s="42" t="s">
        <v>4</v>
      </c>
      <c r="B47" s="7">
        <f>(D46-D45)/D45</f>
        <v>-0.131086142322097</v>
      </c>
      <c r="C47" s="21"/>
      <c r="D47" s="37"/>
      <c r="E47" s="23">
        <f>E46-E45</f>
        <v>-8750</v>
      </c>
      <c r="F47" s="23"/>
      <c r="G47" s="23"/>
      <c r="H47" s="23"/>
      <c r="I47" s="23"/>
      <c r="J47" s="12">
        <f>J46-J45</f>
        <v>-9026.805255</v>
      </c>
      <c r="K47" s="23"/>
    </row>
    <row r="48" s="39" customFormat="1" ht="15.6" spans="1:15">
      <c r="A48" s="42">
        <v>44274</v>
      </c>
      <c r="B48" s="1" t="s">
        <v>1</v>
      </c>
      <c r="C48" s="10">
        <v>2000</v>
      </c>
      <c r="D48" s="22">
        <v>27.25</v>
      </c>
      <c r="E48" s="23">
        <f>C48*D48</f>
        <v>54500</v>
      </c>
      <c r="F48" s="23">
        <f>E48*0.002</f>
        <v>109</v>
      </c>
      <c r="G48" s="23">
        <f>E48*0.00006</f>
        <v>3.27</v>
      </c>
      <c r="H48" s="23">
        <f>E48*0.00001</f>
        <v>0.545</v>
      </c>
      <c r="I48" s="23">
        <f>(F48+G48+H48)*0.07</f>
        <v>7.89705</v>
      </c>
      <c r="J48" s="23">
        <f>E48+F48+I48+G48+H48</f>
        <v>54620.71205</v>
      </c>
      <c r="K48" s="37"/>
      <c r="L48" s="1"/>
      <c r="M48" s="1"/>
      <c r="N48" s="1"/>
      <c r="O48" s="1"/>
    </row>
    <row r="49" s="1" customFormat="1" spans="1:10">
      <c r="A49" s="42">
        <v>44524</v>
      </c>
      <c r="B49" s="1" t="s">
        <v>3</v>
      </c>
      <c r="C49" s="21">
        <f>C48</f>
        <v>2000</v>
      </c>
      <c r="D49" s="45">
        <v>27.75</v>
      </c>
      <c r="E49" s="37">
        <f>C49*D49</f>
        <v>55500</v>
      </c>
      <c r="F49" s="46">
        <f>E49*0.002</f>
        <v>111</v>
      </c>
      <c r="G49" s="45">
        <f>E49*0.000068</f>
        <v>3.774</v>
      </c>
      <c r="H49" s="45">
        <f>E49*0.00001</f>
        <v>0.555</v>
      </c>
      <c r="I49" s="45">
        <f>(F49+G49+H49)*0.07</f>
        <v>8.07303</v>
      </c>
      <c r="J49" s="45">
        <f>E49-F49-G49-H49-I49</f>
        <v>55376.59797</v>
      </c>
    </row>
    <row r="50" s="51" customFormat="1" ht="18.6" spans="1:11">
      <c r="A50" s="42" t="s">
        <v>4</v>
      </c>
      <c r="B50" s="7">
        <f>(D49-D48)/D48</f>
        <v>0.018348623853211</v>
      </c>
      <c r="C50" s="21"/>
      <c r="D50" s="37"/>
      <c r="E50" s="23">
        <f>E49-E48</f>
        <v>1000</v>
      </c>
      <c r="F50" s="23"/>
      <c r="G50" s="23"/>
      <c r="H50" s="23"/>
      <c r="I50" s="23"/>
      <c r="J50" s="12">
        <f>J49-J48</f>
        <v>755.885920000008</v>
      </c>
      <c r="K50" s="23"/>
    </row>
    <row r="51" s="39" customFormat="1" ht="15.6" spans="1:15">
      <c r="A51" s="42">
        <v>44272</v>
      </c>
      <c r="B51" s="1" t="s">
        <v>1</v>
      </c>
      <c r="C51" s="10">
        <v>1400</v>
      </c>
      <c r="D51" s="22">
        <v>66.75</v>
      </c>
      <c r="E51" s="23">
        <f>C51*D51</f>
        <v>93450</v>
      </c>
      <c r="F51" s="23">
        <f>E51*0.002</f>
        <v>186.9</v>
      </c>
      <c r="G51" s="23">
        <f>E51*0.00006</f>
        <v>5.607</v>
      </c>
      <c r="H51" s="23">
        <f>E51*0.00001</f>
        <v>0.9345</v>
      </c>
      <c r="I51" s="23">
        <f>(F51+G51+H51)*0.07</f>
        <v>13.540905</v>
      </c>
      <c r="J51" s="23">
        <f>E51+F51+I51+G51+H51</f>
        <v>93656.982405</v>
      </c>
      <c r="K51" s="37"/>
      <c r="L51" s="1"/>
      <c r="M51" s="1"/>
      <c r="N51" s="1"/>
      <c r="O51" s="1"/>
    </row>
    <row r="52" s="1" customFormat="1" spans="1:10">
      <c r="A52" s="42">
        <v>44524</v>
      </c>
      <c r="B52" s="1" t="s">
        <v>3</v>
      </c>
      <c r="C52" s="21">
        <f>C51</f>
        <v>1400</v>
      </c>
      <c r="D52" s="45">
        <f>D43</f>
        <v>58</v>
      </c>
      <c r="E52" s="37">
        <f>C52*D52</f>
        <v>81200</v>
      </c>
      <c r="F52" s="46">
        <f>E52*0.002</f>
        <v>162.4</v>
      </c>
      <c r="G52" s="45">
        <f>E52*0.000068</f>
        <v>5.5216</v>
      </c>
      <c r="H52" s="45">
        <f>E52*0.00001</f>
        <v>0.812</v>
      </c>
      <c r="I52" s="45">
        <f>(F52+G52+H52)*0.07</f>
        <v>11.811352</v>
      </c>
      <c r="J52" s="45">
        <f>E52-F52-G52-H52-I52</f>
        <v>81019.455048</v>
      </c>
    </row>
    <row r="53" s="51" customFormat="1" ht="18.6" spans="1:11">
      <c r="A53" s="42" t="s">
        <v>4</v>
      </c>
      <c r="B53" s="7">
        <f>(D52-D51)/D51</f>
        <v>-0.131086142322097</v>
      </c>
      <c r="C53" s="21"/>
      <c r="D53" s="37"/>
      <c r="E53" s="23">
        <f>E52-E51</f>
        <v>-12250</v>
      </c>
      <c r="F53" s="23"/>
      <c r="G53" s="23"/>
      <c r="H53" s="23"/>
      <c r="I53" s="23"/>
      <c r="J53" s="12">
        <f>J52-J51</f>
        <v>-12637.527357</v>
      </c>
      <c r="K53" s="23"/>
    </row>
    <row r="54" s="39" customFormat="1" ht="15.6" spans="1:15">
      <c r="A54" s="42">
        <v>44274</v>
      </c>
      <c r="B54" s="1" t="s">
        <v>1</v>
      </c>
      <c r="C54" s="21">
        <v>2000</v>
      </c>
      <c r="D54" s="22">
        <v>27.5</v>
      </c>
      <c r="E54" s="23">
        <f>C54*D54</f>
        <v>55000</v>
      </c>
      <c r="F54" s="23">
        <f>E54*0.002</f>
        <v>110</v>
      </c>
      <c r="G54" s="23">
        <f>E54*0.00006</f>
        <v>3.3</v>
      </c>
      <c r="H54" s="23">
        <f>E54*0.00001</f>
        <v>0.55</v>
      </c>
      <c r="I54" s="23">
        <f>(F54+G54+H54)*0.07</f>
        <v>7.9695</v>
      </c>
      <c r="J54" s="23">
        <f>E54+F54+I54+G54+H54</f>
        <v>55121.8195</v>
      </c>
      <c r="K54" s="37"/>
      <c r="L54" s="1"/>
      <c r="M54" s="1"/>
      <c r="N54" s="1"/>
      <c r="O54" s="1"/>
    </row>
    <row r="55" s="1" customFormat="1" spans="1:10">
      <c r="A55" s="42">
        <v>44524</v>
      </c>
      <c r="B55" s="1" t="s">
        <v>3</v>
      </c>
      <c r="C55" s="21">
        <f>C54</f>
        <v>2000</v>
      </c>
      <c r="D55" s="45">
        <v>28</v>
      </c>
      <c r="E55" s="37">
        <f>C55*D55</f>
        <v>56000</v>
      </c>
      <c r="F55" s="46">
        <f>E55*0.002</f>
        <v>112</v>
      </c>
      <c r="G55" s="45">
        <f>E55*0.000068</f>
        <v>3.808</v>
      </c>
      <c r="H55" s="45">
        <f>E55*0.00001</f>
        <v>0.56</v>
      </c>
      <c r="I55" s="45">
        <f>(F55+G55+H55)*0.07</f>
        <v>8.14576</v>
      </c>
      <c r="J55" s="45">
        <f>E55-F55-G55-H55-I55</f>
        <v>55875.48624</v>
      </c>
    </row>
    <row r="56" s="51" customFormat="1" ht="18.6" spans="1:11">
      <c r="A56" s="42" t="s">
        <v>4</v>
      </c>
      <c r="B56" s="7">
        <f>(D55-D54)/D54</f>
        <v>0.0181818181818182</v>
      </c>
      <c r="C56" s="21"/>
      <c r="D56" s="37"/>
      <c r="E56" s="23">
        <f>E55-E54</f>
        <v>1000</v>
      </c>
      <c r="F56" s="23"/>
      <c r="G56" s="23"/>
      <c r="H56" s="23"/>
      <c r="I56" s="23"/>
      <c r="J56" s="12">
        <f>J55-J54</f>
        <v>753.666740000001</v>
      </c>
      <c r="K56" s="23"/>
    </row>
    <row r="59" s="39" customFormat="1" ht="15.6" spans="1:15">
      <c r="A59" s="42">
        <v>44274</v>
      </c>
      <c r="B59" s="1" t="s">
        <v>1</v>
      </c>
      <c r="C59" s="21">
        <v>3000</v>
      </c>
      <c r="D59" s="22">
        <v>20</v>
      </c>
      <c r="E59" s="23">
        <f>C59*D59</f>
        <v>60000</v>
      </c>
      <c r="F59" s="23">
        <f>E59*0.002</f>
        <v>120</v>
      </c>
      <c r="G59" s="23">
        <f>E59*0.00006</f>
        <v>3.6</v>
      </c>
      <c r="H59" s="23">
        <f>E59*0.00001</f>
        <v>0.6</v>
      </c>
      <c r="I59" s="23">
        <f>(F59+G59+H59)*0.07</f>
        <v>8.694</v>
      </c>
      <c r="J59" s="23">
        <f>E59+F59+I59+G59+H59</f>
        <v>60132.894</v>
      </c>
      <c r="K59" s="37"/>
      <c r="L59" s="1"/>
      <c r="M59" s="1"/>
      <c r="N59" s="1"/>
      <c r="O59" s="1"/>
    </row>
    <row r="60" s="1" customFormat="1" spans="1:10">
      <c r="A60" s="42">
        <v>44524</v>
      </c>
      <c r="B60" s="1" t="s">
        <v>3</v>
      </c>
      <c r="C60" s="21">
        <f>C59</f>
        <v>3000</v>
      </c>
      <c r="D60" s="45">
        <v>21.6</v>
      </c>
      <c r="E60" s="37">
        <f>C60*D60</f>
        <v>64800</v>
      </c>
      <c r="F60" s="46">
        <f>E60*0.002</f>
        <v>129.6</v>
      </c>
      <c r="G60" s="45">
        <f>E60*0.000068</f>
        <v>4.4064</v>
      </c>
      <c r="H60" s="45">
        <f>E60*0.00001</f>
        <v>0.648</v>
      </c>
      <c r="I60" s="45">
        <f>(F60+G60+H60)*0.07</f>
        <v>9.425808</v>
      </c>
      <c r="J60" s="45">
        <f>E60-F60-G60-H60-I60</f>
        <v>64655.919792</v>
      </c>
    </row>
    <row r="61" s="51" customFormat="1" ht="18.6" spans="1:11">
      <c r="A61" s="42" t="s">
        <v>4</v>
      </c>
      <c r="B61" s="7">
        <f>(D60-D59)/D59</f>
        <v>0.0800000000000001</v>
      </c>
      <c r="C61" s="21"/>
      <c r="D61" s="37"/>
      <c r="E61" s="23">
        <f>E60-E59</f>
        <v>4800.00000000001</v>
      </c>
      <c r="F61" s="23"/>
      <c r="G61" s="23"/>
      <c r="H61" s="23"/>
      <c r="I61" s="23"/>
      <c r="J61" s="12">
        <f>J60-J59</f>
        <v>4523.02579200001</v>
      </c>
      <c r="K61" s="23"/>
    </row>
  </sheetData>
  <sheetProtection selectLockedCells="1" selectUnlockedCells="1"/>
  <pageMargins left="0.7" right="0.7" top="0.75" bottom="0.75" header="0.511805555555556" footer="0.511805555555556"/>
  <pageSetup paperSize="9" firstPageNumber="0" orientation="portrait" useFirstPageNumber="1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O61"/>
  <sheetViews>
    <sheetView workbookViewId="0">
      <selection activeCell="A59" sqref="$A59:$XFD61"/>
    </sheetView>
  </sheetViews>
  <sheetFormatPr defaultColWidth="8.88888888888889" defaultRowHeight="13.8"/>
  <cols>
    <col min="1" max="1" width="10.6666666666667" style="40" customWidth="1"/>
    <col min="2" max="2" width="7.44444444444444" style="5" customWidth="1"/>
    <col min="3" max="3" width="6.66666666666667" style="5" customWidth="1"/>
    <col min="4" max="4" width="7.66666666666667" style="5" customWidth="1"/>
    <col min="5" max="5" width="11.1111111111111" style="5" customWidth="1"/>
    <col min="6" max="6" width="9" style="5"/>
    <col min="7" max="7" width="6.66666666666667" style="5" customWidth="1"/>
    <col min="8" max="8" width="5.77777777777778" style="5" customWidth="1"/>
    <col min="9" max="9" width="7.22222222222222" style="5" customWidth="1"/>
    <col min="10" max="10" width="11.1111111111111" style="5" customWidth="1"/>
    <col min="11" max="11" width="9.33333333333333" style="5" customWidth="1"/>
    <col min="12" max="12" width="8.88888888888889" style="7"/>
    <col min="13" max="16384" width="8.88888888888889" style="5"/>
  </cols>
  <sheetData>
    <row r="1" spans="2:2">
      <c r="B1" s="5" t="s">
        <v>6</v>
      </c>
    </row>
    <row r="2" s="1" customFormat="1" spans="1:12">
      <c r="A2" s="26">
        <v>44362</v>
      </c>
      <c r="B2" s="9" t="s">
        <v>1</v>
      </c>
      <c r="C2" s="10">
        <v>2500</v>
      </c>
      <c r="D2" s="11">
        <v>40</v>
      </c>
      <c r="E2" s="12">
        <f t="shared" ref="E2:E7" si="0">C2*D2</f>
        <v>100000</v>
      </c>
      <c r="F2" s="12">
        <f t="shared" ref="F2:F7" si="1">E2*0.002</f>
        <v>200</v>
      </c>
      <c r="G2" s="12">
        <f t="shared" ref="G2:G7" si="2">E2*0.00006</f>
        <v>6</v>
      </c>
      <c r="H2" s="12">
        <f t="shared" ref="H2:H7" si="3">E2*0.00001</f>
        <v>1</v>
      </c>
      <c r="I2" s="12">
        <f t="shared" ref="I2:I7" si="4">(F2+G2+H2)*0.07</f>
        <v>14.49</v>
      </c>
      <c r="J2" s="12">
        <f t="shared" ref="J2:J7" si="5">E2+F2+I2+G2+H2</f>
        <v>100221.49</v>
      </c>
      <c r="K2" s="11"/>
      <c r="L2" s="35"/>
    </row>
    <row r="3" s="39" customFormat="1" ht="15.6" spans="1:15">
      <c r="A3" s="26">
        <v>44368</v>
      </c>
      <c r="B3" s="9" t="s">
        <v>1</v>
      </c>
      <c r="C3" s="10">
        <v>2500</v>
      </c>
      <c r="D3" s="14">
        <v>40</v>
      </c>
      <c r="E3" s="12">
        <f t="shared" si="0"/>
        <v>100000</v>
      </c>
      <c r="F3" s="12">
        <f t="shared" si="1"/>
        <v>200</v>
      </c>
      <c r="G3" s="12">
        <f t="shared" si="2"/>
        <v>6</v>
      </c>
      <c r="H3" s="12">
        <f t="shared" si="3"/>
        <v>1</v>
      </c>
      <c r="I3" s="12">
        <f t="shared" si="4"/>
        <v>14.49</v>
      </c>
      <c r="J3" s="12">
        <f t="shared" si="5"/>
        <v>100221.49</v>
      </c>
      <c r="K3" s="37"/>
      <c r="L3" s="1"/>
      <c r="M3" s="1"/>
      <c r="N3" s="1"/>
      <c r="O3" s="1"/>
    </row>
    <row r="4" spans="1:13">
      <c r="A4" s="33"/>
      <c r="B4" s="16">
        <f t="shared" ref="B4:B8" si="6">(D3-D2)/D2</f>
        <v>0</v>
      </c>
      <c r="C4" s="17">
        <f t="shared" ref="C4:J4" si="7">SUM(C2:C3)</f>
        <v>5000</v>
      </c>
      <c r="D4" s="18">
        <f t="shared" ref="D4:D8" si="8">E4/C4</f>
        <v>40</v>
      </c>
      <c r="E4" s="17">
        <f t="shared" si="7"/>
        <v>200000</v>
      </c>
      <c r="F4" s="17">
        <f t="shared" si="7"/>
        <v>400</v>
      </c>
      <c r="G4" s="17">
        <f t="shared" si="7"/>
        <v>12</v>
      </c>
      <c r="H4" s="17">
        <f t="shared" si="7"/>
        <v>2</v>
      </c>
      <c r="I4" s="17">
        <f t="shared" si="7"/>
        <v>28.98</v>
      </c>
      <c r="J4" s="17">
        <f t="shared" si="7"/>
        <v>200442.98</v>
      </c>
      <c r="K4" s="37"/>
      <c r="L4" s="1"/>
      <c r="M4" s="1"/>
    </row>
    <row r="5" s="39" customFormat="1" ht="15.6" spans="1:15">
      <c r="A5" s="26">
        <v>45569</v>
      </c>
      <c r="B5" s="9" t="s">
        <v>1</v>
      </c>
      <c r="C5" s="10">
        <v>2500</v>
      </c>
      <c r="D5" s="14">
        <v>21.4</v>
      </c>
      <c r="E5" s="12">
        <f t="shared" si="0"/>
        <v>53500</v>
      </c>
      <c r="F5" s="12">
        <f t="shared" si="1"/>
        <v>107</v>
      </c>
      <c r="G5" s="12">
        <f t="shared" si="2"/>
        <v>3.21</v>
      </c>
      <c r="H5" s="12">
        <f t="shared" si="3"/>
        <v>0.535</v>
      </c>
      <c r="I5" s="12">
        <f t="shared" si="4"/>
        <v>7.75215</v>
      </c>
      <c r="J5" s="12">
        <f t="shared" si="5"/>
        <v>53618.49715</v>
      </c>
      <c r="K5" s="37"/>
      <c r="L5" s="1"/>
      <c r="M5" s="1"/>
      <c r="N5" s="1"/>
      <c r="O5" s="1"/>
    </row>
    <row r="6" spans="1:13">
      <c r="A6" s="33"/>
      <c r="B6" s="16">
        <f t="shared" si="6"/>
        <v>-0.465</v>
      </c>
      <c r="C6" s="17">
        <f t="shared" ref="C6:J6" si="9">SUM(C4:C5)</f>
        <v>7500</v>
      </c>
      <c r="D6" s="18">
        <f t="shared" si="8"/>
        <v>33.8</v>
      </c>
      <c r="E6" s="17">
        <f t="shared" si="9"/>
        <v>253500</v>
      </c>
      <c r="F6" s="17">
        <f t="shared" si="9"/>
        <v>507</v>
      </c>
      <c r="G6" s="17">
        <f t="shared" si="9"/>
        <v>15.21</v>
      </c>
      <c r="H6" s="17">
        <f t="shared" si="9"/>
        <v>2.535</v>
      </c>
      <c r="I6" s="17">
        <f t="shared" si="9"/>
        <v>36.73215</v>
      </c>
      <c r="J6" s="17">
        <f t="shared" si="9"/>
        <v>254061.47715</v>
      </c>
      <c r="K6" s="37"/>
      <c r="L6" s="1"/>
      <c r="M6" s="1"/>
    </row>
    <row r="7" spans="1:15">
      <c r="A7" s="26">
        <v>45608</v>
      </c>
      <c r="B7" s="9" t="s">
        <v>1</v>
      </c>
      <c r="C7" s="10">
        <v>2500</v>
      </c>
      <c r="D7" s="14">
        <v>18.6</v>
      </c>
      <c r="E7" s="12">
        <f t="shared" si="0"/>
        <v>46500</v>
      </c>
      <c r="F7" s="12">
        <f t="shared" si="1"/>
        <v>93</v>
      </c>
      <c r="G7" s="12">
        <f t="shared" si="2"/>
        <v>2.79</v>
      </c>
      <c r="H7" s="12">
        <f t="shared" si="3"/>
        <v>0.465</v>
      </c>
      <c r="I7" s="12">
        <f t="shared" si="4"/>
        <v>6.73785</v>
      </c>
      <c r="J7" s="12">
        <f t="shared" si="5"/>
        <v>46602.99285</v>
      </c>
      <c r="K7" s="37"/>
      <c r="L7" s="1"/>
      <c r="M7" s="1"/>
      <c r="N7" s="1"/>
      <c r="O7" s="1"/>
    </row>
    <row r="8" spans="1:13">
      <c r="A8" s="33"/>
      <c r="B8" s="16">
        <f t="shared" si="6"/>
        <v>-0.449704142011834</v>
      </c>
      <c r="C8" s="17">
        <f t="shared" ref="C8:J8" si="10">SUM(C6:C7)</f>
        <v>10000</v>
      </c>
      <c r="D8" s="18">
        <f t="shared" si="8"/>
        <v>30</v>
      </c>
      <c r="E8" s="17">
        <f t="shared" si="10"/>
        <v>300000</v>
      </c>
      <c r="F8" s="17">
        <f t="shared" si="10"/>
        <v>600</v>
      </c>
      <c r="G8" s="17">
        <f t="shared" si="10"/>
        <v>18</v>
      </c>
      <c r="H8" s="17">
        <f t="shared" si="10"/>
        <v>3</v>
      </c>
      <c r="I8" s="17">
        <f t="shared" si="10"/>
        <v>43.47</v>
      </c>
      <c r="J8" s="17">
        <f t="shared" si="10"/>
        <v>300664.47</v>
      </c>
      <c r="K8" s="37"/>
      <c r="L8" s="1"/>
      <c r="M8" s="1"/>
    </row>
    <row r="9" spans="1:15">
      <c r="A9" s="42">
        <v>45812</v>
      </c>
      <c r="B9" s="1" t="s">
        <v>1</v>
      </c>
      <c r="C9" s="21">
        <v>2500</v>
      </c>
      <c r="D9" s="22">
        <v>11</v>
      </c>
      <c r="E9" s="23">
        <f t="shared" ref="E9:E13" si="11">C9*D9</f>
        <v>27500</v>
      </c>
      <c r="F9" s="23">
        <f t="shared" ref="F9:F13" si="12">E9*0.002</f>
        <v>55</v>
      </c>
      <c r="G9" s="23">
        <f>E9*0.00006</f>
        <v>1.65</v>
      </c>
      <c r="H9" s="23">
        <f t="shared" ref="H9:H13" si="13">E9*0.00001</f>
        <v>0.275</v>
      </c>
      <c r="I9" s="23">
        <f t="shared" ref="I9:I13" si="14">(F9+G9+H9)*0.07</f>
        <v>3.98475</v>
      </c>
      <c r="J9" s="23">
        <f>E9+F9+I9+G9+H9</f>
        <v>27560.90975</v>
      </c>
      <c r="K9" s="37"/>
      <c r="L9" s="1"/>
      <c r="M9" s="1"/>
      <c r="N9" s="1"/>
      <c r="O9" s="1"/>
    </row>
    <row r="10" spans="2:13">
      <c r="B10" s="7">
        <f>(D9-D8)/D8</f>
        <v>-0.633333333333333</v>
      </c>
      <c r="C10" s="6">
        <f t="shared" ref="C10:J10" si="15">SUM(C8:C9)</f>
        <v>12500</v>
      </c>
      <c r="D10" s="25">
        <f>E10/C10</f>
        <v>26.2</v>
      </c>
      <c r="E10" s="6">
        <f t="shared" si="15"/>
        <v>327500</v>
      </c>
      <c r="F10" s="6">
        <f t="shared" si="15"/>
        <v>655</v>
      </c>
      <c r="G10" s="6">
        <f t="shared" si="15"/>
        <v>19.65</v>
      </c>
      <c r="H10" s="6">
        <f t="shared" si="15"/>
        <v>3.275</v>
      </c>
      <c r="I10" s="6">
        <f t="shared" si="15"/>
        <v>47.45475</v>
      </c>
      <c r="J10" s="6">
        <f t="shared" si="15"/>
        <v>328225.37975</v>
      </c>
      <c r="K10" s="37"/>
      <c r="L10" s="1"/>
      <c r="M10" s="1"/>
    </row>
    <row r="11" spans="2:13">
      <c r="B11" s="7"/>
      <c r="C11" s="6"/>
      <c r="D11" s="25"/>
      <c r="E11" s="6"/>
      <c r="F11" s="6"/>
      <c r="G11" s="6"/>
      <c r="H11" s="6"/>
      <c r="I11" s="6"/>
      <c r="J11" s="6"/>
      <c r="K11" s="37"/>
      <c r="L11" s="1"/>
      <c r="M11" s="1"/>
    </row>
    <row r="12" s="39" customFormat="1" ht="15.6" spans="1:15">
      <c r="A12" s="26">
        <v>45195</v>
      </c>
      <c r="B12" s="9" t="s">
        <v>1</v>
      </c>
      <c r="C12" s="10">
        <v>2500</v>
      </c>
      <c r="D12" s="14">
        <v>16</v>
      </c>
      <c r="E12" s="12">
        <f t="shared" si="11"/>
        <v>40000</v>
      </c>
      <c r="F12" s="12">
        <f t="shared" si="12"/>
        <v>80</v>
      </c>
      <c r="G12" s="12">
        <f>E12*0.00006</f>
        <v>2.4</v>
      </c>
      <c r="H12" s="12">
        <f t="shared" si="13"/>
        <v>0.4</v>
      </c>
      <c r="I12" s="12">
        <f t="shared" si="14"/>
        <v>5.796</v>
      </c>
      <c r="J12" s="12">
        <f>E12+F12+I12+G12+H12</f>
        <v>40088.596</v>
      </c>
      <c r="K12" s="37"/>
      <c r="L12" s="1"/>
      <c r="M12" s="1"/>
      <c r="N12" s="1"/>
      <c r="O12" s="1"/>
    </row>
    <row r="13" spans="1:12">
      <c r="A13" s="26">
        <v>45294</v>
      </c>
      <c r="B13" s="9" t="s">
        <v>3</v>
      </c>
      <c r="C13" s="10">
        <f>C12</f>
        <v>2500</v>
      </c>
      <c r="D13" s="31">
        <v>16.9</v>
      </c>
      <c r="E13" s="11">
        <f t="shared" si="11"/>
        <v>42250</v>
      </c>
      <c r="F13" s="32">
        <f t="shared" si="12"/>
        <v>84.5</v>
      </c>
      <c r="G13" s="31">
        <f>E13*0.000068</f>
        <v>2.873</v>
      </c>
      <c r="H13" s="31">
        <f t="shared" si="13"/>
        <v>0.4225</v>
      </c>
      <c r="I13" s="31">
        <f t="shared" si="14"/>
        <v>6.145685</v>
      </c>
      <c r="J13" s="31">
        <f>E13-F13-G13-H13-I13</f>
        <v>42156.058815</v>
      </c>
      <c r="L13" s="5"/>
    </row>
    <row r="14" spans="1:12">
      <c r="A14" s="26" t="s">
        <v>4</v>
      </c>
      <c r="B14" s="16">
        <f>J14/J12</f>
        <v>0.0515723427929477</v>
      </c>
      <c r="C14" s="10"/>
      <c r="D14" s="11"/>
      <c r="E14" s="12">
        <f>E13-E12</f>
        <v>2250</v>
      </c>
      <c r="F14" s="12"/>
      <c r="G14" s="12"/>
      <c r="H14" s="12"/>
      <c r="I14" s="12"/>
      <c r="J14" s="12">
        <f>J13-J12</f>
        <v>2067.46281499999</v>
      </c>
      <c r="L14" s="5"/>
    </row>
    <row r="15" spans="1:12">
      <c r="A15" s="42"/>
      <c r="B15" s="1"/>
      <c r="C15" s="21"/>
      <c r="D15" s="37"/>
      <c r="E15" s="23"/>
      <c r="F15" s="23"/>
      <c r="G15" s="23"/>
      <c r="H15" s="23"/>
      <c r="I15" s="23"/>
      <c r="J15" s="23"/>
      <c r="L15" s="5"/>
    </row>
    <row r="16" s="39" customFormat="1" ht="15.6" spans="1:15">
      <c r="A16" s="26">
        <v>44550</v>
      </c>
      <c r="B16" s="9" t="s">
        <v>1</v>
      </c>
      <c r="C16" s="10">
        <v>2500</v>
      </c>
      <c r="D16" s="14">
        <v>29.5</v>
      </c>
      <c r="E16" s="12">
        <f t="shared" ref="E16:E21" si="16">C16*D16</f>
        <v>73750</v>
      </c>
      <c r="F16" s="12">
        <f t="shared" ref="F16:F21" si="17">E16*0.002</f>
        <v>147.5</v>
      </c>
      <c r="G16" s="12">
        <f>E16*0.00006</f>
        <v>4.425</v>
      </c>
      <c r="H16" s="12">
        <f t="shared" ref="H16:H21" si="18">E16*0.00001</f>
        <v>0.7375</v>
      </c>
      <c r="I16" s="12">
        <f t="shared" ref="I16:I21" si="19">(F16+G16+H16)*0.07</f>
        <v>10.686375</v>
      </c>
      <c r="J16" s="12">
        <f>E16+F16+I16+G16+H16</f>
        <v>73913.348875</v>
      </c>
      <c r="K16" s="37"/>
      <c r="L16" s="1"/>
      <c r="M16" s="1"/>
      <c r="N16" s="1"/>
      <c r="O16" s="1"/>
    </row>
    <row r="17" spans="1:12">
      <c r="A17" s="26">
        <v>44922</v>
      </c>
      <c r="B17" s="9" t="s">
        <v>3</v>
      </c>
      <c r="C17" s="10">
        <f>C16</f>
        <v>2500</v>
      </c>
      <c r="D17" s="31">
        <v>19.7</v>
      </c>
      <c r="E17" s="11">
        <f t="shared" si="16"/>
        <v>49250</v>
      </c>
      <c r="F17" s="32">
        <f t="shared" si="17"/>
        <v>98.5</v>
      </c>
      <c r="G17" s="31">
        <f>E17*0.000068</f>
        <v>3.349</v>
      </c>
      <c r="H17" s="31">
        <f t="shared" si="18"/>
        <v>0.4925</v>
      </c>
      <c r="I17" s="31">
        <f t="shared" si="19"/>
        <v>7.163905</v>
      </c>
      <c r="J17" s="31">
        <f>E17-F17-G17-H17-I17</f>
        <v>49140.494595</v>
      </c>
      <c r="L17" s="5"/>
    </row>
    <row r="18" spans="1:12">
      <c r="A18" s="26" t="s">
        <v>4</v>
      </c>
      <c r="B18" s="9"/>
      <c r="C18" s="10"/>
      <c r="D18" s="11"/>
      <c r="E18" s="12">
        <f>E17-E16</f>
        <v>-24500</v>
      </c>
      <c r="F18" s="12"/>
      <c r="G18" s="12"/>
      <c r="H18" s="12"/>
      <c r="I18" s="12"/>
      <c r="J18" s="12">
        <f>J17-J16</f>
        <v>-24772.85428</v>
      </c>
      <c r="L18" s="5"/>
    </row>
    <row r="19" spans="2:13">
      <c r="B19" s="7"/>
      <c r="C19" s="6"/>
      <c r="D19" s="25"/>
      <c r="E19" s="6"/>
      <c r="F19" s="6"/>
      <c r="G19" s="6"/>
      <c r="H19" s="6"/>
      <c r="I19" s="6"/>
      <c r="J19" s="6"/>
      <c r="K19" s="37"/>
      <c r="L19" s="1"/>
      <c r="M19" s="1"/>
    </row>
    <row r="20" s="39" customFormat="1" ht="15.6" spans="1:15">
      <c r="A20" s="26">
        <v>44624</v>
      </c>
      <c r="B20" s="9" t="s">
        <v>1</v>
      </c>
      <c r="C20" s="10">
        <v>2500</v>
      </c>
      <c r="D20" s="14">
        <v>25.75</v>
      </c>
      <c r="E20" s="12">
        <f t="shared" si="16"/>
        <v>64375</v>
      </c>
      <c r="F20" s="12">
        <f t="shared" si="17"/>
        <v>128.75</v>
      </c>
      <c r="G20" s="12">
        <f>E20*0.00006</f>
        <v>3.8625</v>
      </c>
      <c r="H20" s="12">
        <f t="shared" si="18"/>
        <v>0.64375</v>
      </c>
      <c r="I20" s="12">
        <f t="shared" si="19"/>
        <v>9.3279375</v>
      </c>
      <c r="J20" s="12">
        <f>E20+F20+I20+G20+H20</f>
        <v>64517.5841875</v>
      </c>
      <c r="K20" s="37"/>
      <c r="L20" s="1"/>
      <c r="M20" s="1"/>
      <c r="N20" s="1"/>
      <c r="O20" s="1"/>
    </row>
    <row r="21" spans="1:12">
      <c r="A21" s="26">
        <v>44866</v>
      </c>
      <c r="B21" s="9" t="s">
        <v>3</v>
      </c>
      <c r="C21" s="10">
        <f>C20</f>
        <v>2500</v>
      </c>
      <c r="D21" s="31">
        <v>19.2</v>
      </c>
      <c r="E21" s="11">
        <f t="shared" si="16"/>
        <v>48000</v>
      </c>
      <c r="F21" s="32">
        <f t="shared" si="17"/>
        <v>96</v>
      </c>
      <c r="G21" s="31">
        <f>E21*0.000068</f>
        <v>3.264</v>
      </c>
      <c r="H21" s="31">
        <f t="shared" si="18"/>
        <v>0.48</v>
      </c>
      <c r="I21" s="31">
        <f t="shared" si="19"/>
        <v>6.98208</v>
      </c>
      <c r="J21" s="31">
        <f>E21-F21-G21-H21-I21</f>
        <v>47893.27392</v>
      </c>
      <c r="L21" s="5"/>
    </row>
    <row r="22" spans="1:12">
      <c r="A22" s="26" t="s">
        <v>4</v>
      </c>
      <c r="B22" s="9"/>
      <c r="C22" s="10"/>
      <c r="D22" s="11"/>
      <c r="E22" s="12">
        <f>E21-E20</f>
        <v>-16375</v>
      </c>
      <c r="F22" s="12"/>
      <c r="G22" s="12"/>
      <c r="H22" s="12"/>
      <c r="I22" s="12"/>
      <c r="J22" s="12">
        <f>J21-J20</f>
        <v>-16624.3102675</v>
      </c>
      <c r="L22" s="5"/>
    </row>
    <row r="23" spans="1:12">
      <c r="A23" s="42"/>
      <c r="B23" s="1"/>
      <c r="C23" s="21"/>
      <c r="D23" s="37"/>
      <c r="E23" s="23"/>
      <c r="F23" s="23"/>
      <c r="G23" s="23"/>
      <c r="H23" s="23"/>
      <c r="I23" s="23"/>
      <c r="J23" s="23"/>
      <c r="L23" s="5"/>
    </row>
    <row r="24" s="39" customFormat="1" ht="15.6" spans="1:15">
      <c r="A24" s="26">
        <v>45195</v>
      </c>
      <c r="B24" s="9" t="s">
        <v>1</v>
      </c>
      <c r="C24" s="10">
        <v>2500</v>
      </c>
      <c r="D24" s="14">
        <v>16</v>
      </c>
      <c r="E24" s="12">
        <f t="shared" ref="E24:E28" si="20">C24*D24</f>
        <v>40000</v>
      </c>
      <c r="F24" s="12">
        <f t="shared" ref="F24:F28" si="21">E24*0.002</f>
        <v>80</v>
      </c>
      <c r="G24" s="12">
        <f>E24*0.00006</f>
        <v>2.4</v>
      </c>
      <c r="H24" s="12">
        <f t="shared" ref="H24:H28" si="22">E24*0.00001</f>
        <v>0.4</v>
      </c>
      <c r="I24" s="12">
        <f t="shared" ref="I24:I28" si="23">(F24+G24+H24)*0.07</f>
        <v>5.796</v>
      </c>
      <c r="J24" s="12">
        <f>E24+F24+I24+G24+H24</f>
        <v>40088.596</v>
      </c>
      <c r="K24" s="37"/>
      <c r="L24" s="1"/>
      <c r="M24" s="1"/>
      <c r="N24" s="1"/>
      <c r="O24" s="1"/>
    </row>
    <row r="25" spans="1:12">
      <c r="A25" s="42">
        <v>44634</v>
      </c>
      <c r="B25" s="1" t="s">
        <v>3</v>
      </c>
      <c r="C25" s="21">
        <f>C24</f>
        <v>2500</v>
      </c>
      <c r="D25" s="45">
        <v>16.8</v>
      </c>
      <c r="E25" s="37">
        <f t="shared" si="20"/>
        <v>42000</v>
      </c>
      <c r="F25" s="46">
        <f t="shared" si="21"/>
        <v>84</v>
      </c>
      <c r="G25" s="45">
        <f>E25*0.000068</f>
        <v>2.856</v>
      </c>
      <c r="H25" s="45">
        <f t="shared" si="22"/>
        <v>0.42</v>
      </c>
      <c r="I25" s="45">
        <f t="shared" si="23"/>
        <v>6.10932</v>
      </c>
      <c r="J25" s="45">
        <f>E25-F25-G25-H25-I25</f>
        <v>41906.61468</v>
      </c>
      <c r="L25" s="5"/>
    </row>
    <row r="26" spans="1:12">
      <c r="A26" s="42" t="s">
        <v>4</v>
      </c>
      <c r="B26" s="1"/>
      <c r="C26" s="21"/>
      <c r="D26" s="37"/>
      <c r="E26" s="23">
        <f>E25-E24</f>
        <v>2000</v>
      </c>
      <c r="F26" s="23"/>
      <c r="G26" s="23"/>
      <c r="H26" s="23"/>
      <c r="I26" s="23"/>
      <c r="J26" s="23">
        <f>J25-J24</f>
        <v>1818.01867999999</v>
      </c>
      <c r="L26" s="5"/>
    </row>
    <row r="27" spans="1:12">
      <c r="A27" s="42">
        <v>44627</v>
      </c>
      <c r="B27" s="1" t="s">
        <v>1</v>
      </c>
      <c r="C27" s="21">
        <v>2500</v>
      </c>
      <c r="D27" s="22">
        <v>19</v>
      </c>
      <c r="E27" s="23">
        <f t="shared" si="20"/>
        <v>47500</v>
      </c>
      <c r="F27" s="23">
        <f t="shared" si="21"/>
        <v>95</v>
      </c>
      <c r="G27" s="23">
        <f>E27*0.00006</f>
        <v>2.85</v>
      </c>
      <c r="H27" s="23">
        <f t="shared" si="22"/>
        <v>0.475</v>
      </c>
      <c r="I27" s="23">
        <f t="shared" si="23"/>
        <v>6.88275</v>
      </c>
      <c r="J27" s="23">
        <f>E27+F27+I27+G27+H27</f>
        <v>47605.20775</v>
      </c>
      <c r="L27" s="5"/>
    </row>
    <row r="28" spans="1:12">
      <c r="A28" s="42">
        <v>44634</v>
      </c>
      <c r="B28" s="1" t="s">
        <v>3</v>
      </c>
      <c r="C28" s="21">
        <f>C27</f>
        <v>2500</v>
      </c>
      <c r="D28" s="45">
        <v>20.1</v>
      </c>
      <c r="E28" s="37">
        <f t="shared" si="20"/>
        <v>50250</v>
      </c>
      <c r="F28" s="46">
        <f t="shared" si="21"/>
        <v>100.5</v>
      </c>
      <c r="G28" s="45">
        <f>E28*0.000068</f>
        <v>3.417</v>
      </c>
      <c r="H28" s="45">
        <f t="shared" si="22"/>
        <v>0.5025</v>
      </c>
      <c r="I28" s="45">
        <f t="shared" si="23"/>
        <v>7.309365</v>
      </c>
      <c r="J28" s="45">
        <f>E28-F28-G28-H28-I28</f>
        <v>50138.271135</v>
      </c>
      <c r="L28" s="5"/>
    </row>
    <row r="29" spans="1:12">
      <c r="A29" s="42" t="s">
        <v>4</v>
      </c>
      <c r="B29" s="47">
        <f>(D28-D27)/D27</f>
        <v>0.0578947368421053</v>
      </c>
      <c r="C29" s="21"/>
      <c r="D29" s="37"/>
      <c r="E29" s="23">
        <f>E28-E27</f>
        <v>2750</v>
      </c>
      <c r="F29" s="23"/>
      <c r="G29" s="23"/>
      <c r="H29" s="23"/>
      <c r="I29" s="23"/>
      <c r="J29" s="23">
        <f>J28-J27</f>
        <v>2533.063385</v>
      </c>
      <c r="L29" s="5"/>
    </row>
    <row r="30" spans="4:12">
      <c r="D30" s="25"/>
      <c r="J30" s="50"/>
      <c r="L30" s="5"/>
    </row>
    <row r="31" s="39" customFormat="1" ht="15.6" spans="1:15">
      <c r="A31" s="42">
        <v>44624</v>
      </c>
      <c r="B31" s="1" t="s">
        <v>1</v>
      </c>
      <c r="C31" s="10">
        <v>2500</v>
      </c>
      <c r="D31" s="22">
        <v>25.75</v>
      </c>
      <c r="E31" s="23">
        <f t="shared" ref="E31:E35" si="24">C31*D31</f>
        <v>64375</v>
      </c>
      <c r="F31" s="23">
        <f t="shared" ref="F31:F35" si="25">E31*0.002</f>
        <v>128.75</v>
      </c>
      <c r="G31" s="23">
        <f>E31*0.00006</f>
        <v>3.8625</v>
      </c>
      <c r="H31" s="23">
        <f t="shared" ref="H31:H35" si="26">E31*0.00001</f>
        <v>0.64375</v>
      </c>
      <c r="I31" s="23">
        <f t="shared" ref="I31:I35" si="27">(F31+G31+H31)*0.07</f>
        <v>9.3279375</v>
      </c>
      <c r="J31" s="23">
        <f>E31+F31+I31+G31+H31</f>
        <v>64517.5841875</v>
      </c>
      <c r="K31" s="37"/>
      <c r="L31" s="1"/>
      <c r="M31" s="1"/>
      <c r="N31" s="1"/>
      <c r="O31" s="1"/>
    </row>
    <row r="32" s="1" customFormat="1" spans="1:11">
      <c r="A32" s="42" t="e">
        <f>#REF!</f>
        <v>#REF!</v>
      </c>
      <c r="B32" s="1" t="s">
        <v>3</v>
      </c>
      <c r="C32" s="21">
        <f>C31</f>
        <v>2500</v>
      </c>
      <c r="D32" s="31">
        <v>29.5</v>
      </c>
      <c r="E32" s="37">
        <f t="shared" si="24"/>
        <v>73750</v>
      </c>
      <c r="F32" s="46">
        <f t="shared" si="25"/>
        <v>147.5</v>
      </c>
      <c r="G32" s="45">
        <f>E32*0.000068</f>
        <v>5.015</v>
      </c>
      <c r="H32" s="45">
        <f t="shared" si="26"/>
        <v>0.7375</v>
      </c>
      <c r="I32" s="45">
        <f t="shared" si="27"/>
        <v>10.727675</v>
      </c>
      <c r="J32" s="45">
        <f>E32-F32-G32-H32-I32</f>
        <v>73586.019825</v>
      </c>
      <c r="K32" s="21"/>
    </row>
    <row r="33" s="51" customFormat="1" ht="18.6" spans="1:11">
      <c r="A33" s="42" t="s">
        <v>4</v>
      </c>
      <c r="B33" s="7">
        <f>(D32-D31)/D31</f>
        <v>0.145631067961165</v>
      </c>
      <c r="C33" s="21"/>
      <c r="D33" s="37"/>
      <c r="E33" s="23">
        <f>E32-E31</f>
        <v>9375</v>
      </c>
      <c r="F33" s="23"/>
      <c r="G33" s="23"/>
      <c r="H33" s="23"/>
      <c r="I33" s="23"/>
      <c r="J33" s="23">
        <f>J32-J31</f>
        <v>9068.43563749999</v>
      </c>
      <c r="K33" s="23"/>
    </row>
    <row r="34" s="39" customFormat="1" ht="15.6" spans="1:15">
      <c r="A34" s="26">
        <v>44550</v>
      </c>
      <c r="B34" s="1" t="s">
        <v>1</v>
      </c>
      <c r="C34" s="10">
        <v>2500</v>
      </c>
      <c r="D34" s="22">
        <v>29.5</v>
      </c>
      <c r="E34" s="23">
        <f t="shared" si="24"/>
        <v>73750</v>
      </c>
      <c r="F34" s="23">
        <f t="shared" si="25"/>
        <v>147.5</v>
      </c>
      <c r="G34" s="23">
        <f>E34*0.00006</f>
        <v>4.425</v>
      </c>
      <c r="H34" s="23">
        <f t="shared" si="26"/>
        <v>0.7375</v>
      </c>
      <c r="I34" s="23">
        <f t="shared" si="27"/>
        <v>10.686375</v>
      </c>
      <c r="J34" s="23">
        <f>E34+F34+I34+G34+H34</f>
        <v>73913.348875</v>
      </c>
      <c r="K34" s="37"/>
      <c r="L34" s="1"/>
      <c r="M34" s="1"/>
      <c r="N34" s="1"/>
      <c r="O34" s="1"/>
    </row>
    <row r="35" s="1" customFormat="1" spans="1:11">
      <c r="A35" s="42" t="e">
        <f>A32</f>
        <v>#REF!</v>
      </c>
      <c r="B35" s="1" t="s">
        <v>3</v>
      </c>
      <c r="C35" s="21">
        <f>C34</f>
        <v>2500</v>
      </c>
      <c r="D35" s="45">
        <f>D32</f>
        <v>29.5</v>
      </c>
      <c r="E35" s="37">
        <f t="shared" si="24"/>
        <v>73750</v>
      </c>
      <c r="F35" s="46">
        <f t="shared" si="25"/>
        <v>147.5</v>
      </c>
      <c r="G35" s="45">
        <f>E35*0.000068</f>
        <v>5.015</v>
      </c>
      <c r="H35" s="45">
        <f t="shared" si="26"/>
        <v>0.7375</v>
      </c>
      <c r="I35" s="45">
        <f t="shared" si="27"/>
        <v>10.727675</v>
      </c>
      <c r="J35" s="45">
        <f>E35-F35-G35-H35-I35</f>
        <v>73586.019825</v>
      </c>
      <c r="K35" s="21"/>
    </row>
    <row r="36" s="51" customFormat="1" ht="18.6" spans="1:11">
      <c r="A36" s="42" t="s">
        <v>4</v>
      </c>
      <c r="B36" s="7">
        <f>(D35-D34)/D34</f>
        <v>0</v>
      </c>
      <c r="C36" s="21"/>
      <c r="D36" s="37"/>
      <c r="E36" s="23">
        <f>E35-E34</f>
        <v>0</v>
      </c>
      <c r="F36" s="23"/>
      <c r="G36" s="23"/>
      <c r="H36" s="23"/>
      <c r="I36" s="23"/>
      <c r="J36" s="23">
        <f>J35-J34</f>
        <v>-327.329050000015</v>
      </c>
      <c r="K36" s="23"/>
    </row>
    <row r="37" s="39" customFormat="1" ht="15.6" spans="1:15">
      <c r="A37" s="42">
        <v>44543</v>
      </c>
      <c r="B37" s="1" t="s">
        <v>1</v>
      </c>
      <c r="C37" s="10">
        <v>2500</v>
      </c>
      <c r="D37" s="22">
        <v>29.5</v>
      </c>
      <c r="E37" s="23">
        <f t="shared" ref="E37:E41" si="28">C37*D37</f>
        <v>73750</v>
      </c>
      <c r="F37" s="23">
        <f t="shared" ref="F37:F41" si="29">E37*0.002</f>
        <v>147.5</v>
      </c>
      <c r="G37" s="23">
        <f>E37*0.00006</f>
        <v>4.425</v>
      </c>
      <c r="H37" s="23">
        <f t="shared" ref="H37:H41" si="30">E37*0.00001</f>
        <v>0.7375</v>
      </c>
      <c r="I37" s="23">
        <f t="shared" ref="I37:I41" si="31">(F37+G37+H37)*0.07</f>
        <v>10.686375</v>
      </c>
      <c r="J37" s="23">
        <f>E37+F37+I37+G37+H37</f>
        <v>73913.348875</v>
      </c>
      <c r="K37" s="37"/>
      <c r="L37" s="1"/>
      <c r="M37" s="1"/>
      <c r="N37" s="1"/>
      <c r="O37" s="1"/>
    </row>
    <row r="38" s="1" customFormat="1" spans="1:11">
      <c r="A38" s="42" t="e">
        <f>A35</f>
        <v>#REF!</v>
      </c>
      <c r="B38" s="1" t="s">
        <v>3</v>
      </c>
      <c r="C38" s="21">
        <f>C37</f>
        <v>2500</v>
      </c>
      <c r="D38" s="45">
        <f>D35</f>
        <v>29.5</v>
      </c>
      <c r="E38" s="37">
        <f t="shared" si="28"/>
        <v>73750</v>
      </c>
      <c r="F38" s="46">
        <f t="shared" si="29"/>
        <v>147.5</v>
      </c>
      <c r="G38" s="45">
        <f>E38*0.000068</f>
        <v>5.015</v>
      </c>
      <c r="H38" s="45">
        <f t="shared" si="30"/>
        <v>0.7375</v>
      </c>
      <c r="I38" s="45">
        <f t="shared" si="31"/>
        <v>10.727675</v>
      </c>
      <c r="J38" s="45">
        <f>E38-F38-G38-H38-I38</f>
        <v>73586.019825</v>
      </c>
      <c r="K38" s="21"/>
    </row>
    <row r="39" s="51" customFormat="1" ht="18.6" spans="1:11">
      <c r="A39" s="42" t="s">
        <v>4</v>
      </c>
      <c r="B39" s="7">
        <f>(D38-D37)/D37</f>
        <v>0</v>
      </c>
      <c r="C39" s="21"/>
      <c r="D39" s="37"/>
      <c r="E39" s="23">
        <f>E38-E37</f>
        <v>0</v>
      </c>
      <c r="F39" s="23"/>
      <c r="G39" s="23"/>
      <c r="H39" s="23"/>
      <c r="I39" s="23"/>
      <c r="J39" s="23">
        <f>J38-J37</f>
        <v>-327.329050000015</v>
      </c>
      <c r="K39" s="23"/>
    </row>
    <row r="40" s="39" customFormat="1" ht="15.6" spans="1:15">
      <c r="A40" s="42">
        <v>44496</v>
      </c>
      <c r="B40" s="1" t="s">
        <v>1</v>
      </c>
      <c r="C40" s="10">
        <v>2500</v>
      </c>
      <c r="D40" s="22">
        <v>32.75</v>
      </c>
      <c r="E40" s="23">
        <f t="shared" si="28"/>
        <v>81875</v>
      </c>
      <c r="F40" s="23">
        <f t="shared" si="29"/>
        <v>163.75</v>
      </c>
      <c r="G40" s="23">
        <f>E40*0.00006</f>
        <v>4.9125</v>
      </c>
      <c r="H40" s="23">
        <f t="shared" si="30"/>
        <v>0.81875</v>
      </c>
      <c r="I40" s="23">
        <f t="shared" si="31"/>
        <v>11.8636875</v>
      </c>
      <c r="J40" s="23">
        <f>E40+F40+I40+G40+H40</f>
        <v>82056.3449375</v>
      </c>
      <c r="K40" s="37"/>
      <c r="L40" s="1"/>
      <c r="M40" s="1"/>
      <c r="N40" s="1"/>
      <c r="O40" s="1"/>
    </row>
    <row r="41" s="1" customFormat="1" spans="1:11">
      <c r="A41" s="42" t="e">
        <f>A38</f>
        <v>#REF!</v>
      </c>
      <c r="B41" s="1" t="s">
        <v>3</v>
      </c>
      <c r="C41" s="21">
        <f>C40</f>
        <v>2500</v>
      </c>
      <c r="D41" s="45">
        <f>D35</f>
        <v>29.5</v>
      </c>
      <c r="E41" s="37">
        <f t="shared" si="28"/>
        <v>73750</v>
      </c>
      <c r="F41" s="46">
        <f t="shared" si="29"/>
        <v>147.5</v>
      </c>
      <c r="G41" s="45">
        <f>E41*0.000068</f>
        <v>5.015</v>
      </c>
      <c r="H41" s="45">
        <f t="shared" si="30"/>
        <v>0.7375</v>
      </c>
      <c r="I41" s="45">
        <f t="shared" si="31"/>
        <v>10.727675</v>
      </c>
      <c r="J41" s="45">
        <f>E41-F41-G41-H41-I41</f>
        <v>73586.019825</v>
      </c>
      <c r="K41" s="21"/>
    </row>
    <row r="42" s="51" customFormat="1" ht="18.6" spans="1:11">
      <c r="A42" s="42" t="s">
        <v>4</v>
      </c>
      <c r="B42" s="7">
        <f>(D41-D40)/D40</f>
        <v>-0.099236641221374</v>
      </c>
      <c r="C42" s="21"/>
      <c r="D42" s="37"/>
      <c r="E42" s="23">
        <f>E41-E40</f>
        <v>-8125</v>
      </c>
      <c r="F42" s="23"/>
      <c r="G42" s="23"/>
      <c r="H42" s="23"/>
      <c r="I42" s="23"/>
      <c r="J42" s="23">
        <f>J41-J40</f>
        <v>-8470.32511250001</v>
      </c>
      <c r="K42" s="23"/>
    </row>
    <row r="43" s="39" customFormat="1" ht="15.6" spans="1:15">
      <c r="A43" s="42">
        <v>44462</v>
      </c>
      <c r="B43" s="1" t="s">
        <v>1</v>
      </c>
      <c r="C43" s="10">
        <v>2500</v>
      </c>
      <c r="D43" s="22">
        <v>33.25</v>
      </c>
      <c r="E43" s="23">
        <f t="shared" ref="E43:E47" si="32">C43*D43</f>
        <v>83125</v>
      </c>
      <c r="F43" s="23">
        <f t="shared" ref="F43:F47" si="33">E43*0.002</f>
        <v>166.25</v>
      </c>
      <c r="G43" s="23">
        <f>E43*0.00006</f>
        <v>4.9875</v>
      </c>
      <c r="H43" s="23">
        <f t="shared" ref="H43:H47" si="34">E43*0.00001</f>
        <v>0.83125</v>
      </c>
      <c r="I43" s="23">
        <f t="shared" ref="I43:I47" si="35">(F43+G43+H43)*0.07</f>
        <v>12.0448125</v>
      </c>
      <c r="J43" s="23">
        <f>E43+F43+I43+G43+H43</f>
        <v>83309.1135625</v>
      </c>
      <c r="K43" s="37"/>
      <c r="L43" s="1"/>
      <c r="M43" s="1"/>
      <c r="N43" s="1"/>
      <c r="O43" s="1"/>
    </row>
    <row r="44" s="1" customFormat="1" spans="1:11">
      <c r="A44" s="42" t="e">
        <f>A41</f>
        <v>#REF!</v>
      </c>
      <c r="B44" s="1" t="s">
        <v>3</v>
      </c>
      <c r="C44" s="21">
        <f>C43</f>
        <v>2500</v>
      </c>
      <c r="D44" s="45">
        <f>D35</f>
        <v>29.5</v>
      </c>
      <c r="E44" s="37">
        <f t="shared" si="32"/>
        <v>73750</v>
      </c>
      <c r="F44" s="46">
        <f t="shared" si="33"/>
        <v>147.5</v>
      </c>
      <c r="G44" s="45">
        <f>E44*0.000068</f>
        <v>5.015</v>
      </c>
      <c r="H44" s="45">
        <f t="shared" si="34"/>
        <v>0.7375</v>
      </c>
      <c r="I44" s="45">
        <f t="shared" si="35"/>
        <v>10.727675</v>
      </c>
      <c r="J44" s="45">
        <f>E44-F44-G44-H44-I44</f>
        <v>73586.019825</v>
      </c>
      <c r="K44" s="21"/>
    </row>
    <row r="45" s="51" customFormat="1" ht="18.6" spans="1:11">
      <c r="A45" s="42" t="s">
        <v>4</v>
      </c>
      <c r="B45" s="7">
        <f>(D44-D43)/D43</f>
        <v>-0.112781954887218</v>
      </c>
      <c r="C45" s="21"/>
      <c r="D45" s="37"/>
      <c r="E45" s="23">
        <f>E44-E43</f>
        <v>-9375</v>
      </c>
      <c r="F45" s="23"/>
      <c r="G45" s="23"/>
      <c r="H45" s="23"/>
      <c r="I45" s="23"/>
      <c r="J45" s="23">
        <f>J44-J43</f>
        <v>-9723.09373750001</v>
      </c>
      <c r="K45" s="23"/>
    </row>
    <row r="46" s="39" customFormat="1" ht="15.6" spans="1:15">
      <c r="A46" s="42">
        <v>44452</v>
      </c>
      <c r="B46" s="1" t="s">
        <v>1</v>
      </c>
      <c r="C46" s="10">
        <v>2500</v>
      </c>
      <c r="D46" s="22">
        <v>35.25</v>
      </c>
      <c r="E46" s="23">
        <f t="shared" si="32"/>
        <v>88125</v>
      </c>
      <c r="F46" s="23">
        <f t="shared" si="33"/>
        <v>176.25</v>
      </c>
      <c r="G46" s="23">
        <f>E46*0.00006</f>
        <v>5.2875</v>
      </c>
      <c r="H46" s="23">
        <f t="shared" si="34"/>
        <v>0.88125</v>
      </c>
      <c r="I46" s="23">
        <f t="shared" si="35"/>
        <v>12.7693125</v>
      </c>
      <c r="J46" s="23">
        <f>E46+F46+I46+G46+H46</f>
        <v>88320.1880625</v>
      </c>
      <c r="K46" s="37"/>
      <c r="L46" s="1"/>
      <c r="M46" s="1"/>
      <c r="N46" s="1"/>
      <c r="O46" s="1"/>
    </row>
    <row r="47" s="1" customFormat="1" spans="1:11">
      <c r="A47" s="42" t="e">
        <f>A44</f>
        <v>#REF!</v>
      </c>
      <c r="B47" s="1" t="s">
        <v>3</v>
      </c>
      <c r="C47" s="21">
        <f>C46</f>
        <v>2500</v>
      </c>
      <c r="D47" s="45">
        <f>D35</f>
        <v>29.5</v>
      </c>
      <c r="E47" s="37">
        <f t="shared" si="32"/>
        <v>73750</v>
      </c>
      <c r="F47" s="46">
        <f t="shared" si="33"/>
        <v>147.5</v>
      </c>
      <c r="G47" s="45">
        <f>E47*0.000068</f>
        <v>5.015</v>
      </c>
      <c r="H47" s="45">
        <f t="shared" si="34"/>
        <v>0.7375</v>
      </c>
      <c r="I47" s="45">
        <f t="shared" si="35"/>
        <v>10.727675</v>
      </c>
      <c r="J47" s="45">
        <f>E47-F47-G47-H47-I47</f>
        <v>73586.019825</v>
      </c>
      <c r="K47" s="21"/>
    </row>
    <row r="48" s="51" customFormat="1" ht="18.6" spans="1:11">
      <c r="A48" s="42" t="s">
        <v>4</v>
      </c>
      <c r="B48" s="7">
        <f>(D47-D46)/D46</f>
        <v>-0.163120567375887</v>
      </c>
      <c r="C48" s="21"/>
      <c r="D48" s="37"/>
      <c r="E48" s="23">
        <f>E47-E46</f>
        <v>-14375</v>
      </c>
      <c r="F48" s="23"/>
      <c r="G48" s="23"/>
      <c r="H48" s="23"/>
      <c r="I48" s="23"/>
      <c r="J48" s="23">
        <f>J47-J46</f>
        <v>-14734.1682375</v>
      </c>
      <c r="K48" s="23"/>
    </row>
    <row r="49" s="39" customFormat="1" ht="15.6" spans="1:15">
      <c r="A49" s="42">
        <v>44398</v>
      </c>
      <c r="B49" s="1" t="s">
        <v>1</v>
      </c>
      <c r="C49" s="10">
        <v>2500</v>
      </c>
      <c r="D49" s="22">
        <v>37.75</v>
      </c>
      <c r="E49" s="23">
        <f t="shared" ref="E49:E53" si="36">C49*D49</f>
        <v>94375</v>
      </c>
      <c r="F49" s="23">
        <f t="shared" ref="F49:F53" si="37">E49*0.002</f>
        <v>188.75</v>
      </c>
      <c r="G49" s="23">
        <f>E49*0.00006</f>
        <v>5.6625</v>
      </c>
      <c r="H49" s="23">
        <f t="shared" ref="H49:H53" si="38">E49*0.00001</f>
        <v>0.94375</v>
      </c>
      <c r="I49" s="23">
        <f t="shared" ref="I49:I53" si="39">(F49+G49+H49)*0.07</f>
        <v>13.6749375</v>
      </c>
      <c r="J49" s="23">
        <f>E49+F49+I49+G49+H49</f>
        <v>94584.0311875</v>
      </c>
      <c r="K49" s="37"/>
      <c r="L49" s="1"/>
      <c r="M49" s="1"/>
      <c r="N49" s="1"/>
      <c r="O49" s="1"/>
    </row>
    <row r="50" s="1" customFormat="1" spans="1:11">
      <c r="A50" s="42" t="e">
        <f>A47</f>
        <v>#REF!</v>
      </c>
      <c r="B50" s="1" t="s">
        <v>3</v>
      </c>
      <c r="C50" s="21">
        <f>C49</f>
        <v>2500</v>
      </c>
      <c r="D50" s="45">
        <f>D35</f>
        <v>29.5</v>
      </c>
      <c r="E50" s="37">
        <f t="shared" si="36"/>
        <v>73750</v>
      </c>
      <c r="F50" s="46">
        <f t="shared" si="37"/>
        <v>147.5</v>
      </c>
      <c r="G50" s="45">
        <f>E50*0.000068</f>
        <v>5.015</v>
      </c>
      <c r="H50" s="45">
        <f t="shared" si="38"/>
        <v>0.7375</v>
      </c>
      <c r="I50" s="45">
        <f t="shared" si="39"/>
        <v>10.727675</v>
      </c>
      <c r="J50" s="45">
        <f>E50-F50-G50-H50-I50</f>
        <v>73586.019825</v>
      </c>
      <c r="K50" s="21"/>
    </row>
    <row r="51" s="51" customFormat="1" ht="18.6" spans="1:11">
      <c r="A51" s="42" t="s">
        <v>4</v>
      </c>
      <c r="B51" s="7">
        <f>(D50-D49)/D49</f>
        <v>-0.218543046357616</v>
      </c>
      <c r="C51" s="21"/>
      <c r="D51" s="37"/>
      <c r="E51" s="23">
        <f>E50-E49</f>
        <v>-20625</v>
      </c>
      <c r="F51" s="23"/>
      <c r="G51" s="23"/>
      <c r="H51" s="23"/>
      <c r="I51" s="23"/>
      <c r="J51" s="23">
        <f>J50-J49</f>
        <v>-20998.0113625</v>
      </c>
      <c r="K51" s="23"/>
    </row>
    <row r="52" s="39" customFormat="1" ht="15.6" spans="1:15">
      <c r="A52" s="42">
        <v>44368</v>
      </c>
      <c r="B52" s="1" t="s">
        <v>1</v>
      </c>
      <c r="C52" s="10">
        <v>2500</v>
      </c>
      <c r="D52" s="22">
        <v>40</v>
      </c>
      <c r="E52" s="23">
        <f t="shared" si="36"/>
        <v>100000</v>
      </c>
      <c r="F52" s="23">
        <f t="shared" si="37"/>
        <v>200</v>
      </c>
      <c r="G52" s="23">
        <f>E52*0.00006</f>
        <v>6</v>
      </c>
      <c r="H52" s="23">
        <f t="shared" si="38"/>
        <v>1</v>
      </c>
      <c r="I52" s="23">
        <f t="shared" si="39"/>
        <v>14.49</v>
      </c>
      <c r="J52" s="23">
        <f>E52+F52+I52+G52+H52</f>
        <v>100221.49</v>
      </c>
      <c r="K52" s="37"/>
      <c r="L52" s="1"/>
      <c r="M52" s="1"/>
      <c r="N52" s="1"/>
      <c r="O52" s="1"/>
    </row>
    <row r="53" s="1" customFormat="1" spans="1:11">
      <c r="A53" s="42" t="e">
        <f>A50</f>
        <v>#REF!</v>
      </c>
      <c r="B53" s="1" t="s">
        <v>3</v>
      </c>
      <c r="C53" s="21">
        <f>C52</f>
        <v>2500</v>
      </c>
      <c r="D53" s="45">
        <f>D38</f>
        <v>29.5</v>
      </c>
      <c r="E53" s="37">
        <f t="shared" si="36"/>
        <v>73750</v>
      </c>
      <c r="F53" s="46">
        <f t="shared" si="37"/>
        <v>147.5</v>
      </c>
      <c r="G53" s="45">
        <f>E53*0.000068</f>
        <v>5.015</v>
      </c>
      <c r="H53" s="45">
        <f t="shared" si="38"/>
        <v>0.7375</v>
      </c>
      <c r="I53" s="45">
        <f t="shared" si="39"/>
        <v>10.727675</v>
      </c>
      <c r="J53" s="45">
        <f>E53-F53-G53-H53-I53</f>
        <v>73586.019825</v>
      </c>
      <c r="K53" s="21"/>
    </row>
    <row r="54" s="51" customFormat="1" ht="18.6" spans="1:11">
      <c r="A54" s="42" t="s">
        <v>4</v>
      </c>
      <c r="B54" s="7">
        <f>(D53-D52)/D52</f>
        <v>-0.2625</v>
      </c>
      <c r="C54" s="21"/>
      <c r="D54" s="37"/>
      <c r="E54" s="23">
        <f>E53-E52</f>
        <v>-26250</v>
      </c>
      <c r="F54" s="23"/>
      <c r="G54" s="23"/>
      <c r="H54" s="23"/>
      <c r="I54" s="23"/>
      <c r="J54" s="23">
        <f>J53-J52</f>
        <v>-26635.470175</v>
      </c>
      <c r="K54" s="23"/>
    </row>
    <row r="55" s="39" customFormat="1" ht="15.6" spans="1:15">
      <c r="A55" s="42">
        <v>44368</v>
      </c>
      <c r="B55" s="1" t="s">
        <v>1</v>
      </c>
      <c r="C55" s="10">
        <v>2500</v>
      </c>
      <c r="D55" s="22">
        <v>40</v>
      </c>
      <c r="E55" s="23">
        <f t="shared" ref="E55:E60" si="40">C55*D55</f>
        <v>100000</v>
      </c>
      <c r="F55" s="23">
        <f t="shared" ref="F55:F60" si="41">E55*0.002</f>
        <v>200</v>
      </c>
      <c r="G55" s="23">
        <f>E55*0.00006</f>
        <v>6</v>
      </c>
      <c r="H55" s="23">
        <f t="shared" ref="H55:H60" si="42">E55*0.00001</f>
        <v>1</v>
      </c>
      <c r="I55" s="23">
        <f t="shared" ref="I55:I60" si="43">(F55+G55+H55)*0.07</f>
        <v>14.49</v>
      </c>
      <c r="J55" s="23">
        <f>E55+F55+I55+G55+H55</f>
        <v>100221.49</v>
      </c>
      <c r="K55" s="37"/>
      <c r="L55" s="1"/>
      <c r="M55" s="1"/>
      <c r="N55" s="1"/>
      <c r="O55" s="1"/>
    </row>
    <row r="56" s="1" customFormat="1" spans="1:11">
      <c r="A56" s="42" t="e">
        <f>A53</f>
        <v>#REF!</v>
      </c>
      <c r="B56" s="1" t="s">
        <v>3</v>
      </c>
      <c r="C56" s="21">
        <f>C55</f>
        <v>2500</v>
      </c>
      <c r="D56" s="45">
        <f>D41</f>
        <v>29.5</v>
      </c>
      <c r="E56" s="37">
        <f t="shared" si="40"/>
        <v>73750</v>
      </c>
      <c r="F56" s="46">
        <f t="shared" si="41"/>
        <v>147.5</v>
      </c>
      <c r="G56" s="45">
        <f>E56*0.000068</f>
        <v>5.015</v>
      </c>
      <c r="H56" s="45">
        <f t="shared" si="42"/>
        <v>0.7375</v>
      </c>
      <c r="I56" s="45">
        <f t="shared" si="43"/>
        <v>10.727675</v>
      </c>
      <c r="J56" s="45">
        <f>E56-F56-G56-H56-I56</f>
        <v>73586.019825</v>
      </c>
      <c r="K56" s="21"/>
    </row>
    <row r="57" s="51" customFormat="1" ht="18.6" spans="1:11">
      <c r="A57" s="42" t="s">
        <v>4</v>
      </c>
      <c r="B57" s="7">
        <f>(D56-D55)/D55</f>
        <v>-0.2625</v>
      </c>
      <c r="C57" s="21"/>
      <c r="D57" s="37"/>
      <c r="E57" s="23">
        <f>E56-E55</f>
        <v>-26250</v>
      </c>
      <c r="F57" s="23"/>
      <c r="G57" s="23"/>
      <c r="H57" s="23"/>
      <c r="I57" s="23"/>
      <c r="J57" s="23">
        <f>J56-J55</f>
        <v>-26635.470175</v>
      </c>
      <c r="K57" s="23"/>
    </row>
    <row r="59" s="39" customFormat="1" ht="15.6" spans="1:15">
      <c r="A59" s="42">
        <v>44368</v>
      </c>
      <c r="B59" s="1" t="s">
        <v>1</v>
      </c>
      <c r="C59" s="10">
        <v>5000</v>
      </c>
      <c r="D59" s="22">
        <v>11.5</v>
      </c>
      <c r="E59" s="23">
        <f t="shared" si="40"/>
        <v>57500</v>
      </c>
      <c r="F59" s="23">
        <f t="shared" si="41"/>
        <v>115</v>
      </c>
      <c r="G59" s="23">
        <f>E59*0.00006</f>
        <v>3.45</v>
      </c>
      <c r="H59" s="23">
        <f t="shared" si="42"/>
        <v>0.575</v>
      </c>
      <c r="I59" s="23">
        <f t="shared" si="43"/>
        <v>8.33175</v>
      </c>
      <c r="J59" s="23">
        <f>E59+F59+I59+G59+H59</f>
        <v>57627.35675</v>
      </c>
      <c r="K59" s="37"/>
      <c r="L59" s="1"/>
      <c r="M59" s="1"/>
      <c r="N59" s="1"/>
      <c r="O59" s="1"/>
    </row>
    <row r="60" s="1" customFormat="1" spans="1:11">
      <c r="A60" s="42" t="str">
        <f>A57</f>
        <v> </v>
      </c>
      <c r="B60" s="1" t="s">
        <v>3</v>
      </c>
      <c r="C60" s="21">
        <f>C59</f>
        <v>5000</v>
      </c>
      <c r="D60" s="45">
        <v>12.5</v>
      </c>
      <c r="E60" s="37">
        <f t="shared" si="40"/>
        <v>62500</v>
      </c>
      <c r="F60" s="46">
        <f t="shared" si="41"/>
        <v>125</v>
      </c>
      <c r="G60" s="45">
        <f>E60*0.000068</f>
        <v>4.25</v>
      </c>
      <c r="H60" s="45">
        <f t="shared" si="42"/>
        <v>0.625</v>
      </c>
      <c r="I60" s="45">
        <f t="shared" si="43"/>
        <v>9.09125</v>
      </c>
      <c r="J60" s="45">
        <f>E60-F60-G60-H60-I60</f>
        <v>62361.03375</v>
      </c>
      <c r="K60" s="21"/>
    </row>
    <row r="61" s="51" customFormat="1" ht="18.6" spans="1:11">
      <c r="A61" s="42" t="s">
        <v>4</v>
      </c>
      <c r="B61" s="7">
        <f>(D60-D59)/D59</f>
        <v>0.0869565217391304</v>
      </c>
      <c r="C61" s="21"/>
      <c r="D61" s="37"/>
      <c r="E61" s="23">
        <f>E60-E59</f>
        <v>5000</v>
      </c>
      <c r="F61" s="23"/>
      <c r="G61" s="23"/>
      <c r="H61" s="23"/>
      <c r="I61" s="23"/>
      <c r="J61" s="23">
        <f>J60-J59</f>
        <v>4733.67700000001</v>
      </c>
      <c r="K61" s="23"/>
    </row>
  </sheetData>
  <sheetProtection selectLockedCells="1" selectUnlockedCells="1"/>
  <pageMargins left="0.7" right="0.7" top="0.75" bottom="0.75" header="0.511805555555556" footer="0.511805555555556"/>
  <pageSetup paperSize="9" firstPageNumber="0" orientation="portrait" useFirstPageNumber="1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O63"/>
  <sheetViews>
    <sheetView workbookViewId="0">
      <selection activeCell="A13" sqref="$A13:$XFD13"/>
    </sheetView>
  </sheetViews>
  <sheetFormatPr defaultColWidth="8.88888888888889" defaultRowHeight="13.8"/>
  <cols>
    <col min="1" max="1" width="10.6666666666667" style="40" customWidth="1"/>
    <col min="2" max="2" width="7.44444444444444" style="5" customWidth="1"/>
    <col min="3" max="3" width="6.66666666666667" style="5" customWidth="1"/>
    <col min="4" max="4" width="7.66666666666667" style="5" customWidth="1"/>
    <col min="5" max="5" width="11.1111111111111" style="5" customWidth="1"/>
    <col min="6" max="6" width="9" style="5"/>
    <col min="7" max="7" width="6.66666666666667" style="5" customWidth="1"/>
    <col min="8" max="8" width="5.77777777777778" style="5" customWidth="1"/>
    <col min="9" max="9" width="7.22222222222222" style="5" customWidth="1"/>
    <col min="10" max="10" width="11.1111111111111" style="5" customWidth="1"/>
    <col min="11" max="11" width="9.33333333333333" style="5" customWidth="1"/>
    <col min="12" max="12" width="8.88888888888889" style="7"/>
    <col min="13" max="16384" width="8.88888888888889" style="5"/>
  </cols>
  <sheetData>
    <row r="1" spans="2:2">
      <c r="B1" s="5" t="s">
        <v>6</v>
      </c>
    </row>
    <row r="2" s="1" customFormat="1" spans="1:12">
      <c r="A2" s="26">
        <v>44362</v>
      </c>
      <c r="B2" s="9" t="s">
        <v>1</v>
      </c>
      <c r="C2" s="10">
        <v>2500</v>
      </c>
      <c r="D2" s="11">
        <v>40</v>
      </c>
      <c r="E2" s="12">
        <f>C2*D2</f>
        <v>100000</v>
      </c>
      <c r="F2" s="12">
        <f>E2*0.002</f>
        <v>200</v>
      </c>
      <c r="G2" s="12">
        <f>E2*0.00006</f>
        <v>6</v>
      </c>
      <c r="H2" s="12">
        <f>E2*0.00001</f>
        <v>1</v>
      </c>
      <c r="I2" s="12">
        <f>(F2+G2+H2)*0.07</f>
        <v>14.49</v>
      </c>
      <c r="J2" s="12">
        <f>E2+F2+I2+G2+H2</f>
        <v>100221.49</v>
      </c>
      <c r="K2" s="11"/>
      <c r="L2" s="35"/>
    </row>
    <row r="3" s="39" customFormat="1" ht="15.6" spans="1:15">
      <c r="A3" s="26">
        <v>44368</v>
      </c>
      <c r="B3" s="9" t="s">
        <v>1</v>
      </c>
      <c r="C3" s="10">
        <v>2500</v>
      </c>
      <c r="D3" s="14">
        <v>40</v>
      </c>
      <c r="E3" s="12">
        <f>C3*D3</f>
        <v>100000</v>
      </c>
      <c r="F3" s="12">
        <f>E3*0.002</f>
        <v>200</v>
      </c>
      <c r="G3" s="12">
        <f>E3*0.00006</f>
        <v>6</v>
      </c>
      <c r="H3" s="12">
        <f>E3*0.00001</f>
        <v>1</v>
      </c>
      <c r="I3" s="12">
        <f>(F3+G3+H3)*0.07</f>
        <v>14.49</v>
      </c>
      <c r="J3" s="12">
        <f>E3+F3+I3+G3+H3</f>
        <v>100221.49</v>
      </c>
      <c r="K3" s="37"/>
      <c r="L3" s="1"/>
      <c r="M3" s="1"/>
      <c r="N3" s="1"/>
      <c r="O3" s="1"/>
    </row>
    <row r="4" spans="1:13">
      <c r="A4" s="33"/>
      <c r="B4" s="16">
        <f t="shared" ref="B4:B8" si="0">(D3-D2)/D2</f>
        <v>0</v>
      </c>
      <c r="C4" s="17">
        <f t="shared" ref="C4:C8" si="1">SUM(C2:C3)</f>
        <v>5000</v>
      </c>
      <c r="D4" s="18">
        <f t="shared" ref="D4:D8" si="2">E4/C4</f>
        <v>40</v>
      </c>
      <c r="E4" s="17">
        <f t="shared" ref="E4:J4" si="3">SUM(E2:E3)</f>
        <v>200000</v>
      </c>
      <c r="F4" s="17">
        <f t="shared" si="3"/>
        <v>400</v>
      </c>
      <c r="G4" s="17">
        <f t="shared" si="3"/>
        <v>12</v>
      </c>
      <c r="H4" s="17">
        <f t="shared" si="3"/>
        <v>2</v>
      </c>
      <c r="I4" s="17">
        <f t="shared" si="3"/>
        <v>28.98</v>
      </c>
      <c r="J4" s="17">
        <f t="shared" si="3"/>
        <v>200442.98</v>
      </c>
      <c r="K4" s="37"/>
      <c r="L4" s="1"/>
      <c r="M4" s="1"/>
    </row>
    <row r="5" s="39" customFormat="1" ht="15.6" spans="1:15">
      <c r="A5" s="26">
        <v>45569</v>
      </c>
      <c r="B5" s="9" t="s">
        <v>1</v>
      </c>
      <c r="C5" s="10">
        <v>2500</v>
      </c>
      <c r="D5" s="14">
        <v>21.4</v>
      </c>
      <c r="E5" s="12">
        <f>C5*D5</f>
        <v>53500</v>
      </c>
      <c r="F5" s="12">
        <f>E5*0.002</f>
        <v>107</v>
      </c>
      <c r="G5" s="12">
        <f>E5*0.00006</f>
        <v>3.21</v>
      </c>
      <c r="H5" s="12">
        <f>E5*0.00001</f>
        <v>0.535</v>
      </c>
      <c r="I5" s="12">
        <f>(F5+G5+H5)*0.07</f>
        <v>7.75215</v>
      </c>
      <c r="J5" s="12">
        <f>E5+F5+I5+G5+H5</f>
        <v>53618.49715</v>
      </c>
      <c r="K5" s="37"/>
      <c r="L5" s="1"/>
      <c r="M5" s="1"/>
      <c r="N5" s="1"/>
      <c r="O5" s="1"/>
    </row>
    <row r="6" spans="1:13">
      <c r="A6" s="33"/>
      <c r="B6" s="16">
        <f t="shared" si="0"/>
        <v>-0.465</v>
      </c>
      <c r="C6" s="17">
        <f t="shared" si="1"/>
        <v>7500</v>
      </c>
      <c r="D6" s="18">
        <f t="shared" si="2"/>
        <v>33.8</v>
      </c>
      <c r="E6" s="17">
        <f t="shared" ref="E6:J6" si="4">SUM(E4:E5)</f>
        <v>253500</v>
      </c>
      <c r="F6" s="17">
        <f t="shared" si="4"/>
        <v>507</v>
      </c>
      <c r="G6" s="17">
        <f t="shared" si="4"/>
        <v>15.21</v>
      </c>
      <c r="H6" s="17">
        <f t="shared" si="4"/>
        <v>2.535</v>
      </c>
      <c r="I6" s="17">
        <f t="shared" si="4"/>
        <v>36.73215</v>
      </c>
      <c r="J6" s="17">
        <f t="shared" si="4"/>
        <v>254061.47715</v>
      </c>
      <c r="K6" s="37"/>
      <c r="L6" s="1"/>
      <c r="M6" s="1"/>
    </row>
    <row r="7" spans="1:15">
      <c r="A7" s="42">
        <v>45812</v>
      </c>
      <c r="B7" s="1" t="s">
        <v>1</v>
      </c>
      <c r="C7" s="21">
        <v>2500</v>
      </c>
      <c r="D7" s="22">
        <v>22.6</v>
      </c>
      <c r="E7" s="23">
        <f>C7*D7</f>
        <v>56500</v>
      </c>
      <c r="F7" s="23">
        <f>E7*0.002</f>
        <v>113</v>
      </c>
      <c r="G7" s="23">
        <f>E7*0.00006</f>
        <v>3.39</v>
      </c>
      <c r="H7" s="23">
        <f>E7*0.00001</f>
        <v>0.565</v>
      </c>
      <c r="I7" s="23">
        <f>(F7+G7+H7)*0.07</f>
        <v>8.18685</v>
      </c>
      <c r="J7" s="23">
        <f>E7+F7+I7+G7+H7</f>
        <v>56625.14185</v>
      </c>
      <c r="K7" s="37"/>
      <c r="L7" s="1"/>
      <c r="M7" s="1"/>
      <c r="N7" s="1"/>
      <c r="O7" s="1"/>
    </row>
    <row r="8" spans="2:13">
      <c r="B8" s="7">
        <f t="shared" si="0"/>
        <v>-0.331360946745562</v>
      </c>
      <c r="C8" s="6">
        <f t="shared" si="1"/>
        <v>10000</v>
      </c>
      <c r="D8" s="25">
        <f t="shared" si="2"/>
        <v>31</v>
      </c>
      <c r="E8" s="6">
        <f t="shared" ref="E8:J8" si="5">SUM(E6:E7)</f>
        <v>310000</v>
      </c>
      <c r="F8" s="6">
        <f t="shared" si="5"/>
        <v>620</v>
      </c>
      <c r="G8" s="6">
        <f t="shared" si="5"/>
        <v>18.6</v>
      </c>
      <c r="H8" s="6">
        <f t="shared" si="5"/>
        <v>3.1</v>
      </c>
      <c r="I8" s="6">
        <f t="shared" si="5"/>
        <v>44.919</v>
      </c>
      <c r="J8" s="6">
        <f t="shared" si="5"/>
        <v>310686.619</v>
      </c>
      <c r="K8" s="37"/>
      <c r="L8" s="1"/>
      <c r="M8" s="1"/>
    </row>
    <row r="9" spans="2:13">
      <c r="B9" s="7"/>
      <c r="C9" s="6"/>
      <c r="D9" s="25"/>
      <c r="E9" s="6"/>
      <c r="F9" s="6"/>
      <c r="G9" s="6"/>
      <c r="H9" s="6"/>
      <c r="I9" s="6"/>
      <c r="J9" s="6"/>
      <c r="K9" s="37"/>
      <c r="L9" s="1"/>
      <c r="M9" s="1"/>
    </row>
    <row r="10" s="39" customFormat="1" ht="15.6" spans="1:15">
      <c r="A10" s="26">
        <v>45608</v>
      </c>
      <c r="B10" s="9" t="s">
        <v>1</v>
      </c>
      <c r="C10" s="10">
        <v>2500</v>
      </c>
      <c r="D10" s="14">
        <v>18.6</v>
      </c>
      <c r="E10" s="12">
        <f>C10*D10</f>
        <v>46500</v>
      </c>
      <c r="F10" s="12">
        <f>E10*0.002</f>
        <v>93</v>
      </c>
      <c r="G10" s="12">
        <f>E10*0.00006</f>
        <v>2.79</v>
      </c>
      <c r="H10" s="12">
        <f>E10*0.00001</f>
        <v>0.465</v>
      </c>
      <c r="I10" s="12">
        <f>(F10+G10+H10)*0.07</f>
        <v>6.73785</v>
      </c>
      <c r="J10" s="12">
        <f>E10+F10+I10+G10+H10</f>
        <v>46602.99285</v>
      </c>
      <c r="K10" s="37"/>
      <c r="L10" s="1"/>
      <c r="M10" s="1"/>
      <c r="N10" s="1"/>
      <c r="O10" s="1"/>
    </row>
    <row r="11" customFormat="1" ht="14.4" spans="1:15">
      <c r="A11" s="26">
        <v>46302</v>
      </c>
      <c r="B11" s="9" t="s">
        <v>3</v>
      </c>
      <c r="C11" s="10">
        <f>C10</f>
        <v>2500</v>
      </c>
      <c r="D11" s="31">
        <v>23.4</v>
      </c>
      <c r="E11" s="11">
        <f>C11*D11</f>
        <v>58500</v>
      </c>
      <c r="F11" s="32">
        <f>E11*0.002</f>
        <v>117</v>
      </c>
      <c r="G11" s="31">
        <f>E11*0.000068</f>
        <v>3.978</v>
      </c>
      <c r="H11" s="31">
        <f>E11*0.00001</f>
        <v>0.585</v>
      </c>
      <c r="I11" s="31">
        <f>(F11+G11+H11)*0.07</f>
        <v>8.50941</v>
      </c>
      <c r="J11" s="31">
        <f>E11-F11-G11-H11-I11</f>
        <v>58369.92759</v>
      </c>
      <c r="K11" s="5"/>
      <c r="L11" s="5"/>
      <c r="M11" s="5"/>
      <c r="N11" s="5"/>
      <c r="O11" s="5"/>
    </row>
    <row r="12" customFormat="1" ht="14.4" spans="1:15">
      <c r="A12" s="26" t="s">
        <v>4</v>
      </c>
      <c r="B12" s="16">
        <f>J12/J10</f>
        <v>0.252493113004008</v>
      </c>
      <c r="C12" s="10"/>
      <c r="D12" s="11"/>
      <c r="E12" s="12">
        <f>E11-E10</f>
        <v>12000</v>
      </c>
      <c r="F12" s="12"/>
      <c r="G12" s="12"/>
      <c r="H12" s="12"/>
      <c r="I12" s="12"/>
      <c r="J12" s="12">
        <f>J11-J10</f>
        <v>11766.93474</v>
      </c>
      <c r="K12" s="5"/>
      <c r="L12" s="5"/>
      <c r="M12" s="5"/>
      <c r="N12" s="5"/>
      <c r="O12" s="5"/>
    </row>
    <row r="13" customFormat="1" ht="14.4" spans="1:15">
      <c r="A13" s="26"/>
      <c r="B13" s="16"/>
      <c r="C13" s="10"/>
      <c r="D13" s="11"/>
      <c r="E13" s="12"/>
      <c r="F13" s="12"/>
      <c r="G13" s="12"/>
      <c r="H13" s="12"/>
      <c r="I13" s="12"/>
      <c r="J13" s="12"/>
      <c r="K13" s="5"/>
      <c r="L13" s="5"/>
      <c r="M13" s="5"/>
      <c r="N13" s="5"/>
      <c r="O13" s="5"/>
    </row>
    <row r="14" s="39" customFormat="1" ht="15.6" spans="1:15">
      <c r="A14" s="26">
        <v>45195</v>
      </c>
      <c r="B14" s="9" t="s">
        <v>1</v>
      </c>
      <c r="C14" s="10">
        <v>2500</v>
      </c>
      <c r="D14" s="14">
        <v>16</v>
      </c>
      <c r="E14" s="12">
        <f>C14*D14</f>
        <v>40000</v>
      </c>
      <c r="F14" s="12">
        <f>E14*0.002</f>
        <v>80</v>
      </c>
      <c r="G14" s="12">
        <f>E14*0.00006</f>
        <v>2.4</v>
      </c>
      <c r="H14" s="12">
        <f>E14*0.00001</f>
        <v>0.4</v>
      </c>
      <c r="I14" s="12">
        <f>(F14+G14+H14)*0.07</f>
        <v>5.796</v>
      </c>
      <c r="J14" s="12">
        <f>E14+F14+I14+G14+H14</f>
        <v>40088.596</v>
      </c>
      <c r="K14" s="37"/>
      <c r="L14" s="1"/>
      <c r="M14" s="1"/>
      <c r="N14" s="1"/>
      <c r="O14" s="1"/>
    </row>
    <row r="15" spans="1:12">
      <c r="A15" s="26">
        <v>45294</v>
      </c>
      <c r="B15" s="9" t="s">
        <v>3</v>
      </c>
      <c r="C15" s="10">
        <f>C14</f>
        <v>2500</v>
      </c>
      <c r="D15" s="31">
        <v>16.9</v>
      </c>
      <c r="E15" s="11">
        <f>C15*D15</f>
        <v>42250</v>
      </c>
      <c r="F15" s="32">
        <f>E15*0.002</f>
        <v>84.5</v>
      </c>
      <c r="G15" s="31">
        <f>E15*0.000068</f>
        <v>2.873</v>
      </c>
      <c r="H15" s="31">
        <f>E15*0.00001</f>
        <v>0.4225</v>
      </c>
      <c r="I15" s="31">
        <f>(F15+G15+H15)*0.07</f>
        <v>6.145685</v>
      </c>
      <c r="J15" s="31">
        <f>E15-F15-G15-H15-I15</f>
        <v>42156.058815</v>
      </c>
      <c r="L15" s="5"/>
    </row>
    <row r="16" spans="1:12">
      <c r="A16" s="26" t="s">
        <v>4</v>
      </c>
      <c r="B16" s="16">
        <f>J16/J14</f>
        <v>0.0515723427929477</v>
      </c>
      <c r="C16" s="10"/>
      <c r="D16" s="11"/>
      <c r="E16" s="12">
        <f>E15-E14</f>
        <v>2250</v>
      </c>
      <c r="F16" s="12"/>
      <c r="G16" s="12"/>
      <c r="H16" s="12"/>
      <c r="I16" s="12"/>
      <c r="J16" s="12">
        <f>J15-J14</f>
        <v>2067.46281499999</v>
      </c>
      <c r="L16" s="5"/>
    </row>
    <row r="17" spans="1:12">
      <c r="A17" s="42"/>
      <c r="B17" s="1"/>
      <c r="C17" s="21"/>
      <c r="D17" s="37"/>
      <c r="E17" s="23"/>
      <c r="F17" s="23"/>
      <c r="G17" s="23"/>
      <c r="H17" s="23"/>
      <c r="I17" s="23"/>
      <c r="J17" s="23"/>
      <c r="L17" s="5"/>
    </row>
    <row r="18" s="39" customFormat="1" ht="15.6" spans="1:15">
      <c r="A18" s="26">
        <v>44550</v>
      </c>
      <c r="B18" s="9" t="s">
        <v>1</v>
      </c>
      <c r="C18" s="10">
        <v>2500</v>
      </c>
      <c r="D18" s="14">
        <v>29.5</v>
      </c>
      <c r="E18" s="12">
        <f>C18*D18</f>
        <v>73750</v>
      </c>
      <c r="F18" s="12">
        <f>E18*0.002</f>
        <v>147.5</v>
      </c>
      <c r="G18" s="12">
        <f>E18*0.00006</f>
        <v>4.425</v>
      </c>
      <c r="H18" s="12">
        <f>E18*0.00001</f>
        <v>0.7375</v>
      </c>
      <c r="I18" s="12">
        <f>(F18+G18+H18)*0.07</f>
        <v>10.686375</v>
      </c>
      <c r="J18" s="12">
        <f>E18+F18+I18+G18+H18</f>
        <v>73913.348875</v>
      </c>
      <c r="K18" s="37"/>
      <c r="L18" s="1"/>
      <c r="M18" s="1"/>
      <c r="N18" s="1"/>
      <c r="O18" s="1"/>
    </row>
    <row r="19" spans="1:12">
      <c r="A19" s="26">
        <v>44922</v>
      </c>
      <c r="B19" s="9" t="s">
        <v>3</v>
      </c>
      <c r="C19" s="10">
        <f>C18</f>
        <v>2500</v>
      </c>
      <c r="D19" s="31">
        <v>19.7</v>
      </c>
      <c r="E19" s="11">
        <f>C19*D19</f>
        <v>49250</v>
      </c>
      <c r="F19" s="32">
        <f>E19*0.002</f>
        <v>98.5</v>
      </c>
      <c r="G19" s="31">
        <f>E19*0.000068</f>
        <v>3.349</v>
      </c>
      <c r="H19" s="31">
        <f>E19*0.00001</f>
        <v>0.4925</v>
      </c>
      <c r="I19" s="31">
        <f>(F19+G19+H19)*0.07</f>
        <v>7.163905</v>
      </c>
      <c r="J19" s="31">
        <f>E19-F19-G19-H19-I19</f>
        <v>49140.494595</v>
      </c>
      <c r="L19" s="5"/>
    </row>
    <row r="20" spans="1:12">
      <c r="A20" s="26" t="s">
        <v>4</v>
      </c>
      <c r="B20" s="9"/>
      <c r="C20" s="10"/>
      <c r="D20" s="11"/>
      <c r="E20" s="12">
        <f>E19-E18</f>
        <v>-24500</v>
      </c>
      <c r="F20" s="12"/>
      <c r="G20" s="12"/>
      <c r="H20" s="12"/>
      <c r="I20" s="12"/>
      <c r="J20" s="12">
        <f>J19-J18</f>
        <v>-24772.85428</v>
      </c>
      <c r="L20" s="5"/>
    </row>
    <row r="21" spans="2:13">
      <c r="B21" s="7"/>
      <c r="C21" s="6"/>
      <c r="D21" s="25"/>
      <c r="E21" s="6"/>
      <c r="F21" s="6"/>
      <c r="G21" s="6"/>
      <c r="H21" s="6"/>
      <c r="I21" s="6"/>
      <c r="J21" s="6"/>
      <c r="K21" s="37"/>
      <c r="L21" s="1"/>
      <c r="M21" s="1"/>
    </row>
    <row r="22" s="39" customFormat="1" ht="15.6" spans="1:15">
      <c r="A22" s="26">
        <v>44624</v>
      </c>
      <c r="B22" s="9" t="s">
        <v>1</v>
      </c>
      <c r="C22" s="10">
        <v>2500</v>
      </c>
      <c r="D22" s="14">
        <v>25.75</v>
      </c>
      <c r="E22" s="12">
        <f>C22*D22</f>
        <v>64375</v>
      </c>
      <c r="F22" s="12">
        <f>E22*0.002</f>
        <v>128.75</v>
      </c>
      <c r="G22" s="12">
        <f>E22*0.00006</f>
        <v>3.8625</v>
      </c>
      <c r="H22" s="12">
        <f>E22*0.00001</f>
        <v>0.64375</v>
      </c>
      <c r="I22" s="12">
        <f>(F22+G22+H22)*0.07</f>
        <v>9.3279375</v>
      </c>
      <c r="J22" s="12">
        <f>E22+F22+I22+G22+H22</f>
        <v>64517.5841875</v>
      </c>
      <c r="K22" s="37"/>
      <c r="L22" s="1"/>
      <c r="M22" s="1"/>
      <c r="N22" s="1"/>
      <c r="O22" s="1"/>
    </row>
    <row r="23" spans="1:12">
      <c r="A23" s="26">
        <v>44866</v>
      </c>
      <c r="B23" s="9" t="s">
        <v>3</v>
      </c>
      <c r="C23" s="10">
        <f>C22</f>
        <v>2500</v>
      </c>
      <c r="D23" s="31">
        <v>19.2</v>
      </c>
      <c r="E23" s="11">
        <f>C23*D23</f>
        <v>48000</v>
      </c>
      <c r="F23" s="32">
        <f>E23*0.002</f>
        <v>96</v>
      </c>
      <c r="G23" s="31">
        <f>E23*0.000068</f>
        <v>3.264</v>
      </c>
      <c r="H23" s="31">
        <f>E23*0.00001</f>
        <v>0.48</v>
      </c>
      <c r="I23" s="31">
        <f>(F23+G23+H23)*0.07</f>
        <v>6.98208</v>
      </c>
      <c r="J23" s="31">
        <f>E23-F23-G23-H23-I23</f>
        <v>47893.27392</v>
      </c>
      <c r="L23" s="5"/>
    </row>
    <row r="24" spans="1:12">
      <c r="A24" s="26" t="s">
        <v>4</v>
      </c>
      <c r="B24" s="9"/>
      <c r="C24" s="10"/>
      <c r="D24" s="11"/>
      <c r="E24" s="12">
        <f>E23-E22</f>
        <v>-16375</v>
      </c>
      <c r="F24" s="12"/>
      <c r="G24" s="12"/>
      <c r="H24" s="12"/>
      <c r="I24" s="12"/>
      <c r="J24" s="12">
        <f>J23-J22</f>
        <v>-16624.3102675</v>
      </c>
      <c r="L24" s="5"/>
    </row>
    <row r="25" spans="1:12">
      <c r="A25" s="42"/>
      <c r="B25" s="1"/>
      <c r="C25" s="21"/>
      <c r="D25" s="37"/>
      <c r="E25" s="23"/>
      <c r="F25" s="23"/>
      <c r="G25" s="23"/>
      <c r="H25" s="23"/>
      <c r="I25" s="23"/>
      <c r="J25" s="23"/>
      <c r="L25" s="5"/>
    </row>
    <row r="26" s="39" customFormat="1" ht="15.6" spans="1:15">
      <c r="A26" s="26">
        <v>45195</v>
      </c>
      <c r="B26" s="9" t="s">
        <v>1</v>
      </c>
      <c r="C26" s="10">
        <v>2500</v>
      </c>
      <c r="D26" s="14">
        <v>16</v>
      </c>
      <c r="E26" s="12">
        <f>C26*D26</f>
        <v>40000</v>
      </c>
      <c r="F26" s="12">
        <f>E26*0.002</f>
        <v>80</v>
      </c>
      <c r="G26" s="12">
        <f>E26*0.00006</f>
        <v>2.4</v>
      </c>
      <c r="H26" s="12">
        <f>E26*0.00001</f>
        <v>0.4</v>
      </c>
      <c r="I26" s="12">
        <f>(F26+G26+H26)*0.07</f>
        <v>5.796</v>
      </c>
      <c r="J26" s="12">
        <f>E26+F26+I26+G26+H26</f>
        <v>40088.596</v>
      </c>
      <c r="K26" s="37"/>
      <c r="L26" s="1"/>
      <c r="M26" s="1"/>
      <c r="N26" s="1"/>
      <c r="O26" s="1"/>
    </row>
    <row r="27" spans="1:12">
      <c r="A27" s="42">
        <v>44634</v>
      </c>
      <c r="B27" s="1" t="s">
        <v>3</v>
      </c>
      <c r="C27" s="21">
        <f>C26</f>
        <v>2500</v>
      </c>
      <c r="D27" s="45">
        <v>16.8</v>
      </c>
      <c r="E27" s="37">
        <f>C27*D27</f>
        <v>42000</v>
      </c>
      <c r="F27" s="46">
        <f>E27*0.002</f>
        <v>84</v>
      </c>
      <c r="G27" s="45">
        <f>E27*0.000068</f>
        <v>2.856</v>
      </c>
      <c r="H27" s="45">
        <f>E27*0.00001</f>
        <v>0.42</v>
      </c>
      <c r="I27" s="45">
        <f>(F27+G27+H27)*0.07</f>
        <v>6.10932</v>
      </c>
      <c r="J27" s="45">
        <f>E27-F27-G27-H27-I27</f>
        <v>41906.61468</v>
      </c>
      <c r="L27" s="5"/>
    </row>
    <row r="28" spans="1:12">
      <c r="A28" s="42" t="s">
        <v>4</v>
      </c>
      <c r="B28" s="1"/>
      <c r="C28" s="21"/>
      <c r="D28" s="37"/>
      <c r="E28" s="23">
        <f>E27-E26</f>
        <v>2000</v>
      </c>
      <c r="F28" s="23"/>
      <c r="G28" s="23"/>
      <c r="H28" s="23"/>
      <c r="I28" s="23"/>
      <c r="J28" s="23">
        <f>J27-J26</f>
        <v>1818.01867999999</v>
      </c>
      <c r="L28" s="5"/>
    </row>
    <row r="29" spans="1:12">
      <c r="A29" s="42">
        <v>44627</v>
      </c>
      <c r="B29" s="1" t="s">
        <v>1</v>
      </c>
      <c r="C29" s="21">
        <v>2500</v>
      </c>
      <c r="D29" s="22">
        <v>19</v>
      </c>
      <c r="E29" s="23">
        <f>C29*D29</f>
        <v>47500</v>
      </c>
      <c r="F29" s="23">
        <f>E29*0.002</f>
        <v>95</v>
      </c>
      <c r="G29" s="23">
        <f>E29*0.00006</f>
        <v>2.85</v>
      </c>
      <c r="H29" s="23">
        <f>E29*0.00001</f>
        <v>0.475</v>
      </c>
      <c r="I29" s="23">
        <f>(F29+G29+H29)*0.07</f>
        <v>6.88275</v>
      </c>
      <c r="J29" s="23">
        <f>E29+F29+I29+G29+H29</f>
        <v>47605.20775</v>
      </c>
      <c r="L29" s="5"/>
    </row>
    <row r="30" spans="1:12">
      <c r="A30" s="42">
        <v>44634</v>
      </c>
      <c r="B30" s="1" t="s">
        <v>3</v>
      </c>
      <c r="C30" s="21">
        <f>C29</f>
        <v>2500</v>
      </c>
      <c r="D30" s="45">
        <v>20.1</v>
      </c>
      <c r="E30" s="37">
        <f>C30*D30</f>
        <v>50250</v>
      </c>
      <c r="F30" s="46">
        <f>E30*0.002</f>
        <v>100.5</v>
      </c>
      <c r="G30" s="45">
        <f>E30*0.000068</f>
        <v>3.417</v>
      </c>
      <c r="H30" s="45">
        <f>E30*0.00001</f>
        <v>0.5025</v>
      </c>
      <c r="I30" s="45">
        <f>(F30+G30+H30)*0.07</f>
        <v>7.309365</v>
      </c>
      <c r="J30" s="45">
        <f>E30-F30-G30-H30-I30</f>
        <v>50138.271135</v>
      </c>
      <c r="L30" s="5"/>
    </row>
    <row r="31" spans="1:12">
      <c r="A31" s="42" t="s">
        <v>4</v>
      </c>
      <c r="B31" s="47">
        <f>(D30-D29)/D29</f>
        <v>0.0578947368421053</v>
      </c>
      <c r="C31" s="21"/>
      <c r="D31" s="37"/>
      <c r="E31" s="23">
        <f>E30-E29</f>
        <v>2750</v>
      </c>
      <c r="F31" s="23"/>
      <c r="G31" s="23"/>
      <c r="H31" s="23"/>
      <c r="I31" s="23"/>
      <c r="J31" s="23">
        <f>J30-J29</f>
        <v>2533.063385</v>
      </c>
      <c r="L31" s="5"/>
    </row>
    <row r="32" spans="4:12">
      <c r="D32" s="25"/>
      <c r="J32" s="50"/>
      <c r="L32" s="5"/>
    </row>
    <row r="33" s="39" customFormat="1" ht="15.6" spans="1:15">
      <c r="A33" s="42">
        <v>44624</v>
      </c>
      <c r="B33" s="1" t="s">
        <v>1</v>
      </c>
      <c r="C33" s="10">
        <v>2500</v>
      </c>
      <c r="D33" s="22">
        <v>25.75</v>
      </c>
      <c r="E33" s="23">
        <f>C33*D33</f>
        <v>64375</v>
      </c>
      <c r="F33" s="23">
        <f>E33*0.002</f>
        <v>128.75</v>
      </c>
      <c r="G33" s="23">
        <f>E33*0.00006</f>
        <v>3.8625</v>
      </c>
      <c r="H33" s="23">
        <f>E33*0.00001</f>
        <v>0.64375</v>
      </c>
      <c r="I33" s="23">
        <f>(F33+G33+H33)*0.07</f>
        <v>9.3279375</v>
      </c>
      <c r="J33" s="23">
        <f>E33+F33+I33+G33+H33</f>
        <v>64517.5841875</v>
      </c>
      <c r="K33" s="37"/>
      <c r="L33" s="1"/>
      <c r="M33" s="1"/>
      <c r="N33" s="1"/>
      <c r="O33" s="1"/>
    </row>
    <row r="34" s="1" customFormat="1" spans="1:11">
      <c r="A34" s="42" t="e">
        <f>#REF!</f>
        <v>#REF!</v>
      </c>
      <c r="B34" s="1" t="s">
        <v>3</v>
      </c>
      <c r="C34" s="21">
        <f>C33</f>
        <v>2500</v>
      </c>
      <c r="D34" s="31">
        <v>29.5</v>
      </c>
      <c r="E34" s="37">
        <f>C34*D34</f>
        <v>73750</v>
      </c>
      <c r="F34" s="46">
        <f>E34*0.002</f>
        <v>147.5</v>
      </c>
      <c r="G34" s="45">
        <f>E34*0.000068</f>
        <v>5.015</v>
      </c>
      <c r="H34" s="45">
        <f>E34*0.00001</f>
        <v>0.7375</v>
      </c>
      <c r="I34" s="45">
        <f>(F34+G34+H34)*0.07</f>
        <v>10.727675</v>
      </c>
      <c r="J34" s="45">
        <f>E34-F34-G34-H34-I34</f>
        <v>73586.019825</v>
      </c>
      <c r="K34" s="21"/>
    </row>
    <row r="35" s="51" customFormat="1" ht="18.6" spans="1:11">
      <c r="A35" s="42" t="s">
        <v>4</v>
      </c>
      <c r="B35" s="7">
        <f>(D34-D33)/D33</f>
        <v>0.145631067961165</v>
      </c>
      <c r="C35" s="21"/>
      <c r="D35" s="37"/>
      <c r="E35" s="23">
        <f>E34-E33</f>
        <v>9375</v>
      </c>
      <c r="F35" s="23"/>
      <c r="G35" s="23"/>
      <c r="H35" s="23"/>
      <c r="I35" s="23"/>
      <c r="J35" s="23">
        <f>J34-J33</f>
        <v>9068.43563749999</v>
      </c>
      <c r="K35" s="23"/>
    </row>
    <row r="36" s="39" customFormat="1" ht="15.6" spans="1:15">
      <c r="A36" s="26">
        <v>44550</v>
      </c>
      <c r="B36" s="1" t="s">
        <v>1</v>
      </c>
      <c r="C36" s="10">
        <v>2500</v>
      </c>
      <c r="D36" s="22">
        <v>29.5</v>
      </c>
      <c r="E36" s="23">
        <f>C36*D36</f>
        <v>73750</v>
      </c>
      <c r="F36" s="23">
        <f>E36*0.002</f>
        <v>147.5</v>
      </c>
      <c r="G36" s="23">
        <f>E36*0.00006</f>
        <v>4.425</v>
      </c>
      <c r="H36" s="23">
        <f>E36*0.00001</f>
        <v>0.7375</v>
      </c>
      <c r="I36" s="23">
        <f>(F36+G36+H36)*0.07</f>
        <v>10.686375</v>
      </c>
      <c r="J36" s="23">
        <f>E36+F36+I36+G36+H36</f>
        <v>73913.348875</v>
      </c>
      <c r="K36" s="37"/>
      <c r="L36" s="1"/>
      <c r="M36" s="1"/>
      <c r="N36" s="1"/>
      <c r="O36" s="1"/>
    </row>
    <row r="37" s="1" customFormat="1" spans="1:11">
      <c r="A37" s="42" t="e">
        <f>A34</f>
        <v>#REF!</v>
      </c>
      <c r="B37" s="1" t="s">
        <v>3</v>
      </c>
      <c r="C37" s="21">
        <f>C36</f>
        <v>2500</v>
      </c>
      <c r="D37" s="45">
        <f>D34</f>
        <v>29.5</v>
      </c>
      <c r="E37" s="37">
        <f>C37*D37</f>
        <v>73750</v>
      </c>
      <c r="F37" s="46">
        <f>E37*0.002</f>
        <v>147.5</v>
      </c>
      <c r="G37" s="45">
        <f>E37*0.000068</f>
        <v>5.015</v>
      </c>
      <c r="H37" s="45">
        <f>E37*0.00001</f>
        <v>0.7375</v>
      </c>
      <c r="I37" s="45">
        <f>(F37+G37+H37)*0.07</f>
        <v>10.727675</v>
      </c>
      <c r="J37" s="45">
        <f>E37-F37-G37-H37-I37</f>
        <v>73586.019825</v>
      </c>
      <c r="K37" s="21"/>
    </row>
    <row r="38" s="51" customFormat="1" ht="18.6" spans="1:11">
      <c r="A38" s="42" t="s">
        <v>4</v>
      </c>
      <c r="B38" s="7">
        <f>(D37-D36)/D36</f>
        <v>0</v>
      </c>
      <c r="C38" s="21"/>
      <c r="D38" s="37"/>
      <c r="E38" s="23">
        <f>E37-E36</f>
        <v>0</v>
      </c>
      <c r="F38" s="23"/>
      <c r="G38" s="23"/>
      <c r="H38" s="23"/>
      <c r="I38" s="23"/>
      <c r="J38" s="23">
        <f>J37-J36</f>
        <v>-327.329050000015</v>
      </c>
      <c r="K38" s="23"/>
    </row>
    <row r="39" s="39" customFormat="1" ht="15.6" spans="1:15">
      <c r="A39" s="42">
        <v>44543</v>
      </c>
      <c r="B39" s="1" t="s">
        <v>1</v>
      </c>
      <c r="C39" s="10">
        <v>2500</v>
      </c>
      <c r="D39" s="22">
        <v>29.5</v>
      </c>
      <c r="E39" s="23">
        <f>C39*D39</f>
        <v>73750</v>
      </c>
      <c r="F39" s="23">
        <f>E39*0.002</f>
        <v>147.5</v>
      </c>
      <c r="G39" s="23">
        <f>E39*0.00006</f>
        <v>4.425</v>
      </c>
      <c r="H39" s="23">
        <f>E39*0.00001</f>
        <v>0.7375</v>
      </c>
      <c r="I39" s="23">
        <f>(F39+G39+H39)*0.07</f>
        <v>10.686375</v>
      </c>
      <c r="J39" s="23">
        <f>E39+F39+I39+G39+H39</f>
        <v>73913.348875</v>
      </c>
      <c r="K39" s="37"/>
      <c r="L39" s="1"/>
      <c r="M39" s="1"/>
      <c r="N39" s="1"/>
      <c r="O39" s="1"/>
    </row>
    <row r="40" s="1" customFormat="1" spans="1:11">
      <c r="A40" s="42" t="e">
        <f>A37</f>
        <v>#REF!</v>
      </c>
      <c r="B40" s="1" t="s">
        <v>3</v>
      </c>
      <c r="C40" s="21">
        <f>C39</f>
        <v>2500</v>
      </c>
      <c r="D40" s="45">
        <f>D37</f>
        <v>29.5</v>
      </c>
      <c r="E40" s="37">
        <f>C40*D40</f>
        <v>73750</v>
      </c>
      <c r="F40" s="46">
        <f>E40*0.002</f>
        <v>147.5</v>
      </c>
      <c r="G40" s="45">
        <f>E40*0.000068</f>
        <v>5.015</v>
      </c>
      <c r="H40" s="45">
        <f>E40*0.00001</f>
        <v>0.7375</v>
      </c>
      <c r="I40" s="45">
        <f>(F40+G40+H40)*0.07</f>
        <v>10.727675</v>
      </c>
      <c r="J40" s="45">
        <f>E40-F40-G40-H40-I40</f>
        <v>73586.019825</v>
      </c>
      <c r="K40" s="21"/>
    </row>
    <row r="41" s="51" customFormat="1" ht="18.6" spans="1:11">
      <c r="A41" s="42" t="s">
        <v>4</v>
      </c>
      <c r="B41" s="7">
        <f>(D40-D39)/D39</f>
        <v>0</v>
      </c>
      <c r="C41" s="21"/>
      <c r="D41" s="37"/>
      <c r="E41" s="23">
        <f>E40-E39</f>
        <v>0</v>
      </c>
      <c r="F41" s="23"/>
      <c r="G41" s="23"/>
      <c r="H41" s="23"/>
      <c r="I41" s="23"/>
      <c r="J41" s="23">
        <f>J40-J39</f>
        <v>-327.329050000015</v>
      </c>
      <c r="K41" s="23"/>
    </row>
    <row r="42" s="39" customFormat="1" ht="15.6" spans="1:15">
      <c r="A42" s="42">
        <v>44496</v>
      </c>
      <c r="B42" s="1" t="s">
        <v>1</v>
      </c>
      <c r="C42" s="10">
        <v>2500</v>
      </c>
      <c r="D42" s="22">
        <v>32.75</v>
      </c>
      <c r="E42" s="23">
        <f>C42*D42</f>
        <v>81875</v>
      </c>
      <c r="F42" s="23">
        <f>E42*0.002</f>
        <v>163.75</v>
      </c>
      <c r="G42" s="23">
        <f>E42*0.00006</f>
        <v>4.9125</v>
      </c>
      <c r="H42" s="23">
        <f>E42*0.00001</f>
        <v>0.81875</v>
      </c>
      <c r="I42" s="23">
        <f>(F42+G42+H42)*0.07</f>
        <v>11.8636875</v>
      </c>
      <c r="J42" s="23">
        <f>E42+F42+I42+G42+H42</f>
        <v>82056.3449375</v>
      </c>
      <c r="K42" s="37"/>
      <c r="L42" s="1"/>
      <c r="M42" s="1"/>
      <c r="N42" s="1"/>
      <c r="O42" s="1"/>
    </row>
    <row r="43" s="1" customFormat="1" spans="1:11">
      <c r="A43" s="42" t="e">
        <f>A40</f>
        <v>#REF!</v>
      </c>
      <c r="B43" s="1" t="s">
        <v>3</v>
      </c>
      <c r="C43" s="21">
        <f>C42</f>
        <v>2500</v>
      </c>
      <c r="D43" s="45">
        <f>D37</f>
        <v>29.5</v>
      </c>
      <c r="E43" s="37">
        <f>C43*D43</f>
        <v>73750</v>
      </c>
      <c r="F43" s="46">
        <f>E43*0.002</f>
        <v>147.5</v>
      </c>
      <c r="G43" s="45">
        <f>E43*0.000068</f>
        <v>5.015</v>
      </c>
      <c r="H43" s="45">
        <f>E43*0.00001</f>
        <v>0.7375</v>
      </c>
      <c r="I43" s="45">
        <f>(F43+G43+H43)*0.07</f>
        <v>10.727675</v>
      </c>
      <c r="J43" s="45">
        <f>E43-F43-G43-H43-I43</f>
        <v>73586.019825</v>
      </c>
      <c r="K43" s="21"/>
    </row>
    <row r="44" s="51" customFormat="1" ht="18.6" spans="1:11">
      <c r="A44" s="42" t="s">
        <v>4</v>
      </c>
      <c r="B44" s="7">
        <f>(D43-D42)/D42</f>
        <v>-0.099236641221374</v>
      </c>
      <c r="C44" s="21"/>
      <c r="D44" s="37"/>
      <c r="E44" s="23">
        <f>E43-E42</f>
        <v>-8125</v>
      </c>
      <c r="F44" s="23"/>
      <c r="G44" s="23"/>
      <c r="H44" s="23"/>
      <c r="I44" s="23"/>
      <c r="J44" s="23">
        <f>J43-J42</f>
        <v>-8470.32511250001</v>
      </c>
      <c r="K44" s="23"/>
    </row>
    <row r="45" s="39" customFormat="1" ht="15.6" spans="1:15">
      <c r="A45" s="42">
        <v>44462</v>
      </c>
      <c r="B45" s="1" t="s">
        <v>1</v>
      </c>
      <c r="C45" s="10">
        <v>2500</v>
      </c>
      <c r="D45" s="22">
        <v>33.25</v>
      </c>
      <c r="E45" s="23">
        <f>C45*D45</f>
        <v>83125</v>
      </c>
      <c r="F45" s="23">
        <f>E45*0.002</f>
        <v>166.25</v>
      </c>
      <c r="G45" s="23">
        <f>E45*0.00006</f>
        <v>4.9875</v>
      </c>
      <c r="H45" s="23">
        <f>E45*0.00001</f>
        <v>0.83125</v>
      </c>
      <c r="I45" s="23">
        <f>(F45+G45+H45)*0.07</f>
        <v>12.0448125</v>
      </c>
      <c r="J45" s="23">
        <f>E45+F45+I45+G45+H45</f>
        <v>83309.1135625</v>
      </c>
      <c r="K45" s="37"/>
      <c r="L45" s="1"/>
      <c r="M45" s="1"/>
      <c r="N45" s="1"/>
      <c r="O45" s="1"/>
    </row>
    <row r="46" s="1" customFormat="1" spans="1:11">
      <c r="A46" s="42" t="e">
        <f>A43</f>
        <v>#REF!</v>
      </c>
      <c r="B46" s="1" t="s">
        <v>3</v>
      </c>
      <c r="C46" s="21">
        <f>C45</f>
        <v>2500</v>
      </c>
      <c r="D46" s="45">
        <f>D37</f>
        <v>29.5</v>
      </c>
      <c r="E46" s="37">
        <f>C46*D46</f>
        <v>73750</v>
      </c>
      <c r="F46" s="46">
        <f>E46*0.002</f>
        <v>147.5</v>
      </c>
      <c r="G46" s="45">
        <f>E46*0.000068</f>
        <v>5.015</v>
      </c>
      <c r="H46" s="45">
        <f>E46*0.00001</f>
        <v>0.7375</v>
      </c>
      <c r="I46" s="45">
        <f>(F46+G46+H46)*0.07</f>
        <v>10.727675</v>
      </c>
      <c r="J46" s="45">
        <f>E46-F46-G46-H46-I46</f>
        <v>73586.019825</v>
      </c>
      <c r="K46" s="21"/>
    </row>
    <row r="47" s="51" customFormat="1" ht="18.6" spans="1:11">
      <c r="A47" s="42" t="s">
        <v>4</v>
      </c>
      <c r="B47" s="7">
        <f>(D46-D45)/D45</f>
        <v>-0.112781954887218</v>
      </c>
      <c r="C47" s="21"/>
      <c r="D47" s="37"/>
      <c r="E47" s="23">
        <f>E46-E45</f>
        <v>-9375</v>
      </c>
      <c r="F47" s="23"/>
      <c r="G47" s="23"/>
      <c r="H47" s="23"/>
      <c r="I47" s="23"/>
      <c r="J47" s="23">
        <f>J46-J45</f>
        <v>-9723.09373750001</v>
      </c>
      <c r="K47" s="23"/>
    </row>
    <row r="48" s="39" customFormat="1" ht="15.6" spans="1:15">
      <c r="A48" s="42">
        <v>44452</v>
      </c>
      <c r="B48" s="1" t="s">
        <v>1</v>
      </c>
      <c r="C48" s="10">
        <v>2500</v>
      </c>
      <c r="D48" s="22">
        <v>35.25</v>
      </c>
      <c r="E48" s="23">
        <f>C48*D48</f>
        <v>88125</v>
      </c>
      <c r="F48" s="23">
        <f>E48*0.002</f>
        <v>176.25</v>
      </c>
      <c r="G48" s="23">
        <f>E48*0.00006</f>
        <v>5.2875</v>
      </c>
      <c r="H48" s="23">
        <f>E48*0.00001</f>
        <v>0.88125</v>
      </c>
      <c r="I48" s="23">
        <f>(F48+G48+H48)*0.07</f>
        <v>12.7693125</v>
      </c>
      <c r="J48" s="23">
        <f>E48+F48+I48+G48+H48</f>
        <v>88320.1880625</v>
      </c>
      <c r="K48" s="37"/>
      <c r="L48" s="1"/>
      <c r="M48" s="1"/>
      <c r="N48" s="1"/>
      <c r="O48" s="1"/>
    </row>
    <row r="49" s="1" customFormat="1" spans="1:11">
      <c r="A49" s="42" t="e">
        <f>A46</f>
        <v>#REF!</v>
      </c>
      <c r="B49" s="1" t="s">
        <v>3</v>
      </c>
      <c r="C49" s="21">
        <f>C48</f>
        <v>2500</v>
      </c>
      <c r="D49" s="45">
        <f>D37</f>
        <v>29.5</v>
      </c>
      <c r="E49" s="37">
        <f>C49*D49</f>
        <v>73750</v>
      </c>
      <c r="F49" s="46">
        <f>E49*0.002</f>
        <v>147.5</v>
      </c>
      <c r="G49" s="45">
        <f>E49*0.000068</f>
        <v>5.015</v>
      </c>
      <c r="H49" s="45">
        <f>E49*0.00001</f>
        <v>0.7375</v>
      </c>
      <c r="I49" s="45">
        <f>(F49+G49+H49)*0.07</f>
        <v>10.727675</v>
      </c>
      <c r="J49" s="45">
        <f>E49-F49-G49-H49-I49</f>
        <v>73586.019825</v>
      </c>
      <c r="K49" s="21"/>
    </row>
    <row r="50" s="51" customFormat="1" ht="18.6" spans="1:11">
      <c r="A50" s="42" t="s">
        <v>4</v>
      </c>
      <c r="B50" s="7">
        <f>(D49-D48)/D48</f>
        <v>-0.163120567375887</v>
      </c>
      <c r="C50" s="21"/>
      <c r="D50" s="37"/>
      <c r="E50" s="23">
        <f>E49-E48</f>
        <v>-14375</v>
      </c>
      <c r="F50" s="23"/>
      <c r="G50" s="23"/>
      <c r="H50" s="23"/>
      <c r="I50" s="23"/>
      <c r="J50" s="23">
        <f>J49-J48</f>
        <v>-14734.1682375</v>
      </c>
      <c r="K50" s="23"/>
    </row>
    <row r="51" s="39" customFormat="1" ht="15.6" spans="1:15">
      <c r="A51" s="42">
        <v>44398</v>
      </c>
      <c r="B51" s="1" t="s">
        <v>1</v>
      </c>
      <c r="C51" s="10">
        <v>2500</v>
      </c>
      <c r="D51" s="22">
        <v>37.75</v>
      </c>
      <c r="E51" s="23">
        <f>C51*D51</f>
        <v>94375</v>
      </c>
      <c r="F51" s="23">
        <f>E51*0.002</f>
        <v>188.75</v>
      </c>
      <c r="G51" s="23">
        <f>E51*0.00006</f>
        <v>5.6625</v>
      </c>
      <c r="H51" s="23">
        <f>E51*0.00001</f>
        <v>0.94375</v>
      </c>
      <c r="I51" s="23">
        <f>(F51+G51+H51)*0.07</f>
        <v>13.6749375</v>
      </c>
      <c r="J51" s="23">
        <f>E51+F51+I51+G51+H51</f>
        <v>94584.0311875</v>
      </c>
      <c r="K51" s="37"/>
      <c r="L51" s="1"/>
      <c r="M51" s="1"/>
      <c r="N51" s="1"/>
      <c r="O51" s="1"/>
    </row>
    <row r="52" s="1" customFormat="1" spans="1:11">
      <c r="A52" s="42" t="e">
        <f>A49</f>
        <v>#REF!</v>
      </c>
      <c r="B52" s="1" t="s">
        <v>3</v>
      </c>
      <c r="C52" s="21">
        <f>C51</f>
        <v>2500</v>
      </c>
      <c r="D52" s="45">
        <f>D37</f>
        <v>29.5</v>
      </c>
      <c r="E52" s="37">
        <f>C52*D52</f>
        <v>73750</v>
      </c>
      <c r="F52" s="46">
        <f>E52*0.002</f>
        <v>147.5</v>
      </c>
      <c r="G52" s="45">
        <f>E52*0.000068</f>
        <v>5.015</v>
      </c>
      <c r="H52" s="45">
        <f>E52*0.00001</f>
        <v>0.7375</v>
      </c>
      <c r="I52" s="45">
        <f>(F52+G52+H52)*0.07</f>
        <v>10.727675</v>
      </c>
      <c r="J52" s="45">
        <f>E52-F52-G52-H52-I52</f>
        <v>73586.019825</v>
      </c>
      <c r="K52" s="21"/>
    </row>
    <row r="53" s="51" customFormat="1" ht="18.6" spans="1:11">
      <c r="A53" s="42" t="s">
        <v>4</v>
      </c>
      <c r="B53" s="7">
        <f>(D52-D51)/D51</f>
        <v>-0.218543046357616</v>
      </c>
      <c r="C53" s="21"/>
      <c r="D53" s="37"/>
      <c r="E53" s="23">
        <f>E52-E51</f>
        <v>-20625</v>
      </c>
      <c r="F53" s="23"/>
      <c r="G53" s="23"/>
      <c r="H53" s="23"/>
      <c r="I53" s="23"/>
      <c r="J53" s="23">
        <f>J52-J51</f>
        <v>-20998.0113625</v>
      </c>
      <c r="K53" s="23"/>
    </row>
    <row r="54" s="39" customFormat="1" ht="15.6" spans="1:15">
      <c r="A54" s="42">
        <v>44368</v>
      </c>
      <c r="B54" s="1" t="s">
        <v>1</v>
      </c>
      <c r="C54" s="10">
        <v>2500</v>
      </c>
      <c r="D54" s="22">
        <v>40</v>
      </c>
      <c r="E54" s="23">
        <f>C54*D54</f>
        <v>100000</v>
      </c>
      <c r="F54" s="23">
        <f>E54*0.002</f>
        <v>200</v>
      </c>
      <c r="G54" s="23">
        <f>E54*0.00006</f>
        <v>6</v>
      </c>
      <c r="H54" s="23">
        <f>E54*0.00001</f>
        <v>1</v>
      </c>
      <c r="I54" s="23">
        <f>(F54+G54+H54)*0.07</f>
        <v>14.49</v>
      </c>
      <c r="J54" s="23">
        <f>E54+F54+I54+G54+H54</f>
        <v>100221.49</v>
      </c>
      <c r="K54" s="37"/>
      <c r="L54" s="1"/>
      <c r="M54" s="1"/>
      <c r="N54" s="1"/>
      <c r="O54" s="1"/>
    </row>
    <row r="55" s="1" customFormat="1" spans="1:11">
      <c r="A55" s="42" t="e">
        <f>A52</f>
        <v>#REF!</v>
      </c>
      <c r="B55" s="1" t="s">
        <v>3</v>
      </c>
      <c r="C55" s="21">
        <f>C54</f>
        <v>2500</v>
      </c>
      <c r="D55" s="45">
        <f>D40</f>
        <v>29.5</v>
      </c>
      <c r="E55" s="37">
        <f>C55*D55</f>
        <v>73750</v>
      </c>
      <c r="F55" s="46">
        <f>E55*0.002</f>
        <v>147.5</v>
      </c>
      <c r="G55" s="45">
        <f>E55*0.000068</f>
        <v>5.015</v>
      </c>
      <c r="H55" s="45">
        <f>E55*0.00001</f>
        <v>0.7375</v>
      </c>
      <c r="I55" s="45">
        <f>(F55+G55+H55)*0.07</f>
        <v>10.727675</v>
      </c>
      <c r="J55" s="45">
        <f>E55-F55-G55-H55-I55</f>
        <v>73586.019825</v>
      </c>
      <c r="K55" s="21"/>
    </row>
    <row r="56" s="51" customFormat="1" ht="18.6" spans="1:11">
      <c r="A56" s="42" t="s">
        <v>4</v>
      </c>
      <c r="B56" s="7">
        <f>(D55-D54)/D54</f>
        <v>-0.2625</v>
      </c>
      <c r="C56" s="21"/>
      <c r="D56" s="37"/>
      <c r="E56" s="23">
        <f>E55-E54</f>
        <v>-26250</v>
      </c>
      <c r="F56" s="23"/>
      <c r="G56" s="23"/>
      <c r="H56" s="23"/>
      <c r="I56" s="23"/>
      <c r="J56" s="23">
        <f>J55-J54</f>
        <v>-26635.470175</v>
      </c>
      <c r="K56" s="23"/>
    </row>
    <row r="57" s="39" customFormat="1" ht="15.6" spans="1:15">
      <c r="A57" s="42">
        <v>44368</v>
      </c>
      <c r="B57" s="1" t="s">
        <v>1</v>
      </c>
      <c r="C57" s="10">
        <v>2500</v>
      </c>
      <c r="D57" s="22">
        <v>40</v>
      </c>
      <c r="E57" s="23">
        <f>C57*D57</f>
        <v>100000</v>
      </c>
      <c r="F57" s="23">
        <f>E57*0.002</f>
        <v>200</v>
      </c>
      <c r="G57" s="23">
        <f>E57*0.00006</f>
        <v>6</v>
      </c>
      <c r="H57" s="23">
        <f>E57*0.00001</f>
        <v>1</v>
      </c>
      <c r="I57" s="23">
        <f>(F57+G57+H57)*0.07</f>
        <v>14.49</v>
      </c>
      <c r="J57" s="23">
        <f>E57+F57+I57+G57+H57</f>
        <v>100221.49</v>
      </c>
      <c r="K57" s="37"/>
      <c r="L57" s="1"/>
      <c r="M57" s="1"/>
      <c r="N57" s="1"/>
      <c r="O57" s="1"/>
    </row>
    <row r="58" s="1" customFormat="1" spans="1:11">
      <c r="A58" s="42" t="e">
        <f>A55</f>
        <v>#REF!</v>
      </c>
      <c r="B58" s="1" t="s">
        <v>3</v>
      </c>
      <c r="C58" s="21">
        <f>C57</f>
        <v>2500</v>
      </c>
      <c r="D58" s="45">
        <f>D43</f>
        <v>29.5</v>
      </c>
      <c r="E58" s="37">
        <f>C58*D58</f>
        <v>73750</v>
      </c>
      <c r="F58" s="46">
        <f>E58*0.002</f>
        <v>147.5</v>
      </c>
      <c r="G58" s="45">
        <f>E58*0.000068</f>
        <v>5.015</v>
      </c>
      <c r="H58" s="45">
        <f>E58*0.00001</f>
        <v>0.7375</v>
      </c>
      <c r="I58" s="45">
        <f>(F58+G58+H58)*0.07</f>
        <v>10.727675</v>
      </c>
      <c r="J58" s="45">
        <f>E58-F58-G58-H58-I58</f>
        <v>73586.019825</v>
      </c>
      <c r="K58" s="21"/>
    </row>
    <row r="59" s="51" customFormat="1" ht="18.6" spans="1:11">
      <c r="A59" s="42" t="s">
        <v>4</v>
      </c>
      <c r="B59" s="7">
        <f>(D58-D57)/D57</f>
        <v>-0.2625</v>
      </c>
      <c r="C59" s="21"/>
      <c r="D59" s="37"/>
      <c r="E59" s="23">
        <f>E58-E57</f>
        <v>-26250</v>
      </c>
      <c r="F59" s="23"/>
      <c r="G59" s="23"/>
      <c r="H59" s="23"/>
      <c r="I59" s="23"/>
      <c r="J59" s="23">
        <f>J58-J57</f>
        <v>-26635.470175</v>
      </c>
      <c r="K59" s="23"/>
    </row>
    <row r="61" s="39" customFormat="1" ht="15.6" spans="1:15">
      <c r="A61" s="42">
        <v>44368</v>
      </c>
      <c r="B61" s="1" t="s">
        <v>1</v>
      </c>
      <c r="C61" s="10">
        <v>5000</v>
      </c>
      <c r="D61" s="22">
        <v>11.5</v>
      </c>
      <c r="E61" s="23">
        <f>C61*D61</f>
        <v>57500</v>
      </c>
      <c r="F61" s="23">
        <f>E61*0.002</f>
        <v>115</v>
      </c>
      <c r="G61" s="23">
        <f>E61*0.00006</f>
        <v>3.45</v>
      </c>
      <c r="H61" s="23">
        <f>E61*0.00001</f>
        <v>0.575</v>
      </c>
      <c r="I61" s="23">
        <f>(F61+G61+H61)*0.07</f>
        <v>8.33175</v>
      </c>
      <c r="J61" s="23">
        <f>E61+F61+I61+G61+H61</f>
        <v>57627.35675</v>
      </c>
      <c r="K61" s="37"/>
      <c r="L61" s="1"/>
      <c r="M61" s="1"/>
      <c r="N61" s="1"/>
      <c r="O61" s="1"/>
    </row>
    <row r="62" s="1" customFormat="1" spans="1:11">
      <c r="A62" s="42" t="str">
        <f>A59</f>
        <v/>
      </c>
      <c r="B62" s="1" t="s">
        <v>3</v>
      </c>
      <c r="C62" s="21">
        <f>C61</f>
        <v>5000</v>
      </c>
      <c r="D62" s="45">
        <v>12.5</v>
      </c>
      <c r="E62" s="37">
        <f>C62*D62</f>
        <v>62500</v>
      </c>
      <c r="F62" s="46">
        <f>E62*0.002</f>
        <v>125</v>
      </c>
      <c r="G62" s="45">
        <f>E62*0.000068</f>
        <v>4.25</v>
      </c>
      <c r="H62" s="45">
        <f>E62*0.00001</f>
        <v>0.625</v>
      </c>
      <c r="I62" s="45">
        <f>(F62+G62+H62)*0.07</f>
        <v>9.09125</v>
      </c>
      <c r="J62" s="45">
        <f>E62-F62-G62-H62-I62</f>
        <v>62361.03375</v>
      </c>
      <c r="K62" s="21"/>
    </row>
    <row r="63" s="51" customFormat="1" ht="18.6" spans="1:11">
      <c r="A63" s="42" t="s">
        <v>4</v>
      </c>
      <c r="B63" s="7">
        <f>(D62-D61)/D61</f>
        <v>0.0869565217391304</v>
      </c>
      <c r="C63" s="21"/>
      <c r="D63" s="37"/>
      <c r="E63" s="23">
        <f>E62-E61</f>
        <v>5000</v>
      </c>
      <c r="F63" s="23"/>
      <c r="G63" s="23"/>
      <c r="H63" s="23"/>
      <c r="I63" s="23"/>
      <c r="J63" s="23">
        <f>J62-J61</f>
        <v>4733.67700000001</v>
      </c>
      <c r="K63" s="23"/>
    </row>
  </sheetData>
  <sheetProtection selectLockedCells="1" selectUnlockedCells="1"/>
  <pageMargins left="0.7" right="0.7" top="0.75" bottom="0.75" header="0.511805555555556" footer="0.511805555555556"/>
  <pageSetup paperSize="9" firstPageNumber="0" orientation="portrait" useFirstPageNumber="1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6"/>
  <sheetViews>
    <sheetView topLeftCell="A15" workbookViewId="0">
      <selection activeCell="B2" sqref="B2"/>
    </sheetView>
  </sheetViews>
  <sheetFormatPr defaultColWidth="8.88888888888889" defaultRowHeight="13.8"/>
  <cols>
    <col min="1" max="1" width="10.1111111111111" style="24" customWidth="1"/>
    <col min="2" max="2" width="7.11111111111111" style="5" customWidth="1"/>
    <col min="3" max="3" width="7.22222222222222" style="5" customWidth="1"/>
    <col min="4" max="4" width="7.66666666666667" style="53" customWidth="1"/>
    <col min="5" max="5" width="11.1111111111111" style="5" customWidth="1"/>
    <col min="6" max="6" width="8.88888888888889" style="5"/>
    <col min="7" max="7" width="10" style="5" customWidth="1"/>
    <col min="8" max="8" width="5.77777777777778" style="5" customWidth="1"/>
    <col min="9" max="9" width="6.66666666666667" style="5" customWidth="1"/>
    <col min="10" max="10" width="11.1111111111111" style="5" customWidth="1"/>
    <col min="11" max="16384" width="8.88888888888889" style="5"/>
  </cols>
  <sheetData>
    <row r="1" spans="2:2">
      <c r="B1" s="5" t="s">
        <v>7</v>
      </c>
    </row>
    <row r="2" s="39" customFormat="1" ht="15.6" spans="1:10">
      <c r="A2" s="13">
        <v>43237</v>
      </c>
      <c r="B2" s="9" t="s">
        <v>1</v>
      </c>
      <c r="C2" s="10">
        <v>60000</v>
      </c>
      <c r="D2" s="28">
        <v>10.7</v>
      </c>
      <c r="E2" s="12">
        <f>C2*D2</f>
        <v>642000</v>
      </c>
      <c r="F2" s="12">
        <f>E2*0.002</f>
        <v>1284</v>
      </c>
      <c r="G2" s="12">
        <f>E2*0.00006</f>
        <v>38.52</v>
      </c>
      <c r="H2" s="12">
        <f>E2*0.00001</f>
        <v>6.42</v>
      </c>
      <c r="I2" s="12">
        <f>(F2+G2+H2)*0.07</f>
        <v>93.0258</v>
      </c>
      <c r="J2" s="12">
        <f>E2+F2+I2+G2+H2</f>
        <v>643421.9658</v>
      </c>
    </row>
    <row r="3" spans="1:10">
      <c r="A3" s="13">
        <v>43739</v>
      </c>
      <c r="B3" s="9" t="s">
        <v>1</v>
      </c>
      <c r="C3" s="10">
        <v>20000</v>
      </c>
      <c r="D3" s="14">
        <v>10.5</v>
      </c>
      <c r="E3" s="12">
        <f>C3*D3</f>
        <v>210000</v>
      </c>
      <c r="F3" s="12">
        <f>E3*0.002</f>
        <v>420</v>
      </c>
      <c r="G3" s="12">
        <f>E3*0.000068</f>
        <v>14.28</v>
      </c>
      <c r="H3" s="12">
        <f>E3*0.00001</f>
        <v>2.1</v>
      </c>
      <c r="I3" s="12">
        <f>(F3+G3+H3)*0.07</f>
        <v>30.5466</v>
      </c>
      <c r="J3" s="12">
        <f>E3+F3+I3+G3+H3</f>
        <v>210466.9266</v>
      </c>
    </row>
    <row r="4" spans="1:11">
      <c r="A4" s="15"/>
      <c r="B4" s="3"/>
      <c r="C4" s="17">
        <f>SUM(C2:C3)</f>
        <v>80000</v>
      </c>
      <c r="D4" s="18">
        <f>E4/C4</f>
        <v>10.65</v>
      </c>
      <c r="E4" s="17">
        <f t="shared" ref="E4:J4" si="0">SUM(E2:E3)</f>
        <v>852000</v>
      </c>
      <c r="F4" s="17">
        <f t="shared" si="0"/>
        <v>1704</v>
      </c>
      <c r="G4" s="17">
        <f t="shared" si="0"/>
        <v>52.8</v>
      </c>
      <c r="H4" s="17">
        <f t="shared" si="0"/>
        <v>8.52</v>
      </c>
      <c r="I4" s="17">
        <f t="shared" si="0"/>
        <v>123.5724</v>
      </c>
      <c r="J4" s="17">
        <f t="shared" si="0"/>
        <v>853888.8924</v>
      </c>
      <c r="K4" s="7"/>
    </row>
    <row r="5" spans="1:10">
      <c r="A5" s="13">
        <v>43739</v>
      </c>
      <c r="B5" s="9" t="s">
        <v>1</v>
      </c>
      <c r="C5" s="10">
        <v>10000</v>
      </c>
      <c r="D5" s="14">
        <v>10.2</v>
      </c>
      <c r="E5" s="12">
        <f>C5*D5</f>
        <v>102000</v>
      </c>
      <c r="F5" s="12">
        <f>E5*0.002</f>
        <v>204</v>
      </c>
      <c r="G5" s="12">
        <f>E5*0.000068</f>
        <v>6.936</v>
      </c>
      <c r="H5" s="12">
        <f>E5*0.00001</f>
        <v>1.02</v>
      </c>
      <c r="I5" s="12">
        <f>(F5+G5+H5)*0.07</f>
        <v>14.83692</v>
      </c>
      <c r="J5" s="12">
        <f>E5+F5+I5+G5+H5</f>
        <v>102226.79292</v>
      </c>
    </row>
    <row r="6" spans="1:11">
      <c r="A6" s="15"/>
      <c r="B6" s="3"/>
      <c r="C6" s="17">
        <f>SUM(C4:C5)</f>
        <v>90000</v>
      </c>
      <c r="D6" s="18">
        <f>E6/C6</f>
        <v>10.6</v>
      </c>
      <c r="E6" s="19">
        <f t="shared" ref="E6:J6" si="1">SUM(E4:E5)</f>
        <v>954000</v>
      </c>
      <c r="F6" s="17">
        <f t="shared" si="1"/>
        <v>1908</v>
      </c>
      <c r="G6" s="17">
        <f t="shared" si="1"/>
        <v>59.736</v>
      </c>
      <c r="H6" s="17">
        <f t="shared" si="1"/>
        <v>9.54</v>
      </c>
      <c r="I6" s="17">
        <f t="shared" si="1"/>
        <v>138.40932</v>
      </c>
      <c r="J6" s="17">
        <f t="shared" si="1"/>
        <v>956115.68532</v>
      </c>
      <c r="K6" s="7"/>
    </row>
    <row r="7" spans="1:10">
      <c r="A7" s="13">
        <v>43739</v>
      </c>
      <c r="B7" s="9" t="s">
        <v>2</v>
      </c>
      <c r="C7" s="10">
        <v>100000</v>
      </c>
      <c r="D7" s="14">
        <v>10.1</v>
      </c>
      <c r="E7" s="12">
        <f>C7*D7</f>
        <v>1010000</v>
      </c>
      <c r="F7" s="12">
        <f>E7*0.002</f>
        <v>2020</v>
      </c>
      <c r="G7" s="12">
        <f>E7*0.000068</f>
        <v>68.68</v>
      </c>
      <c r="H7" s="12">
        <f>E7*0.00001</f>
        <v>10.1</v>
      </c>
      <c r="I7" s="12">
        <f>(F7+G7+H7)*0.07</f>
        <v>146.9146</v>
      </c>
      <c r="J7" s="12">
        <f>E7+F7+I7+G7+H7</f>
        <v>1012245.6946</v>
      </c>
    </row>
    <row r="8" spans="1:10">
      <c r="A8" s="13">
        <v>44088</v>
      </c>
      <c r="B8" s="9" t="s">
        <v>1</v>
      </c>
      <c r="C8" s="10">
        <v>10000</v>
      </c>
      <c r="D8" s="14">
        <v>9.6</v>
      </c>
      <c r="E8" s="12">
        <f>C8*D8</f>
        <v>96000</v>
      </c>
      <c r="F8" s="12">
        <f>E8*0.002</f>
        <v>192</v>
      </c>
      <c r="G8" s="12">
        <f>E8*0.000068</f>
        <v>6.528</v>
      </c>
      <c r="H8" s="12">
        <f>E8*0.00001</f>
        <v>0.96</v>
      </c>
      <c r="I8" s="12">
        <f>(F8+G8+H8)*0.07</f>
        <v>13.96416</v>
      </c>
      <c r="J8" s="12">
        <f>E8+F8+I8+G8+H8</f>
        <v>96213.45216</v>
      </c>
    </row>
    <row r="9" spans="1:11">
      <c r="A9" s="15"/>
      <c r="B9" s="3"/>
      <c r="C9" s="17">
        <f>SUM(C7:C8)</f>
        <v>110000</v>
      </c>
      <c r="D9" s="18">
        <f>E9/C9</f>
        <v>10.0545454545455</v>
      </c>
      <c r="E9" s="19">
        <f t="shared" ref="E9:J9" si="2">SUM(E7:E8)</f>
        <v>1106000</v>
      </c>
      <c r="F9" s="17">
        <f t="shared" si="2"/>
        <v>2212</v>
      </c>
      <c r="G9" s="17">
        <f t="shared" si="2"/>
        <v>75.208</v>
      </c>
      <c r="H9" s="17">
        <f t="shared" si="2"/>
        <v>11.06</v>
      </c>
      <c r="I9" s="17">
        <f t="shared" si="2"/>
        <v>160.87876</v>
      </c>
      <c r="J9" s="17">
        <f t="shared" si="2"/>
        <v>1108459.14676</v>
      </c>
      <c r="K9" s="7"/>
    </row>
    <row r="10" spans="1:10">
      <c r="A10" s="13">
        <v>44089</v>
      </c>
      <c r="B10" s="9" t="s">
        <v>1</v>
      </c>
      <c r="C10" s="10">
        <v>10000</v>
      </c>
      <c r="D10" s="14">
        <v>9.6</v>
      </c>
      <c r="E10" s="12">
        <f>C10*D10</f>
        <v>96000</v>
      </c>
      <c r="F10" s="12">
        <f>E10*0.002</f>
        <v>192</v>
      </c>
      <c r="G10" s="12">
        <f>E10*0.000068</f>
        <v>6.528</v>
      </c>
      <c r="H10" s="12">
        <f>E10*0.00001</f>
        <v>0.96</v>
      </c>
      <c r="I10" s="12">
        <f>(F10+G10+H10)*0.07</f>
        <v>13.96416</v>
      </c>
      <c r="J10" s="12">
        <f>E10+F10+I10+G10+H10</f>
        <v>96213.45216</v>
      </c>
    </row>
    <row r="11" spans="1:11">
      <c r="A11" s="15"/>
      <c r="B11" s="3"/>
      <c r="C11" s="17">
        <f>SUM(C9:C10)</f>
        <v>120000</v>
      </c>
      <c r="D11" s="18">
        <f>E11/C11</f>
        <v>10.0166666666667</v>
      </c>
      <c r="E11" s="19">
        <f t="shared" ref="E11:J11" si="3">SUM(E9:E10)</f>
        <v>1202000</v>
      </c>
      <c r="F11" s="17">
        <f t="shared" si="3"/>
        <v>2404</v>
      </c>
      <c r="G11" s="17">
        <f t="shared" si="3"/>
        <v>81.736</v>
      </c>
      <c r="H11" s="17">
        <f t="shared" si="3"/>
        <v>12.02</v>
      </c>
      <c r="I11" s="17">
        <f t="shared" si="3"/>
        <v>174.84292</v>
      </c>
      <c r="J11" s="17">
        <f t="shared" si="3"/>
        <v>1204672.59892</v>
      </c>
      <c r="K11" s="7"/>
    </row>
    <row r="12" spans="1:10">
      <c r="A12" s="13">
        <v>44146</v>
      </c>
      <c r="B12" s="9" t="s">
        <v>1</v>
      </c>
      <c r="C12" s="10">
        <v>10000</v>
      </c>
      <c r="D12" s="14">
        <v>9.8</v>
      </c>
      <c r="E12" s="12">
        <f>C12*D12</f>
        <v>98000</v>
      </c>
      <c r="F12" s="12">
        <f>E12*0.002</f>
        <v>196</v>
      </c>
      <c r="G12" s="12">
        <f>E12*0.000068</f>
        <v>6.664</v>
      </c>
      <c r="H12" s="12">
        <f>E12*0.00001</f>
        <v>0.98</v>
      </c>
      <c r="I12" s="12">
        <f>(F12+G12+H12)*0.07</f>
        <v>14.25508</v>
      </c>
      <c r="J12" s="12">
        <f>E12+F12+I12+G12+H12</f>
        <v>98217.89908</v>
      </c>
    </row>
    <row r="13" spans="1:11">
      <c r="A13" s="15"/>
      <c r="B13" s="3"/>
      <c r="C13" s="17">
        <f>SUM(C11:C12)</f>
        <v>130000</v>
      </c>
      <c r="D13" s="18">
        <f>E13/C13</f>
        <v>10</v>
      </c>
      <c r="E13" s="19">
        <f t="shared" ref="E13:J13" si="4">SUM(E11:E12)</f>
        <v>1300000</v>
      </c>
      <c r="F13" s="17">
        <f t="shared" si="4"/>
        <v>2600</v>
      </c>
      <c r="G13" s="17">
        <f t="shared" si="4"/>
        <v>88.4</v>
      </c>
      <c r="H13" s="17">
        <f t="shared" si="4"/>
        <v>13</v>
      </c>
      <c r="I13" s="17">
        <f t="shared" si="4"/>
        <v>189.098</v>
      </c>
      <c r="J13" s="17">
        <f t="shared" si="4"/>
        <v>1302890.498</v>
      </c>
      <c r="K13" s="7"/>
    </row>
    <row r="14" spans="1:10">
      <c r="A14" s="13">
        <v>44467</v>
      </c>
      <c r="B14" s="9" t="s">
        <v>8</v>
      </c>
      <c r="C14" s="10">
        <v>120000</v>
      </c>
      <c r="D14" s="14">
        <v>10</v>
      </c>
      <c r="E14" s="12">
        <f t="shared" ref="E14:E19" si="5">C14*D14</f>
        <v>1200000</v>
      </c>
      <c r="F14" s="12">
        <f t="shared" ref="F14:F19" si="6">E14*0.002</f>
        <v>2400</v>
      </c>
      <c r="G14" s="12">
        <f t="shared" ref="G14:G19" si="7">E14*0.000068</f>
        <v>81.6</v>
      </c>
      <c r="H14" s="12">
        <f t="shared" ref="H14:H19" si="8">E14*0.00001</f>
        <v>12</v>
      </c>
      <c r="I14" s="12">
        <f t="shared" ref="I14:I19" si="9">(F14+G14+H14)*0.07</f>
        <v>174.552</v>
      </c>
      <c r="J14" s="12">
        <f t="shared" ref="J14:J19" si="10">E14+F14+I14+G14+H14</f>
        <v>1202668.152</v>
      </c>
    </row>
    <row r="15" spans="1:10">
      <c r="A15" s="13">
        <v>44475</v>
      </c>
      <c r="B15" s="9" t="s">
        <v>8</v>
      </c>
      <c r="C15" s="10">
        <v>110000</v>
      </c>
      <c r="D15" s="14">
        <v>10</v>
      </c>
      <c r="E15" s="12">
        <f t="shared" si="5"/>
        <v>1100000</v>
      </c>
      <c r="F15" s="12">
        <f t="shared" si="6"/>
        <v>2200</v>
      </c>
      <c r="G15" s="12">
        <f t="shared" si="7"/>
        <v>74.8</v>
      </c>
      <c r="H15" s="12">
        <f t="shared" si="8"/>
        <v>11</v>
      </c>
      <c r="I15" s="12">
        <f t="shared" si="9"/>
        <v>160.006</v>
      </c>
      <c r="J15" s="12">
        <f t="shared" si="10"/>
        <v>1102445.806</v>
      </c>
    </row>
    <row r="16" spans="1:10">
      <c r="A16" s="13">
        <v>44480</v>
      </c>
      <c r="B16" s="9" t="s">
        <v>8</v>
      </c>
      <c r="C16" s="10">
        <v>100000</v>
      </c>
      <c r="D16" s="14">
        <v>10</v>
      </c>
      <c r="E16" s="12">
        <f t="shared" si="5"/>
        <v>1000000</v>
      </c>
      <c r="F16" s="12">
        <f t="shared" si="6"/>
        <v>2000</v>
      </c>
      <c r="G16" s="12">
        <f t="shared" si="7"/>
        <v>68</v>
      </c>
      <c r="H16" s="12">
        <f t="shared" si="8"/>
        <v>10</v>
      </c>
      <c r="I16" s="12">
        <f t="shared" si="9"/>
        <v>145.46</v>
      </c>
      <c r="J16" s="12">
        <f t="shared" si="10"/>
        <v>1002223.46</v>
      </c>
    </row>
    <row r="17" spans="1:10">
      <c r="A17" s="13">
        <v>44700</v>
      </c>
      <c r="B17" s="9" t="s">
        <v>1</v>
      </c>
      <c r="C17" s="10">
        <v>10000</v>
      </c>
      <c r="D17" s="14">
        <v>11</v>
      </c>
      <c r="E17" s="12">
        <f t="shared" si="5"/>
        <v>110000</v>
      </c>
      <c r="F17" s="12">
        <f t="shared" si="6"/>
        <v>220</v>
      </c>
      <c r="G17" s="12">
        <f t="shared" si="7"/>
        <v>7.48</v>
      </c>
      <c r="H17" s="12">
        <f t="shared" si="8"/>
        <v>1.1</v>
      </c>
      <c r="I17" s="12">
        <f t="shared" si="9"/>
        <v>16.0006</v>
      </c>
      <c r="J17" s="12">
        <f t="shared" si="10"/>
        <v>110244.5806</v>
      </c>
    </row>
    <row r="18" spans="1:11">
      <c r="A18" s="15"/>
      <c r="B18" s="3"/>
      <c r="C18" s="17">
        <f>SUM(C16:C17)</f>
        <v>110000</v>
      </c>
      <c r="D18" s="18">
        <v>10.1</v>
      </c>
      <c r="E18" s="12">
        <f t="shared" si="5"/>
        <v>1111000</v>
      </c>
      <c r="F18" s="12">
        <f t="shared" si="6"/>
        <v>2222</v>
      </c>
      <c r="G18" s="12">
        <f t="shared" si="7"/>
        <v>75.548</v>
      </c>
      <c r="H18" s="12">
        <f t="shared" si="8"/>
        <v>11.11</v>
      </c>
      <c r="I18" s="12">
        <f t="shared" si="9"/>
        <v>161.60606</v>
      </c>
      <c r="J18" s="12">
        <f t="shared" si="10"/>
        <v>1113470.26406</v>
      </c>
      <c r="K18" s="7"/>
    </row>
    <row r="19" spans="1:10">
      <c r="A19" s="13">
        <v>44735</v>
      </c>
      <c r="B19" s="9" t="s">
        <v>1</v>
      </c>
      <c r="C19" s="10">
        <v>10000</v>
      </c>
      <c r="D19" s="14">
        <v>9.75</v>
      </c>
      <c r="E19" s="12">
        <f t="shared" si="5"/>
        <v>97500</v>
      </c>
      <c r="F19" s="12">
        <f t="shared" si="6"/>
        <v>195</v>
      </c>
      <c r="G19" s="12">
        <f t="shared" si="7"/>
        <v>6.63</v>
      </c>
      <c r="H19" s="12">
        <f t="shared" si="8"/>
        <v>0.975</v>
      </c>
      <c r="I19" s="12">
        <f t="shared" si="9"/>
        <v>14.18235</v>
      </c>
      <c r="J19" s="12">
        <f t="shared" si="10"/>
        <v>97716.78735</v>
      </c>
    </row>
    <row r="20" spans="1:11">
      <c r="A20" s="15"/>
      <c r="B20" s="3"/>
      <c r="C20" s="17">
        <f>SUM(C18:C19)</f>
        <v>120000</v>
      </c>
      <c r="D20" s="18">
        <f>E20/C20</f>
        <v>10.0708333333333</v>
      </c>
      <c r="E20" s="19">
        <f t="shared" ref="E20:J20" si="11">SUM(E18:E19)</f>
        <v>1208500</v>
      </c>
      <c r="F20" s="17">
        <f t="shared" si="11"/>
        <v>2417</v>
      </c>
      <c r="G20" s="17">
        <f t="shared" si="11"/>
        <v>82.178</v>
      </c>
      <c r="H20" s="17">
        <f t="shared" si="11"/>
        <v>12.085</v>
      </c>
      <c r="I20" s="17">
        <f t="shared" si="11"/>
        <v>175.78841</v>
      </c>
      <c r="J20" s="17">
        <f t="shared" si="11"/>
        <v>1211187.05141</v>
      </c>
      <c r="K20" s="7"/>
    </row>
    <row r="21" spans="1:10">
      <c r="A21" s="20">
        <v>44812</v>
      </c>
      <c r="B21" s="1" t="s">
        <v>1</v>
      </c>
      <c r="C21" s="21">
        <v>10000</v>
      </c>
      <c r="D21" s="22">
        <v>5.9</v>
      </c>
      <c r="E21" s="23">
        <f>C21*D21</f>
        <v>59000</v>
      </c>
      <c r="F21" s="23">
        <f>E21*0.002</f>
        <v>118</v>
      </c>
      <c r="G21" s="23">
        <f>E21*0.000068</f>
        <v>4.012</v>
      </c>
      <c r="H21" s="23">
        <f>E21*0.00001</f>
        <v>0.59</v>
      </c>
      <c r="I21" s="23">
        <f>(F21+G21+H21)*0.07</f>
        <v>8.58214</v>
      </c>
      <c r="J21" s="23">
        <f>E21+F21+I21+G21+H21</f>
        <v>59131.18414</v>
      </c>
    </row>
    <row r="22" ht="21" spans="1:11">
      <c r="A22" s="58" t="s">
        <v>4</v>
      </c>
      <c r="B22" s="43">
        <f>(D21-D20)/D20</f>
        <v>-0.41414977244518</v>
      </c>
      <c r="C22" s="6">
        <f>C20+C21</f>
        <v>130000</v>
      </c>
      <c r="D22" s="25">
        <f>E22/C22</f>
        <v>9.75</v>
      </c>
      <c r="E22" s="6">
        <f t="shared" ref="E22:J22" si="12">E20+E21</f>
        <v>1267500</v>
      </c>
      <c r="F22" s="6">
        <f t="shared" si="12"/>
        <v>2535</v>
      </c>
      <c r="G22" s="6">
        <f t="shared" si="12"/>
        <v>86.19</v>
      </c>
      <c r="H22" s="6">
        <f t="shared" si="12"/>
        <v>12.675</v>
      </c>
      <c r="I22" s="6">
        <f t="shared" si="12"/>
        <v>184.37055</v>
      </c>
      <c r="J22" s="6">
        <f t="shared" si="12"/>
        <v>1270318.23555</v>
      </c>
      <c r="K22" s="7"/>
    </row>
    <row r="23" ht="21" spans="1:11">
      <c r="A23" s="58"/>
      <c r="B23" s="43"/>
      <c r="C23" s="6"/>
      <c r="D23" s="25"/>
      <c r="E23" s="6"/>
      <c r="F23" s="6"/>
      <c r="G23" s="6"/>
      <c r="H23" s="6"/>
      <c r="I23" s="6"/>
      <c r="J23" s="6"/>
      <c r="K23" s="7"/>
    </row>
    <row r="24" ht="21" spans="1:11">
      <c r="A24" s="58"/>
      <c r="B24" s="43"/>
      <c r="C24" s="6"/>
      <c r="D24" s="25"/>
      <c r="E24" s="6"/>
      <c r="F24" s="6"/>
      <c r="G24" s="6"/>
      <c r="H24" s="6"/>
      <c r="I24" s="6"/>
      <c r="J24" s="6"/>
      <c r="K24" s="7"/>
    </row>
    <row r="25" spans="1:10">
      <c r="A25" s="20"/>
      <c r="B25" s="1"/>
      <c r="C25" s="21"/>
      <c r="D25" s="22"/>
      <c r="E25" s="23"/>
      <c r="F25" s="23"/>
      <c r="G25" s="23"/>
      <c r="H25" s="23"/>
      <c r="I25" s="23"/>
      <c r="J25" s="23"/>
    </row>
    <row r="26" spans="1:12">
      <c r="A26" s="26">
        <v>44812</v>
      </c>
      <c r="B26" s="9" t="s">
        <v>1</v>
      </c>
      <c r="C26" s="10">
        <v>10000</v>
      </c>
      <c r="D26" s="11">
        <v>7.85</v>
      </c>
      <c r="E26" s="12">
        <f>C26*D26</f>
        <v>78500</v>
      </c>
      <c r="F26" s="12">
        <f>E26*0.002</f>
        <v>157</v>
      </c>
      <c r="G26" s="12">
        <f>E26*0.000068</f>
        <v>5.338</v>
      </c>
      <c r="H26" s="12">
        <f>E26*0.00001</f>
        <v>0.785</v>
      </c>
      <c r="I26" s="12">
        <f>(F26+G26+H26)*0.07</f>
        <v>11.41861</v>
      </c>
      <c r="J26" s="12">
        <f>E26+F26+I26+G26+H26</f>
        <v>78674.54161</v>
      </c>
      <c r="L26" s="7"/>
    </row>
    <row r="27" s="1" customFormat="1" spans="1:10">
      <c r="A27" s="26">
        <v>44813</v>
      </c>
      <c r="B27" s="9" t="s">
        <v>3</v>
      </c>
      <c r="C27" s="10">
        <f>C26</f>
        <v>10000</v>
      </c>
      <c r="D27" s="31">
        <v>8.25</v>
      </c>
      <c r="E27" s="11">
        <f>C27*D27</f>
        <v>82500</v>
      </c>
      <c r="F27" s="32">
        <f>E27*0.002</f>
        <v>165</v>
      </c>
      <c r="G27" s="31">
        <f>E27*0.000068</f>
        <v>5.61</v>
      </c>
      <c r="H27" s="31">
        <f>E27*0.00001</f>
        <v>0.825</v>
      </c>
      <c r="I27" s="31">
        <f>(F27+G27+H27)*0.07</f>
        <v>12.00045</v>
      </c>
      <c r="J27" s="31">
        <f>E27-F27-G27-H27-I27</f>
        <v>82316.56455</v>
      </c>
    </row>
    <row r="28" s="51" customFormat="1" ht="18.6" spans="1:13">
      <c r="A28" s="61">
        <f>DAYS360(A26,A27)</f>
        <v>1</v>
      </c>
      <c r="B28" s="35">
        <f>(D27-D26)/D26</f>
        <v>0.0509554140127389</v>
      </c>
      <c r="C28" s="10"/>
      <c r="D28" s="11"/>
      <c r="E28" s="12">
        <f>E27-E26</f>
        <v>4000</v>
      </c>
      <c r="F28" s="12"/>
      <c r="G28" s="12"/>
      <c r="H28" s="12"/>
      <c r="I28" s="12"/>
      <c r="J28" s="12">
        <f>J27-J26</f>
        <v>3642.02294</v>
      </c>
      <c r="K28" s="48"/>
      <c r="L28" s="47"/>
      <c r="M28" s="47"/>
    </row>
    <row r="29" spans="1:10">
      <c r="A29" s="13">
        <v>44746</v>
      </c>
      <c r="B29" s="9" t="s">
        <v>1</v>
      </c>
      <c r="C29" s="10">
        <v>10000</v>
      </c>
      <c r="D29" s="14">
        <v>9.15</v>
      </c>
      <c r="E29" s="12">
        <f>C29*D29</f>
        <v>91500</v>
      </c>
      <c r="F29" s="12">
        <f>E29*0.002</f>
        <v>183</v>
      </c>
      <c r="G29" s="12">
        <f>E29*0.000068</f>
        <v>6.222</v>
      </c>
      <c r="H29" s="12">
        <f>E29*0.00001</f>
        <v>0.915</v>
      </c>
      <c r="I29" s="12">
        <f>(F29+G29+H29)*0.07</f>
        <v>13.30959</v>
      </c>
      <c r="J29" s="12">
        <f>E29+F29+I29+G29+H29</f>
        <v>91703.44659</v>
      </c>
    </row>
    <row r="30" s="1" customFormat="1" spans="1:10">
      <c r="A30" s="26">
        <v>45555</v>
      </c>
      <c r="B30" s="9" t="s">
        <v>3</v>
      </c>
      <c r="C30" s="10">
        <f>C29</f>
        <v>10000</v>
      </c>
      <c r="D30" s="31">
        <v>6.5</v>
      </c>
      <c r="E30" s="11">
        <f>C30*D30</f>
        <v>65000</v>
      </c>
      <c r="F30" s="32">
        <f>E30*0.002</f>
        <v>130</v>
      </c>
      <c r="G30" s="31">
        <f>E30*0.000068</f>
        <v>4.42</v>
      </c>
      <c r="H30" s="31">
        <f>E30*0.00001</f>
        <v>0.65</v>
      </c>
      <c r="I30" s="31">
        <f>(F30+G30+H30)*0.07</f>
        <v>9.4549</v>
      </c>
      <c r="J30" s="31">
        <f>E30-F30-G30-H30-I30</f>
        <v>64855.4751</v>
      </c>
    </row>
    <row r="31" s="51" customFormat="1" ht="18.6" spans="1:13">
      <c r="A31" s="61">
        <f>DAYS360(A29,A30)</f>
        <v>796</v>
      </c>
      <c r="B31" s="35">
        <f>(D30-D29)/D29</f>
        <v>-0.289617486338798</v>
      </c>
      <c r="C31" s="10"/>
      <c r="D31" s="11"/>
      <c r="E31" s="12">
        <f>E30-E29</f>
        <v>-26500</v>
      </c>
      <c r="F31" s="12"/>
      <c r="G31" s="12"/>
      <c r="H31" s="12"/>
      <c r="I31" s="12"/>
      <c r="J31" s="12">
        <f>J30-J29</f>
        <v>-26847.97149</v>
      </c>
      <c r="K31" s="48"/>
      <c r="L31" s="47"/>
      <c r="M31" s="47"/>
    </row>
    <row r="32" s="51" customFormat="1" ht="18.6" spans="1:13">
      <c r="A32" s="20">
        <v>44746</v>
      </c>
      <c r="B32" s="1" t="s">
        <v>1</v>
      </c>
      <c r="C32" s="21">
        <v>10000</v>
      </c>
      <c r="D32" s="22">
        <v>5.9</v>
      </c>
      <c r="E32" s="23">
        <f>C32*D32</f>
        <v>59000</v>
      </c>
      <c r="F32" s="23">
        <f>E32*0.002</f>
        <v>118</v>
      </c>
      <c r="G32" s="23">
        <f>E32*0.000068</f>
        <v>4.012</v>
      </c>
      <c r="H32" s="23">
        <f>E32*0.00001</f>
        <v>0.59</v>
      </c>
      <c r="I32" s="23">
        <f>(F32+G32+H32)*0.07</f>
        <v>8.58214</v>
      </c>
      <c r="J32" s="23">
        <f>E32+F32+I32+G32+H32</f>
        <v>59131.18414</v>
      </c>
      <c r="K32" s="5"/>
      <c r="L32" s="5"/>
      <c r="M32" s="5"/>
    </row>
    <row r="33" s="39" customFormat="1" ht="15.6" spans="1:13">
      <c r="A33" s="42">
        <v>44813</v>
      </c>
      <c r="B33" s="1" t="s">
        <v>3</v>
      </c>
      <c r="C33" s="21">
        <f>C32</f>
        <v>10000</v>
      </c>
      <c r="D33" s="45">
        <v>6.5</v>
      </c>
      <c r="E33" s="37">
        <f>C33*D33</f>
        <v>65000</v>
      </c>
      <c r="F33" s="46">
        <f>E33*0.002</f>
        <v>130</v>
      </c>
      <c r="G33" s="45">
        <f>E33*0.000068</f>
        <v>4.42</v>
      </c>
      <c r="H33" s="45">
        <f>E33*0.00001</f>
        <v>0.65</v>
      </c>
      <c r="I33" s="45">
        <f>(F33+G33+H33)*0.07</f>
        <v>9.4549</v>
      </c>
      <c r="J33" s="45">
        <f>E33-F33-G33-H33-I33</f>
        <v>64855.4751</v>
      </c>
      <c r="K33" s="1"/>
      <c r="L33" s="1"/>
      <c r="M33" s="1"/>
    </row>
    <row r="34" s="1" customFormat="1" spans="1:13">
      <c r="A34" s="58">
        <f>DAYS360(A32,A33)</f>
        <v>65</v>
      </c>
      <c r="B34" s="47">
        <f>(D33-D32)/D32</f>
        <v>0.101694915254237</v>
      </c>
      <c r="C34" s="21"/>
      <c r="D34" s="37"/>
      <c r="E34" s="23">
        <f>E33-E32</f>
        <v>6000</v>
      </c>
      <c r="F34" s="23"/>
      <c r="G34" s="23"/>
      <c r="H34" s="23"/>
      <c r="I34" s="23"/>
      <c r="J34" s="23">
        <f>J33-J32</f>
        <v>5724.29096000001</v>
      </c>
      <c r="K34" s="48"/>
      <c r="L34" s="47"/>
      <c r="M34" s="47"/>
    </row>
    <row r="35" s="51" customFormat="1" ht="18.6" spans="1:11">
      <c r="A35" s="13"/>
      <c r="B35" s="9"/>
      <c r="C35" s="10"/>
      <c r="D35" s="28"/>
      <c r="E35" s="10"/>
      <c r="F35" s="12"/>
      <c r="G35" s="12"/>
      <c r="H35" s="12"/>
      <c r="I35" s="12"/>
      <c r="J35" s="12"/>
      <c r="K35" s="35"/>
    </row>
    <row r="36" spans="3:7">
      <c r="C36" s="10"/>
      <c r="D36" s="28"/>
      <c r="E36" s="10"/>
      <c r="F36" s="32"/>
      <c r="G36" s="31"/>
    </row>
  </sheetData>
  <sheetProtection selectLockedCells="1" selectUnlockedCells="1"/>
  <pageMargins left="0.7" right="0.7" top="0.75" bottom="0.75" header="0.511805555555556" footer="0.511805555555556"/>
  <pageSetup paperSize="9" firstPageNumber="0" orientation="portrait" useFirstPageNumber="1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D12" sqref="D12"/>
    </sheetView>
  </sheetViews>
  <sheetFormatPr defaultColWidth="8.88888888888889" defaultRowHeight="13.8"/>
  <cols>
    <col min="1" max="1" width="10.6666666666667" style="4" customWidth="1"/>
    <col min="2" max="2" width="7.11111111111111" style="5" customWidth="1"/>
    <col min="3" max="3" width="6.66666666666667" style="5" customWidth="1"/>
    <col min="4" max="4" width="8.55555555555556" style="84" customWidth="1"/>
    <col min="5" max="5" width="11.1111111111111" style="5" customWidth="1"/>
    <col min="6" max="6" width="8.88888888888889" style="5"/>
    <col min="7" max="7" width="6.66666666666667" style="5" customWidth="1"/>
    <col min="8" max="8" width="5.77777777777778" style="5" customWidth="1"/>
    <col min="9" max="9" width="7.22222222222222" style="5" customWidth="1"/>
    <col min="10" max="10" width="11.1111111111111" style="5" customWidth="1"/>
    <col min="11" max="11" width="5.66666666666667" style="5" customWidth="1"/>
    <col min="12" max="12" width="8.88888888888889" style="5"/>
    <col min="13" max="13" width="8.88888888888889" style="7"/>
    <col min="14" max="16384" width="8.88888888888889" style="5"/>
  </cols>
  <sheetData>
    <row r="1" spans="2:2">
      <c r="B1" s="5" t="s">
        <v>9</v>
      </c>
    </row>
    <row r="2" spans="1:13">
      <c r="A2" s="26">
        <v>46080</v>
      </c>
      <c r="B2" s="9" t="s">
        <v>1</v>
      </c>
      <c r="C2" s="10">
        <v>100</v>
      </c>
      <c r="D2" s="30">
        <v>380</v>
      </c>
      <c r="E2" s="12">
        <f>C2*D2</f>
        <v>38000</v>
      </c>
      <c r="F2" s="12">
        <f>E2*0.002</f>
        <v>76</v>
      </c>
      <c r="G2" s="12">
        <f>E2*0.00006</f>
        <v>2.28</v>
      </c>
      <c r="H2" s="12">
        <f>E2*0.00001</f>
        <v>0.38</v>
      </c>
      <c r="I2" s="12">
        <f>(F2+G2+H2)*0.07</f>
        <v>5.5062</v>
      </c>
      <c r="J2" s="12">
        <f>E2+F2+I2+G2+H2</f>
        <v>38084.1662</v>
      </c>
      <c r="M2" s="5"/>
    </row>
    <row r="3" s="1" customFormat="1" spans="1:13">
      <c r="A3" s="8">
        <v>46134</v>
      </c>
      <c r="B3" s="9" t="s">
        <v>1</v>
      </c>
      <c r="C3" s="10">
        <v>200</v>
      </c>
      <c r="D3" s="30">
        <v>350</v>
      </c>
      <c r="E3" s="12">
        <f>C3*D3</f>
        <v>70000</v>
      </c>
      <c r="F3" s="12">
        <f>E3*0.002</f>
        <v>140</v>
      </c>
      <c r="G3" s="12">
        <f>E3*0.00006</f>
        <v>4.2</v>
      </c>
      <c r="H3" s="12">
        <f>E3*0.00001</f>
        <v>0.7</v>
      </c>
      <c r="I3" s="12">
        <f>(F3+G3+H3)*0.07</f>
        <v>10.143</v>
      </c>
      <c r="J3" s="12">
        <f>E3+F3+I3+G3+H3</f>
        <v>70155.043</v>
      </c>
      <c r="K3" s="48"/>
      <c r="L3" s="37"/>
      <c r="M3" s="47"/>
    </row>
    <row r="4" s="2" customFormat="1" ht="21" spans="1:14">
      <c r="A4" s="26"/>
      <c r="B4" s="49">
        <f>(D3-D2)/D2</f>
        <v>-0.0789473684210526</v>
      </c>
      <c r="C4" s="10">
        <f>SUM(C2:C3)</f>
        <v>300</v>
      </c>
      <c r="D4" s="30">
        <f>E4/C4</f>
        <v>360</v>
      </c>
      <c r="E4" s="10">
        <f t="shared" ref="E4:J4" si="0">SUM(E2:E3)</f>
        <v>108000</v>
      </c>
      <c r="F4" s="10">
        <f t="shared" si="0"/>
        <v>216</v>
      </c>
      <c r="G4" s="10">
        <f t="shared" si="0"/>
        <v>6.48</v>
      </c>
      <c r="H4" s="10">
        <f t="shared" si="0"/>
        <v>1.08</v>
      </c>
      <c r="I4" s="10">
        <f t="shared" si="0"/>
        <v>15.6492</v>
      </c>
      <c r="J4" s="10">
        <f t="shared" si="0"/>
        <v>108239.2092</v>
      </c>
      <c r="K4" s="37"/>
      <c r="L4" s="1"/>
      <c r="M4" s="37"/>
      <c r="N4" s="37"/>
    </row>
    <row r="5" s="1" customFormat="1" spans="1:13">
      <c r="A5" s="8">
        <v>46142</v>
      </c>
      <c r="B5" s="9" t="s">
        <v>1</v>
      </c>
      <c r="C5" s="10">
        <v>100</v>
      </c>
      <c r="D5" s="30">
        <v>340</v>
      </c>
      <c r="E5" s="12">
        <f>C5*D5</f>
        <v>34000</v>
      </c>
      <c r="F5" s="12">
        <f>E5*0.002</f>
        <v>68</v>
      </c>
      <c r="G5" s="12">
        <f>E5*0.00006</f>
        <v>2.04</v>
      </c>
      <c r="H5" s="12">
        <f>E5*0.00001</f>
        <v>0.34</v>
      </c>
      <c r="I5" s="12">
        <f>(F5+G5+H5)*0.07</f>
        <v>4.9266</v>
      </c>
      <c r="J5" s="12">
        <f>E5+F5+I5+G5+H5</f>
        <v>34075.3066</v>
      </c>
      <c r="K5" s="48"/>
      <c r="L5" s="37"/>
      <c r="M5" s="47"/>
    </row>
    <row r="6" s="2" customFormat="1" ht="21" spans="1:14">
      <c r="A6" s="26"/>
      <c r="B6" s="49">
        <f>(D5-D4)/D4</f>
        <v>-0.0555555555555556</v>
      </c>
      <c r="C6" s="10">
        <f>SUM(C4:C5)</f>
        <v>400</v>
      </c>
      <c r="D6" s="30">
        <f>E6/C6</f>
        <v>355</v>
      </c>
      <c r="E6" s="10">
        <f t="shared" ref="E6:J6" si="1">SUM(E4:E5)</f>
        <v>142000</v>
      </c>
      <c r="F6" s="10">
        <f t="shared" si="1"/>
        <v>284</v>
      </c>
      <c r="G6" s="10">
        <f t="shared" si="1"/>
        <v>8.52</v>
      </c>
      <c r="H6" s="10">
        <f t="shared" si="1"/>
        <v>1.42</v>
      </c>
      <c r="I6" s="10">
        <f t="shared" si="1"/>
        <v>20.5758</v>
      </c>
      <c r="J6" s="10">
        <f t="shared" si="1"/>
        <v>142314.5158</v>
      </c>
      <c r="K6" s="37"/>
      <c r="L6" s="1"/>
      <c r="M6" s="37"/>
      <c r="N6" s="37"/>
    </row>
    <row r="7" s="1" customFormat="1" spans="1:13">
      <c r="A7" s="41">
        <v>44473</v>
      </c>
      <c r="B7" s="1" t="s">
        <v>1</v>
      </c>
      <c r="C7" s="21">
        <v>100</v>
      </c>
      <c r="D7" s="48">
        <v>320</v>
      </c>
      <c r="E7" s="23">
        <f>C7*D7</f>
        <v>32000</v>
      </c>
      <c r="F7" s="23">
        <f>E7*0.002</f>
        <v>64</v>
      </c>
      <c r="G7" s="23">
        <f>E7*0.00006</f>
        <v>1.92</v>
      </c>
      <c r="H7" s="23">
        <f>E7*0.00001</f>
        <v>0.32</v>
      </c>
      <c r="I7" s="23">
        <f>(F7+G7+H7)*0.07</f>
        <v>4.6368</v>
      </c>
      <c r="J7" s="23">
        <f>E7+F7+I7+G7+H7</f>
        <v>32070.8768</v>
      </c>
      <c r="K7" s="48"/>
      <c r="L7" s="37"/>
      <c r="M7" s="47"/>
    </row>
    <row r="8" s="2" customFormat="1" ht="21" spans="1:14">
      <c r="A8" s="42"/>
      <c r="B8" s="43">
        <f>(D7-D6)/D6</f>
        <v>-0.0985915492957746</v>
      </c>
      <c r="C8" s="21">
        <f>SUM(C6:C7)</f>
        <v>500</v>
      </c>
      <c r="D8" s="48">
        <f>E8/C8</f>
        <v>348</v>
      </c>
      <c r="E8" s="21">
        <f t="shared" ref="E8:J8" si="2">SUM(E6:E7)</f>
        <v>174000</v>
      </c>
      <c r="F8" s="21">
        <f t="shared" si="2"/>
        <v>348</v>
      </c>
      <c r="G8" s="21">
        <f t="shared" si="2"/>
        <v>10.44</v>
      </c>
      <c r="H8" s="21">
        <f t="shared" si="2"/>
        <v>1.74</v>
      </c>
      <c r="I8" s="21">
        <f t="shared" si="2"/>
        <v>25.2126</v>
      </c>
      <c r="J8" s="21">
        <f t="shared" si="2"/>
        <v>174385.3926</v>
      </c>
      <c r="K8" s="37"/>
      <c r="L8" s="1"/>
      <c r="M8" s="37"/>
      <c r="N8" s="37"/>
    </row>
    <row r="9" s="1" customFormat="1" spans="1:13">
      <c r="A9" s="41">
        <v>44473</v>
      </c>
      <c r="B9" s="1" t="s">
        <v>1</v>
      </c>
      <c r="C9" s="21">
        <v>100</v>
      </c>
      <c r="D9" s="48">
        <v>300</v>
      </c>
      <c r="E9" s="23">
        <f>C9*D9</f>
        <v>30000</v>
      </c>
      <c r="F9" s="23">
        <f>E9*0.002</f>
        <v>60</v>
      </c>
      <c r="G9" s="23">
        <f>E9*0.00006</f>
        <v>1.8</v>
      </c>
      <c r="H9" s="23">
        <f>E9*0.00001</f>
        <v>0.3</v>
      </c>
      <c r="I9" s="23">
        <f>(F9+G9+H9)*0.07</f>
        <v>4.347</v>
      </c>
      <c r="J9" s="23">
        <f>E9+F9+I9+G9+H9</f>
        <v>30066.447</v>
      </c>
      <c r="K9" s="48"/>
      <c r="L9" s="37"/>
      <c r="M9" s="47"/>
    </row>
    <row r="10" s="2" customFormat="1" ht="21" spans="1:14">
      <c r="A10" s="42"/>
      <c r="B10" s="43">
        <f>(D9-D8)/D8</f>
        <v>-0.137931034482759</v>
      </c>
      <c r="C10" s="21">
        <f>SUM(C8:C9)</f>
        <v>600</v>
      </c>
      <c r="D10" s="48">
        <f>E10/C10</f>
        <v>340</v>
      </c>
      <c r="E10" s="21">
        <f t="shared" ref="E10:J10" si="3">SUM(E8:E9)</f>
        <v>204000</v>
      </c>
      <c r="F10" s="21">
        <f t="shared" si="3"/>
        <v>408</v>
      </c>
      <c r="G10" s="21">
        <f t="shared" si="3"/>
        <v>12.24</v>
      </c>
      <c r="H10" s="21">
        <f t="shared" si="3"/>
        <v>2.04</v>
      </c>
      <c r="I10" s="21">
        <f t="shared" si="3"/>
        <v>29.5596</v>
      </c>
      <c r="J10" s="21">
        <f t="shared" si="3"/>
        <v>204451.8396</v>
      </c>
      <c r="K10" s="37"/>
      <c r="L10" s="1"/>
      <c r="M10" s="37"/>
      <c r="N10" s="37"/>
    </row>
    <row r="11" s="1" customFormat="1" spans="1:13">
      <c r="A11" s="41">
        <v>44473</v>
      </c>
      <c r="B11" s="1" t="s">
        <v>1</v>
      </c>
      <c r="C11" s="21">
        <v>100</v>
      </c>
      <c r="D11" s="48">
        <v>270</v>
      </c>
      <c r="E11" s="23">
        <f>C11*D11</f>
        <v>27000</v>
      </c>
      <c r="F11" s="23">
        <f>E11*0.002</f>
        <v>54</v>
      </c>
      <c r="G11" s="23">
        <f>E11*0.00006</f>
        <v>1.62</v>
      </c>
      <c r="H11" s="23">
        <f>E11*0.00001</f>
        <v>0.27</v>
      </c>
      <c r="I11" s="23">
        <f>(F11+G11+H11)*0.07</f>
        <v>3.9123</v>
      </c>
      <c r="J11" s="23">
        <f>E11+F11+I11+G11+H11</f>
        <v>27059.8023</v>
      </c>
      <c r="K11" s="48"/>
      <c r="L11" s="37"/>
      <c r="M11" s="47"/>
    </row>
    <row r="12" s="2" customFormat="1" ht="21" spans="1:14">
      <c r="A12" s="42"/>
      <c r="B12" s="43">
        <f>(D11-D10)/D10</f>
        <v>-0.205882352941176</v>
      </c>
      <c r="C12" s="21">
        <f>SUM(C10:C11)</f>
        <v>700</v>
      </c>
      <c r="D12" s="48">
        <f>E12/C12</f>
        <v>330</v>
      </c>
      <c r="E12" s="21">
        <f t="shared" ref="E12:J12" si="4">SUM(E10:E11)</f>
        <v>231000</v>
      </c>
      <c r="F12" s="21">
        <f t="shared" si="4"/>
        <v>462</v>
      </c>
      <c r="G12" s="21">
        <f t="shared" si="4"/>
        <v>13.86</v>
      </c>
      <c r="H12" s="21">
        <f t="shared" si="4"/>
        <v>2.31</v>
      </c>
      <c r="I12" s="21">
        <f t="shared" si="4"/>
        <v>33.4719</v>
      </c>
      <c r="J12" s="21">
        <f t="shared" si="4"/>
        <v>231511.6419</v>
      </c>
      <c r="K12" s="37"/>
      <c r="L12" s="1"/>
      <c r="M12" s="37"/>
      <c r="N12" s="37"/>
    </row>
    <row r="13" spans="5:5">
      <c r="E13" s="50"/>
    </row>
  </sheetData>
  <sheetProtection selectLockedCells="1" selectUnlockedCells="1"/>
  <pageMargins left="0.7" right="0.7" top="0.75" bottom="0.75" header="0.511805555555556" footer="0.511805555555556"/>
  <pageSetup paperSize="9" firstPageNumber="0" orientation="portrait" useFirstPageNumber="1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workbookViewId="0">
      <selection activeCell="A1" sqref="$A1:$XFD4"/>
    </sheetView>
  </sheetViews>
  <sheetFormatPr defaultColWidth="8.88888888888889" defaultRowHeight="13.8" outlineLevelRow="7"/>
  <cols>
    <col min="1" max="1" width="10.6666666666667" style="4" customWidth="1"/>
    <col min="2" max="2" width="7.11111111111111" style="5" customWidth="1"/>
    <col min="3" max="3" width="6.66666666666667" style="5" customWidth="1"/>
    <col min="4" max="4" width="7.66666666666667" style="5" customWidth="1"/>
    <col min="5" max="5" width="11.1111111111111" style="5" customWidth="1"/>
    <col min="6" max="6" width="9" style="5"/>
    <col min="7" max="7" width="6.66666666666667" style="5" customWidth="1"/>
    <col min="8" max="8" width="5.77777777777778" style="5" customWidth="1"/>
    <col min="9" max="9" width="7.22222222222222" style="5" customWidth="1"/>
    <col min="10" max="10" width="11.1111111111111" style="5" customWidth="1"/>
    <col min="11" max="11" width="5.66666666666667" style="5" customWidth="1"/>
    <col min="12" max="12" width="8.88888888888889" style="5"/>
    <col min="13" max="13" width="8.88888888888889" style="7"/>
    <col min="14" max="16384" width="8.88888888888889" style="5"/>
  </cols>
  <sheetData>
    <row r="1" spans="2:2">
      <c r="B1" s="5" t="s">
        <v>10</v>
      </c>
    </row>
    <row r="2" spans="1:13">
      <c r="A2" s="26">
        <v>45085</v>
      </c>
      <c r="B2" s="9" t="s">
        <v>1</v>
      </c>
      <c r="C2" s="10">
        <v>1200</v>
      </c>
      <c r="D2" s="14">
        <v>37</v>
      </c>
      <c r="E2" s="12">
        <f>C2*D2</f>
        <v>44400</v>
      </c>
      <c r="F2" s="12">
        <f>E2*0.002</f>
        <v>88.8</v>
      </c>
      <c r="G2" s="12">
        <f>E2*0.00006</f>
        <v>2.664</v>
      </c>
      <c r="H2" s="12">
        <f>E2*0.00001</f>
        <v>0.444</v>
      </c>
      <c r="I2" s="12">
        <f>(F2+G2+H2)*0.07</f>
        <v>6.43356</v>
      </c>
      <c r="J2" s="12">
        <f>E2+F2+I2+G2+H2</f>
        <v>44498.34156</v>
      </c>
      <c r="M2" s="5"/>
    </row>
    <row r="3" s="1" customFormat="1" spans="1:13">
      <c r="A3" s="41">
        <v>44473</v>
      </c>
      <c r="B3" s="1" t="s">
        <v>1</v>
      </c>
      <c r="C3" s="21">
        <v>1200</v>
      </c>
      <c r="D3" s="37">
        <v>14</v>
      </c>
      <c r="E3" s="23">
        <f>C3*D3</f>
        <v>16800</v>
      </c>
      <c r="F3" s="23">
        <f>E3*0.002</f>
        <v>33.6</v>
      </c>
      <c r="G3" s="23">
        <f>E3*0.00006</f>
        <v>1.008</v>
      </c>
      <c r="H3" s="23">
        <f>E3*0.00001</f>
        <v>0.168</v>
      </c>
      <c r="I3" s="23">
        <f>(F3+G3+H3)*0.07</f>
        <v>2.43432</v>
      </c>
      <c r="J3" s="23">
        <f>E3+F3+I3+G3+H3</f>
        <v>16837.21032</v>
      </c>
      <c r="K3" s="48"/>
      <c r="L3" s="37"/>
      <c r="M3" s="47"/>
    </row>
    <row r="4" s="2" customFormat="1" ht="21" spans="1:14">
      <c r="A4" s="42"/>
      <c r="B4" s="43">
        <f>(D3-D2)/D2</f>
        <v>-0.621621621621622</v>
      </c>
      <c r="C4" s="21">
        <f>SUM(C2:C3)</f>
        <v>2400</v>
      </c>
      <c r="D4" s="44">
        <f>E4/C4</f>
        <v>25.5</v>
      </c>
      <c r="E4" s="21">
        <f t="shared" ref="E4:J4" si="0">SUM(E2:E3)</f>
        <v>61200</v>
      </c>
      <c r="F4" s="21">
        <f t="shared" si="0"/>
        <v>122.4</v>
      </c>
      <c r="G4" s="21">
        <f t="shared" si="0"/>
        <v>3.672</v>
      </c>
      <c r="H4" s="21">
        <f t="shared" si="0"/>
        <v>0.612</v>
      </c>
      <c r="I4" s="21">
        <f t="shared" si="0"/>
        <v>8.86788</v>
      </c>
      <c r="J4" s="21">
        <f t="shared" si="0"/>
        <v>61335.55188</v>
      </c>
      <c r="K4" s="37"/>
      <c r="L4" s="1"/>
      <c r="M4" s="37"/>
      <c r="N4" s="37"/>
    </row>
    <row r="6" spans="1:13">
      <c r="A6" s="26">
        <v>45085</v>
      </c>
      <c r="B6" s="9" t="s">
        <v>1</v>
      </c>
      <c r="C6" s="10">
        <v>1200</v>
      </c>
      <c r="D6" s="14">
        <v>37</v>
      </c>
      <c r="E6" s="12">
        <f>C6*D6</f>
        <v>44400</v>
      </c>
      <c r="F6" s="12">
        <f>E6*0.002</f>
        <v>88.8</v>
      </c>
      <c r="G6" s="12">
        <f>E6*0.00006</f>
        <v>2.664</v>
      </c>
      <c r="H6" s="12">
        <f>E6*0.00001</f>
        <v>0.444</v>
      </c>
      <c r="I6" s="12">
        <f>(F6+G6+H6)*0.07</f>
        <v>6.43356</v>
      </c>
      <c r="J6" s="12">
        <f>E6+F6+I6+G6+H6</f>
        <v>44498.34156</v>
      </c>
      <c r="M6" s="5"/>
    </row>
    <row r="7" s="1" customFormat="1" spans="1:10">
      <c r="A7" s="20">
        <v>45085</v>
      </c>
      <c r="B7" s="1" t="s">
        <v>3</v>
      </c>
      <c r="C7" s="21">
        <f>C6</f>
        <v>1200</v>
      </c>
      <c r="D7" s="45">
        <v>38.75</v>
      </c>
      <c r="E7" s="37">
        <f>C7*D7</f>
        <v>46500</v>
      </c>
      <c r="F7" s="46">
        <f>E7*0.002</f>
        <v>93</v>
      </c>
      <c r="G7" s="45">
        <f>E7*0.000068</f>
        <v>3.162</v>
      </c>
      <c r="H7" s="45">
        <f>E7*0.00001</f>
        <v>0.465</v>
      </c>
      <c r="I7" s="45">
        <f>(F7+G7+H7)*0.07</f>
        <v>6.76389</v>
      </c>
      <c r="J7" s="45">
        <f>E7-F7-G7-H7-I7</f>
        <v>46396.60911</v>
      </c>
    </row>
    <row r="8" s="51" customFormat="1" ht="21" spans="1:11">
      <c r="A8" s="20" t="s">
        <v>4</v>
      </c>
      <c r="B8" s="43">
        <f>(D7-D6)/D6</f>
        <v>0.0472972972972973</v>
      </c>
      <c r="C8" s="21"/>
      <c r="D8" s="37"/>
      <c r="E8" s="23">
        <f>E7-E6</f>
        <v>2100</v>
      </c>
      <c r="F8" s="23"/>
      <c r="G8" s="23"/>
      <c r="H8" s="23"/>
      <c r="I8" s="23"/>
      <c r="J8" s="23">
        <f>J7-J6</f>
        <v>1898.26755</v>
      </c>
      <c r="K8" s="47"/>
    </row>
  </sheetData>
  <sheetProtection selectLockedCells="1" selectUnlockedCells="1"/>
  <pageMargins left="0.7" right="0.7" top="0.75" bottom="0.75" header="0.511805555555556" footer="0.511805555555556"/>
  <pageSetup paperSize="9" firstPageNumber="0" orientation="portrait" useFirstPageNumber="1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workbookViewId="0">
      <selection activeCell="C14" sqref="C14"/>
    </sheetView>
  </sheetViews>
  <sheetFormatPr defaultColWidth="8.88888888888889" defaultRowHeight="13.8"/>
  <cols>
    <col min="1" max="1" width="10.1111111111111" style="40" customWidth="1"/>
    <col min="2" max="2" width="7.11111111111111" style="5" customWidth="1"/>
    <col min="3" max="3" width="6.66666666666667" style="6" customWidth="1"/>
    <col min="4" max="4" width="7.66666666666667" style="25" customWidth="1"/>
    <col min="5" max="5" width="11.1111111111111" style="5" customWidth="1"/>
    <col min="6" max="6" width="10" style="5" customWidth="1"/>
    <col min="7" max="7" width="6.66666666666667" style="5" customWidth="1"/>
    <col min="8" max="8" width="5.77777777777778" style="5" customWidth="1"/>
    <col min="9" max="9" width="6.66666666666667" style="5" customWidth="1"/>
    <col min="10" max="10" width="11.1111111111111" style="5" customWidth="1"/>
    <col min="11" max="16384" width="8.88888888888889" style="5"/>
  </cols>
  <sheetData>
    <row r="1" spans="2:2">
      <c r="B1" s="40" t="s">
        <v>11</v>
      </c>
    </row>
    <row r="2" s="39" customFormat="1" ht="15.6" spans="1:10">
      <c r="A2" s="26">
        <v>45155</v>
      </c>
      <c r="B2" s="9" t="s">
        <v>1</v>
      </c>
      <c r="C2" s="10">
        <v>10000</v>
      </c>
      <c r="D2" s="14">
        <v>11</v>
      </c>
      <c r="E2" s="12">
        <f>C2*D2</f>
        <v>110000</v>
      </c>
      <c r="F2" s="12">
        <f>E2*0.002</f>
        <v>220</v>
      </c>
      <c r="G2" s="12">
        <f>E2*0.00006</f>
        <v>6.6</v>
      </c>
      <c r="H2" s="12">
        <f>E2*0.00001</f>
        <v>1.1</v>
      </c>
      <c r="I2" s="12">
        <f>(F2+G2+H2)*0.07</f>
        <v>15.939</v>
      </c>
      <c r="J2" s="12">
        <f>E2+F2+I2+G2+H2</f>
        <v>110243.639</v>
      </c>
    </row>
    <row r="3" s="2" customFormat="1" ht="21" spans="1:14">
      <c r="A3" s="8">
        <v>45460</v>
      </c>
      <c r="B3" s="9" t="s">
        <v>1</v>
      </c>
      <c r="C3" s="10">
        <v>2500</v>
      </c>
      <c r="D3" s="11">
        <v>10.5</v>
      </c>
      <c r="E3" s="12">
        <f>C3*D3</f>
        <v>26250</v>
      </c>
      <c r="F3" s="12">
        <f>E3*0.002</f>
        <v>52.5</v>
      </c>
      <c r="G3" s="12">
        <f>E3*0.00006</f>
        <v>1.575</v>
      </c>
      <c r="H3" s="12">
        <f>E3*0.00001</f>
        <v>0.2625</v>
      </c>
      <c r="I3" s="12">
        <f>(F3+G3+H3)*0.07</f>
        <v>3.803625</v>
      </c>
      <c r="J3" s="12">
        <f>E3+F3+I3+G3+H3</f>
        <v>26308.141125</v>
      </c>
      <c r="K3" s="48"/>
      <c r="L3" s="37"/>
      <c r="M3" s="47"/>
      <c r="N3" s="1"/>
    </row>
    <row r="4" s="2" customFormat="1" ht="21" spans="1:14">
      <c r="A4" s="26"/>
      <c r="B4" s="49">
        <f>(D3-D2)/D2</f>
        <v>-0.0454545454545455</v>
      </c>
      <c r="C4" s="10">
        <f>SUM(C2:C3)</f>
        <v>12500</v>
      </c>
      <c r="D4" s="28">
        <f>E4/C4</f>
        <v>10.9</v>
      </c>
      <c r="E4" s="10">
        <f t="shared" ref="E4:J4" si="0">SUM(E2:E3)</f>
        <v>136250</v>
      </c>
      <c r="F4" s="10">
        <f t="shared" si="0"/>
        <v>272.5</v>
      </c>
      <c r="G4" s="10">
        <f t="shared" si="0"/>
        <v>8.175</v>
      </c>
      <c r="H4" s="10">
        <f t="shared" si="0"/>
        <v>1.3625</v>
      </c>
      <c r="I4" s="10">
        <f t="shared" si="0"/>
        <v>19.742625</v>
      </c>
      <c r="J4" s="10">
        <f t="shared" si="0"/>
        <v>136551.780125</v>
      </c>
      <c r="K4" s="37"/>
      <c r="L4" s="1"/>
      <c r="M4" s="37"/>
      <c r="N4" s="37"/>
    </row>
    <row r="5" s="2" customFormat="1" ht="21" spans="1:14">
      <c r="A5" s="8">
        <v>45877</v>
      </c>
      <c r="B5" s="9" t="s">
        <v>1</v>
      </c>
      <c r="C5" s="10">
        <v>2500</v>
      </c>
      <c r="D5" s="11">
        <v>9.9</v>
      </c>
      <c r="E5" s="12">
        <f>C5*D5</f>
        <v>24750</v>
      </c>
      <c r="F5" s="12">
        <f>E5*0.002</f>
        <v>49.5</v>
      </c>
      <c r="G5" s="12">
        <f>E5*0.00006</f>
        <v>1.485</v>
      </c>
      <c r="H5" s="12">
        <f>E5*0.00001</f>
        <v>0.2475</v>
      </c>
      <c r="I5" s="12">
        <f>(F5+G5+H5)*0.07</f>
        <v>3.586275</v>
      </c>
      <c r="J5" s="12">
        <f>E5+F5+I5+G5+H5</f>
        <v>24804.818775</v>
      </c>
      <c r="K5" s="48"/>
      <c r="L5" s="37"/>
      <c r="M5" s="47"/>
      <c r="N5" s="1"/>
    </row>
    <row r="6" s="39" customFormat="1" ht="20.4" spans="1:14">
      <c r="A6" s="26"/>
      <c r="B6" s="49">
        <f>(D5-D4)/D4</f>
        <v>-0.091743119266055</v>
      </c>
      <c r="C6" s="10">
        <f>SUM(C4:C5)</f>
        <v>15000</v>
      </c>
      <c r="D6" s="28">
        <f>E6/C6</f>
        <v>10.7333333333333</v>
      </c>
      <c r="E6" s="10">
        <f t="shared" ref="E6:J6" si="1">SUM(E4:E5)</f>
        <v>161000</v>
      </c>
      <c r="F6" s="10">
        <f t="shared" si="1"/>
        <v>322</v>
      </c>
      <c r="G6" s="10">
        <f t="shared" si="1"/>
        <v>9.66</v>
      </c>
      <c r="H6" s="10">
        <f t="shared" si="1"/>
        <v>1.61</v>
      </c>
      <c r="I6" s="10">
        <f t="shared" si="1"/>
        <v>23.3289</v>
      </c>
      <c r="J6" s="10">
        <f t="shared" si="1"/>
        <v>161356.5989</v>
      </c>
      <c r="K6" s="37"/>
      <c r="L6" s="1"/>
      <c r="M6" s="37"/>
      <c r="N6" s="37"/>
    </row>
    <row r="7" s="2" customFormat="1" ht="21" spans="1:14">
      <c r="A7" s="8">
        <v>45882</v>
      </c>
      <c r="B7" s="9" t="s">
        <v>1</v>
      </c>
      <c r="C7" s="10">
        <v>2500</v>
      </c>
      <c r="D7" s="11">
        <v>9.8</v>
      </c>
      <c r="E7" s="12">
        <f>C7*D7</f>
        <v>24500</v>
      </c>
      <c r="F7" s="12">
        <f>E7*0.002</f>
        <v>49</v>
      </c>
      <c r="G7" s="12">
        <f>E7*0.00006</f>
        <v>1.47</v>
      </c>
      <c r="H7" s="12">
        <f>E7*0.00001</f>
        <v>0.245</v>
      </c>
      <c r="I7" s="12">
        <f>(F7+G7+H7)*0.07</f>
        <v>3.55005</v>
      </c>
      <c r="J7" s="12">
        <f>E7+F7+I7+G7+H7</f>
        <v>24554.26505</v>
      </c>
      <c r="K7" s="48"/>
      <c r="L7" s="37"/>
      <c r="M7" s="47"/>
      <c r="N7" s="1"/>
    </row>
    <row r="8" s="39" customFormat="1" ht="20.4" spans="1:14">
      <c r="A8" s="26"/>
      <c r="B8" s="49">
        <f>(D7-D6)/D6</f>
        <v>-0.0869565217391303</v>
      </c>
      <c r="C8" s="10">
        <f>SUM(C6:C7)</f>
        <v>17500</v>
      </c>
      <c r="D8" s="28">
        <f>E8/C8</f>
        <v>10.6</v>
      </c>
      <c r="E8" s="10">
        <f t="shared" ref="E8:J8" si="2">SUM(E6:E7)</f>
        <v>185500</v>
      </c>
      <c r="F8" s="10">
        <f t="shared" si="2"/>
        <v>371</v>
      </c>
      <c r="G8" s="10">
        <f t="shared" si="2"/>
        <v>11.13</v>
      </c>
      <c r="H8" s="10">
        <f t="shared" si="2"/>
        <v>1.855</v>
      </c>
      <c r="I8" s="10">
        <f t="shared" si="2"/>
        <v>26.87895</v>
      </c>
      <c r="J8" s="10">
        <f t="shared" si="2"/>
        <v>185910.86395</v>
      </c>
      <c r="K8" s="37"/>
      <c r="L8" s="1"/>
      <c r="M8" s="37"/>
      <c r="N8" s="37"/>
    </row>
    <row r="9" s="51" customFormat="1" ht="18.6" spans="1:14">
      <c r="A9" s="42"/>
      <c r="B9" s="1"/>
      <c r="C9" s="21"/>
      <c r="D9" s="45"/>
      <c r="E9" s="37"/>
      <c r="F9" s="46"/>
      <c r="G9" s="45"/>
      <c r="H9" s="45"/>
      <c r="I9" s="45"/>
      <c r="J9" s="45"/>
      <c r="K9" s="5"/>
      <c r="L9" s="5"/>
      <c r="M9" s="5"/>
      <c r="N9" s="5"/>
    </row>
    <row r="10" s="39" customFormat="1" ht="15.6" spans="1:10">
      <c r="A10" s="26">
        <v>46163</v>
      </c>
      <c r="B10" s="9" t="s">
        <v>1</v>
      </c>
      <c r="C10" s="10">
        <v>900</v>
      </c>
      <c r="D10" s="14">
        <v>11.4</v>
      </c>
      <c r="E10" s="12">
        <f>C10*D10</f>
        <v>10260</v>
      </c>
      <c r="F10" s="12">
        <f>E10*0.002</f>
        <v>20.52</v>
      </c>
      <c r="G10" s="12">
        <f>E10*0.00006</f>
        <v>0.6156</v>
      </c>
      <c r="H10" s="12">
        <f>E10*0.00001</f>
        <v>0.1026</v>
      </c>
      <c r="I10" s="12">
        <f>(F10+G10+H10)*0.07</f>
        <v>1.486674</v>
      </c>
      <c r="J10" s="12">
        <f>E10+F10+I10+G10+H10</f>
        <v>10282.724874</v>
      </c>
    </row>
    <row r="11" s="2" customFormat="1" ht="21" spans="1:14">
      <c r="A11" s="8">
        <v>46164</v>
      </c>
      <c r="B11" s="9" t="s">
        <v>1</v>
      </c>
      <c r="C11" s="10">
        <v>9100</v>
      </c>
      <c r="D11" s="11">
        <v>11.3</v>
      </c>
      <c r="E11" s="12">
        <f>C11*D11</f>
        <v>102830</v>
      </c>
      <c r="F11" s="12">
        <f>E11*0.002</f>
        <v>205.66</v>
      </c>
      <c r="G11" s="12">
        <f>E11*0.00006</f>
        <v>6.1698</v>
      </c>
      <c r="H11" s="12">
        <f>E11*0.00001</f>
        <v>1.0283</v>
      </c>
      <c r="I11" s="12">
        <f>(F11+G11+H11)*0.07</f>
        <v>14.900067</v>
      </c>
      <c r="J11" s="12">
        <f>E11+F11+I11+G11+H11</f>
        <v>103057.758167</v>
      </c>
      <c r="K11" s="48"/>
      <c r="L11" s="37"/>
      <c r="M11" s="47"/>
      <c r="N11" s="1"/>
    </row>
    <row r="12" s="2" customFormat="1" ht="21" spans="1:14">
      <c r="A12" s="26"/>
      <c r="B12" s="49">
        <f>(D11-D10)/D10</f>
        <v>-0.00877192982456137</v>
      </c>
      <c r="C12" s="10">
        <f>SUM(C10:C11)</f>
        <v>10000</v>
      </c>
      <c r="D12" s="28">
        <f>E12/C12</f>
        <v>11.309</v>
      </c>
      <c r="E12" s="10">
        <f t="shared" ref="E12:J12" si="3">SUM(E10:E11)</f>
        <v>113090</v>
      </c>
      <c r="F12" s="10">
        <f t="shared" si="3"/>
        <v>226.18</v>
      </c>
      <c r="G12" s="10">
        <f t="shared" si="3"/>
        <v>6.7854</v>
      </c>
      <c r="H12" s="10">
        <f t="shared" si="3"/>
        <v>1.1309</v>
      </c>
      <c r="I12" s="10">
        <f t="shared" si="3"/>
        <v>16.386741</v>
      </c>
      <c r="J12" s="10">
        <f t="shared" si="3"/>
        <v>113340.483041</v>
      </c>
      <c r="K12" s="37"/>
      <c r="L12" s="1"/>
      <c r="M12" s="37"/>
      <c r="N12" s="37"/>
    </row>
    <row r="13" s="2" customFormat="1" ht="21" spans="1:14">
      <c r="A13" s="41">
        <v>46164</v>
      </c>
      <c r="B13" s="1" t="s">
        <v>1</v>
      </c>
      <c r="C13" s="21">
        <v>7500</v>
      </c>
      <c r="D13" s="37">
        <v>12.5</v>
      </c>
      <c r="E13" s="23">
        <f>C13*D13</f>
        <v>93750</v>
      </c>
      <c r="F13" s="23">
        <f>E13*0.002</f>
        <v>187.5</v>
      </c>
      <c r="G13" s="23">
        <f>E13*0.00006</f>
        <v>5.625</v>
      </c>
      <c r="H13" s="23">
        <f>E13*0.00001</f>
        <v>0.9375</v>
      </c>
      <c r="I13" s="23">
        <f>(F13+G13+H13)*0.07</f>
        <v>13.584375</v>
      </c>
      <c r="J13" s="23">
        <f>E13+F13+I13+G13+H13</f>
        <v>93957.646875</v>
      </c>
      <c r="K13" s="48"/>
      <c r="L13" s="37"/>
      <c r="M13" s="47"/>
      <c r="N13" s="1"/>
    </row>
    <row r="14" s="2" customFormat="1" ht="21" spans="1:14">
      <c r="A14" s="42"/>
      <c r="B14" s="43">
        <f>(D13-D12)/D12</f>
        <v>0.105314351401539</v>
      </c>
      <c r="C14" s="21">
        <f>SUM(C12:C13)</f>
        <v>17500</v>
      </c>
      <c r="D14" s="44">
        <f>E14/C14</f>
        <v>11.8194285714286</v>
      </c>
      <c r="E14" s="21">
        <f t="shared" ref="E14:J14" si="4">SUM(E12:E13)</f>
        <v>206840</v>
      </c>
      <c r="F14" s="21">
        <f t="shared" si="4"/>
        <v>413.68</v>
      </c>
      <c r="G14" s="21">
        <f t="shared" si="4"/>
        <v>12.4104</v>
      </c>
      <c r="H14" s="21">
        <f t="shared" si="4"/>
        <v>2.0684</v>
      </c>
      <c r="I14" s="21">
        <f t="shared" si="4"/>
        <v>29.971116</v>
      </c>
      <c r="J14" s="21">
        <f t="shared" si="4"/>
        <v>207298.129916</v>
      </c>
      <c r="K14" s="37"/>
      <c r="L14" s="1"/>
      <c r="M14" s="37"/>
      <c r="N14" s="37"/>
    </row>
  </sheetData>
  <sheetProtection selectLockedCells="1" selectUnlockedCells="1"/>
  <pageMargins left="0.7" right="0.7" top="0.75" bottom="0.75" header="0.511805555555556" footer="0.511805555555556"/>
  <pageSetup paperSize="9" firstPageNumber="0" orientation="portrait" useFirstPageNumber="1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"/>
  <sheetViews>
    <sheetView workbookViewId="0">
      <selection activeCell="D4" sqref="D4"/>
    </sheetView>
  </sheetViews>
  <sheetFormatPr defaultColWidth="8.88888888888889" defaultRowHeight="13.8"/>
  <cols>
    <col min="1" max="1" width="10.6666666666667" style="4" customWidth="1"/>
    <col min="2" max="2" width="7.11111111111111" style="5" customWidth="1"/>
    <col min="3" max="3" width="6.66666666666667" style="5" customWidth="1"/>
    <col min="4" max="4" width="7.66666666666667" style="5" customWidth="1"/>
    <col min="5" max="5" width="11.1111111111111" style="5" customWidth="1"/>
    <col min="6" max="6" width="9" style="5"/>
    <col min="7" max="7" width="6.66666666666667" style="5" customWidth="1"/>
    <col min="8" max="8" width="5.77777777777778" style="5" customWidth="1"/>
    <col min="9" max="9" width="7.22222222222222" style="5" customWidth="1"/>
    <col min="10" max="10" width="11.1111111111111" style="5" customWidth="1"/>
    <col min="11" max="11" width="5.66666666666667" style="5" customWidth="1"/>
    <col min="12" max="12" width="8.88888888888889" style="5"/>
    <col min="13" max="13" width="8.88888888888889" style="7"/>
    <col min="14" max="16384" width="8.88888888888889" style="5"/>
  </cols>
  <sheetData>
    <row r="1" spans="2:2">
      <c r="B1" s="5" t="s">
        <v>12</v>
      </c>
    </row>
    <row r="2" spans="1:13">
      <c r="A2" s="26">
        <v>45092</v>
      </c>
      <c r="B2" s="9" t="s">
        <v>1</v>
      </c>
      <c r="C2" s="10">
        <v>9000</v>
      </c>
      <c r="D2" s="14">
        <v>4.96</v>
      </c>
      <c r="E2" s="12">
        <f>C2*D2</f>
        <v>44640</v>
      </c>
      <c r="F2" s="12">
        <f>E2*0.002</f>
        <v>89.28</v>
      </c>
      <c r="G2" s="12">
        <f>E2*0.00006</f>
        <v>2.6784</v>
      </c>
      <c r="H2" s="12">
        <f>E2*0.00001</f>
        <v>0.4464</v>
      </c>
      <c r="I2" s="12">
        <f>(F2+G2+H2)*0.07</f>
        <v>6.468336</v>
      </c>
      <c r="J2" s="12">
        <f>E2+F2+I2+G2+H2</f>
        <v>44738.873136</v>
      </c>
      <c r="M2" s="5"/>
    </row>
    <row r="3" s="39" customFormat="1" ht="15.6" spans="1:10">
      <c r="A3" s="42">
        <v>44469</v>
      </c>
      <c r="B3" s="1" t="s">
        <v>1</v>
      </c>
      <c r="C3" s="21">
        <v>9000</v>
      </c>
      <c r="D3" s="22">
        <v>2.44</v>
      </c>
      <c r="E3" s="23">
        <f>C3*D3</f>
        <v>21960</v>
      </c>
      <c r="F3" s="23">
        <f>E3*0.002</f>
        <v>43.92</v>
      </c>
      <c r="G3" s="23">
        <f>E3*0.00006</f>
        <v>1.3176</v>
      </c>
      <c r="H3" s="23">
        <f>E3*0.00001</f>
        <v>0.2196</v>
      </c>
      <c r="I3" s="23">
        <f>(F3+G3+H3)*0.07</f>
        <v>3.182004</v>
      </c>
      <c r="J3" s="23">
        <f>E3+F3+I3+G3+H3</f>
        <v>22008.639204</v>
      </c>
    </row>
    <row r="4" s="39" customFormat="1" ht="15.6" spans="1:12">
      <c r="A4" s="42"/>
      <c r="B4" s="47">
        <f>(D3-D2)/D2</f>
        <v>-0.508064516129032</v>
      </c>
      <c r="C4" s="21">
        <f>C2+C3</f>
        <v>18000</v>
      </c>
      <c r="D4" s="22">
        <f>E4/C4</f>
        <v>3.7</v>
      </c>
      <c r="E4" s="21">
        <f t="shared" ref="E4:J4" si="0">E2+E3</f>
        <v>66600</v>
      </c>
      <c r="F4" s="21">
        <f t="shared" si="0"/>
        <v>133.2</v>
      </c>
      <c r="G4" s="21">
        <f t="shared" si="0"/>
        <v>3.996</v>
      </c>
      <c r="H4" s="21">
        <f t="shared" si="0"/>
        <v>0.666</v>
      </c>
      <c r="I4" s="21">
        <f t="shared" si="0"/>
        <v>9.65034</v>
      </c>
      <c r="J4" s="21">
        <f t="shared" si="0"/>
        <v>66747.51234</v>
      </c>
      <c r="K4" s="1"/>
      <c r="L4" s="1"/>
    </row>
    <row r="5" spans="1:13">
      <c r="A5" s="40"/>
      <c r="D5" s="25"/>
      <c r="J5" s="50"/>
      <c r="M5" s="5"/>
    </row>
    <row r="6" s="39" customFormat="1" ht="15.6" spans="1:15">
      <c r="A6" s="42">
        <v>44368</v>
      </c>
      <c r="B6" s="1" t="s">
        <v>1</v>
      </c>
      <c r="C6" s="10">
        <v>9000</v>
      </c>
      <c r="D6" s="22">
        <v>2</v>
      </c>
      <c r="E6" s="23">
        <f>C6*D6</f>
        <v>18000</v>
      </c>
      <c r="F6" s="23">
        <f>E6*0.002</f>
        <v>36</v>
      </c>
      <c r="G6" s="23">
        <f>E6*0.00006</f>
        <v>1.08</v>
      </c>
      <c r="H6" s="23">
        <f>E6*0.00001</f>
        <v>0.18</v>
      </c>
      <c r="I6" s="23">
        <f>(F6+G6+H6)*0.07</f>
        <v>2.6082</v>
      </c>
      <c r="J6" s="23">
        <f>E6+F6+I6+G6+H6</f>
        <v>18039.8682</v>
      </c>
      <c r="K6" s="37"/>
      <c r="L6" s="1"/>
      <c r="M6" s="1"/>
      <c r="N6" s="1"/>
      <c r="O6" s="1"/>
    </row>
    <row r="7" s="1" customFormat="1" spans="1:11">
      <c r="A7" s="42">
        <f>A4</f>
        <v>0</v>
      </c>
      <c r="B7" s="1" t="s">
        <v>3</v>
      </c>
      <c r="C7" s="21">
        <f>C6</f>
        <v>9000</v>
      </c>
      <c r="D7" s="45">
        <v>2.2</v>
      </c>
      <c r="E7" s="37">
        <f>C7*D7</f>
        <v>19800</v>
      </c>
      <c r="F7" s="46">
        <f>E7*0.002</f>
        <v>39.6</v>
      </c>
      <c r="G7" s="45">
        <f>E7*0.000068</f>
        <v>1.3464</v>
      </c>
      <c r="H7" s="45">
        <f>E7*0.00001</f>
        <v>0.198</v>
      </c>
      <c r="I7" s="45">
        <f>(F7+G7+H7)*0.07</f>
        <v>2.880108</v>
      </c>
      <c r="J7" s="45">
        <f>E7-F7-G7-H7-I7</f>
        <v>19755.975492</v>
      </c>
      <c r="K7" s="21"/>
    </row>
    <row r="8" s="51" customFormat="1" ht="18.6" spans="1:11">
      <c r="A8" s="42" t="s">
        <v>4</v>
      </c>
      <c r="B8" s="7">
        <f>(D7-D6)/D6</f>
        <v>0.1</v>
      </c>
      <c r="C8" s="21"/>
      <c r="D8" s="37"/>
      <c r="E8" s="23">
        <f>E7-E6</f>
        <v>1800</v>
      </c>
      <c r="F8" s="23"/>
      <c r="G8" s="23"/>
      <c r="H8" s="23"/>
      <c r="I8" s="23"/>
      <c r="J8" s="23">
        <f>J7-J6</f>
        <v>1716.107292</v>
      </c>
      <c r="K8" s="23"/>
    </row>
    <row r="9" spans="1:13">
      <c r="A9" s="42"/>
      <c r="B9" s="1"/>
      <c r="C9" s="21"/>
      <c r="D9" s="37"/>
      <c r="E9" s="23"/>
      <c r="F9" s="23"/>
      <c r="G9" s="23"/>
      <c r="H9" s="23"/>
      <c r="I9" s="23"/>
      <c r="J9" s="23"/>
      <c r="M9" s="5"/>
    </row>
  </sheetData>
  <sheetProtection selectLockedCells="1" selectUnlockedCells="1"/>
  <pageMargins left="0.7" right="0.7" top="0.75" bottom="0.75" header="0.511805555555556" footer="0.511805555555556"/>
  <pageSetup paperSize="9" firstPageNumber="0" orientation="portrait" useFirstPageNumber="1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topLeftCell="B1" workbookViewId="0">
      <selection activeCell="D4" sqref="D4"/>
    </sheetView>
  </sheetViews>
  <sheetFormatPr defaultColWidth="8.88888888888889" defaultRowHeight="13.8"/>
  <cols>
    <col min="1" max="1" width="10.1111111111111" style="40" customWidth="1"/>
    <col min="2" max="2" width="7.11111111111111" style="5" customWidth="1"/>
    <col min="3" max="3" width="6.66666666666667" style="5" customWidth="1"/>
    <col min="4" max="4" width="7.66666666666667" style="25" customWidth="1"/>
    <col min="5" max="5" width="11.1111111111111" style="5" customWidth="1"/>
    <col min="6" max="6" width="10" style="5" customWidth="1"/>
    <col min="7" max="7" width="6.66666666666667" style="5" customWidth="1"/>
    <col min="8" max="8" width="5.77777777777778" style="5" customWidth="1"/>
    <col min="9" max="9" width="6.66666666666667" style="5" customWidth="1"/>
    <col min="10" max="10" width="11.1111111111111" style="5" customWidth="1"/>
    <col min="11" max="16384" width="8.88888888888889" style="5"/>
  </cols>
  <sheetData>
    <row r="1" spans="2:2">
      <c r="B1" s="5" t="s">
        <v>13</v>
      </c>
    </row>
    <row r="2" s="39" customFormat="1" ht="15.6" spans="1:10">
      <c r="A2" s="26">
        <v>44446</v>
      </c>
      <c r="B2" s="9" t="s">
        <v>1</v>
      </c>
      <c r="C2" s="10">
        <v>4000</v>
      </c>
      <c r="D2" s="14">
        <v>21.7</v>
      </c>
      <c r="E2" s="12">
        <f>C2*D2</f>
        <v>86800</v>
      </c>
      <c r="F2" s="12">
        <f>E2*0.002</f>
        <v>173.6</v>
      </c>
      <c r="G2" s="12">
        <f>E2*0.00006</f>
        <v>5.208</v>
      </c>
      <c r="H2" s="12">
        <f>E2*0.00001</f>
        <v>0.868</v>
      </c>
      <c r="I2" s="12">
        <f>(F2+G2+H2)*0.07</f>
        <v>12.57732</v>
      </c>
      <c r="J2" s="12">
        <f>E2+F2+I2+G2+H2</f>
        <v>86992.25332</v>
      </c>
    </row>
    <row r="3" s="39" customFormat="1" ht="15.6" spans="1:10">
      <c r="A3" s="42">
        <v>44469</v>
      </c>
      <c r="B3" s="1" t="s">
        <v>1</v>
      </c>
      <c r="C3" s="21">
        <v>2000</v>
      </c>
      <c r="D3" s="22">
        <v>10</v>
      </c>
      <c r="E3" s="23">
        <f>C3*D3</f>
        <v>20000</v>
      </c>
      <c r="F3" s="23">
        <f>E3*0.002</f>
        <v>40</v>
      </c>
      <c r="G3" s="23">
        <f>E3*0.00006</f>
        <v>1.2</v>
      </c>
      <c r="H3" s="23">
        <f>E3*0.00001</f>
        <v>0.2</v>
      </c>
      <c r="I3" s="23">
        <f>(F3+G3+H3)*0.07</f>
        <v>2.898</v>
      </c>
      <c r="J3" s="23">
        <f>E3+F3+I3+G3+H3</f>
        <v>20044.298</v>
      </c>
    </row>
    <row r="4" s="39" customFormat="1" ht="15.6" spans="1:12">
      <c r="A4" s="42"/>
      <c r="B4" s="47">
        <f>(D3-D2)/D2</f>
        <v>-0.539170506912442</v>
      </c>
      <c r="C4" s="21">
        <f>C2+C3</f>
        <v>6000</v>
      </c>
      <c r="D4" s="22">
        <f>E4/C4</f>
        <v>17.8</v>
      </c>
      <c r="E4" s="21">
        <f t="shared" ref="E4:J4" si="0">E2+E3</f>
        <v>106800</v>
      </c>
      <c r="F4" s="21">
        <f t="shared" si="0"/>
        <v>213.6</v>
      </c>
      <c r="G4" s="21">
        <f t="shared" si="0"/>
        <v>6.408</v>
      </c>
      <c r="H4" s="21">
        <f t="shared" si="0"/>
        <v>1.068</v>
      </c>
      <c r="I4" s="21">
        <f t="shared" si="0"/>
        <v>15.47532</v>
      </c>
      <c r="J4" s="21">
        <f t="shared" si="0"/>
        <v>107036.55132</v>
      </c>
      <c r="K4" s="1"/>
      <c r="L4" s="1"/>
    </row>
    <row r="5" s="39" customFormat="1" ht="15.6" spans="1:10">
      <c r="A5" s="42"/>
      <c r="B5" s="1"/>
      <c r="C5" s="21"/>
      <c r="D5" s="22"/>
      <c r="E5" s="23"/>
      <c r="F5" s="23"/>
      <c r="G5" s="23"/>
      <c r="H5" s="23"/>
      <c r="I5" s="23"/>
      <c r="J5" s="23"/>
    </row>
    <row r="6" s="39" customFormat="1" ht="15.6" spans="1:10">
      <c r="A6" s="26">
        <v>44446</v>
      </c>
      <c r="B6" s="9" t="s">
        <v>1</v>
      </c>
      <c r="C6" s="10">
        <v>2000</v>
      </c>
      <c r="D6" s="14">
        <v>21.7</v>
      </c>
      <c r="E6" s="12">
        <f>C6*D6</f>
        <v>43400</v>
      </c>
      <c r="F6" s="12">
        <f>E6*0.002</f>
        <v>86.8</v>
      </c>
      <c r="G6" s="12">
        <f>E6*0.00006</f>
        <v>2.604</v>
      </c>
      <c r="H6" s="12">
        <f>E6*0.00001</f>
        <v>0.434</v>
      </c>
      <c r="I6" s="12">
        <f>(F6+G6+H6)*0.07</f>
        <v>6.28866</v>
      </c>
      <c r="J6" s="12">
        <f>E6+F6+I6+G6+H6</f>
        <v>43496.12666</v>
      </c>
    </row>
    <row r="7" s="1" customFormat="1" spans="1:10">
      <c r="A7" s="42">
        <v>45295</v>
      </c>
      <c r="B7" s="1" t="s">
        <v>3</v>
      </c>
      <c r="C7" s="21">
        <f>C6</f>
        <v>2000</v>
      </c>
      <c r="D7" s="45">
        <v>24</v>
      </c>
      <c r="E7" s="37">
        <f>C7*D7</f>
        <v>48000</v>
      </c>
      <c r="F7" s="46">
        <f>E7*0.002</f>
        <v>96</v>
      </c>
      <c r="G7" s="45">
        <f>E7*0.000068</f>
        <v>3.264</v>
      </c>
      <c r="H7" s="45">
        <f>E7*0.00001</f>
        <v>0.48</v>
      </c>
      <c r="I7" s="45">
        <f>(F7+G7+H7)*0.07</f>
        <v>6.98208</v>
      </c>
      <c r="J7" s="45">
        <f>E7-F7-G7-H7-I7</f>
        <v>47893.27392</v>
      </c>
    </row>
    <row r="8" s="51" customFormat="1" ht="18.6" spans="1:13">
      <c r="A8" s="58">
        <f>DAYS360(A6,A7)</f>
        <v>837</v>
      </c>
      <c r="B8" s="47">
        <f>J8/J6</f>
        <v>0.101092846596929</v>
      </c>
      <c r="C8" s="21"/>
      <c r="D8" s="37"/>
      <c r="E8" s="23">
        <f>E7-E6</f>
        <v>4600</v>
      </c>
      <c r="F8" s="23"/>
      <c r="G8" s="23"/>
      <c r="H8" s="23"/>
      <c r="I8" s="23"/>
      <c r="J8" s="23">
        <f>J7-J6</f>
        <v>4397.14725999999</v>
      </c>
      <c r="K8" s="48"/>
      <c r="L8" s="47"/>
      <c r="M8" s="47"/>
    </row>
    <row r="9" s="39" customFormat="1" ht="15.6" spans="1:10">
      <c r="A9" s="26">
        <v>44446</v>
      </c>
      <c r="B9" s="9" t="s">
        <v>1</v>
      </c>
      <c r="C9" s="10">
        <v>2000</v>
      </c>
      <c r="D9" s="14">
        <v>21.7</v>
      </c>
      <c r="E9" s="12">
        <f>C9*D9</f>
        <v>43400</v>
      </c>
      <c r="F9" s="12">
        <f>E9*0.002</f>
        <v>86.8</v>
      </c>
      <c r="G9" s="12">
        <f>E9*0.00006</f>
        <v>2.604</v>
      </c>
      <c r="H9" s="12">
        <f>E9*0.00001</f>
        <v>0.434</v>
      </c>
      <c r="I9" s="12">
        <f>(F9+G9+H9)*0.07</f>
        <v>6.28866</v>
      </c>
      <c r="J9" s="12">
        <f>E9+F9+I9+G9+H9</f>
        <v>43496.12666</v>
      </c>
    </row>
    <row r="10" s="1" customFormat="1" spans="1:10">
      <c r="A10" s="26">
        <v>45295</v>
      </c>
      <c r="B10" s="9" t="s">
        <v>3</v>
      </c>
      <c r="C10" s="10">
        <f>C9</f>
        <v>2000</v>
      </c>
      <c r="D10" s="31">
        <v>22.9</v>
      </c>
      <c r="E10" s="11">
        <f>C10*D10</f>
        <v>45800</v>
      </c>
      <c r="F10" s="32">
        <f>E10*0.002</f>
        <v>91.6</v>
      </c>
      <c r="G10" s="31">
        <f>E10*0.000068</f>
        <v>3.1144</v>
      </c>
      <c r="H10" s="31">
        <f>E10*0.00001</f>
        <v>0.458</v>
      </c>
      <c r="I10" s="31">
        <f>(F10+G10+H10)*0.07</f>
        <v>6.662068</v>
      </c>
      <c r="J10" s="31">
        <f>E10-F10-G10-H10-I10</f>
        <v>45698.165532</v>
      </c>
    </row>
    <row r="11" s="51" customFormat="1" ht="18.6" spans="1:13">
      <c r="A11" s="61">
        <f>DAYS360(A9,A10)</f>
        <v>837</v>
      </c>
      <c r="B11" s="35">
        <f>J11/J9</f>
        <v>0.0506260911279038</v>
      </c>
      <c r="C11" s="10"/>
      <c r="D11" s="11"/>
      <c r="E11" s="12">
        <f>E10-E9</f>
        <v>2400</v>
      </c>
      <c r="F11" s="12"/>
      <c r="G11" s="12"/>
      <c r="H11" s="12"/>
      <c r="I11" s="12"/>
      <c r="J11" s="12">
        <f>J10-J9</f>
        <v>2202.038872</v>
      </c>
      <c r="K11" s="48"/>
      <c r="L11" s="47"/>
      <c r="M11" s="47"/>
    </row>
    <row r="12" s="39" customFormat="1" ht="15.6" spans="1:10">
      <c r="A12" s="26">
        <v>44469</v>
      </c>
      <c r="B12" s="9" t="s">
        <v>1</v>
      </c>
      <c r="C12" s="10">
        <v>4000</v>
      </c>
      <c r="D12" s="14">
        <v>21.3</v>
      </c>
      <c r="E12" s="12">
        <f>C12*D12</f>
        <v>85200</v>
      </c>
      <c r="F12" s="12">
        <f>E12*0.002</f>
        <v>170.4</v>
      </c>
      <c r="G12" s="12">
        <f>E12*0.00006</f>
        <v>5.112</v>
      </c>
      <c r="H12" s="12">
        <f>E12*0.00001</f>
        <v>0.852</v>
      </c>
      <c r="I12" s="12">
        <f>(F12+G12+H12)*0.07</f>
        <v>12.34548</v>
      </c>
      <c r="J12" s="12">
        <f>E12+F12+I12+G12+H12</f>
        <v>85388.70948</v>
      </c>
    </row>
    <row r="13" s="1" customFormat="1" spans="1:10">
      <c r="A13" s="26">
        <v>45287</v>
      </c>
      <c r="B13" s="9" t="s">
        <v>3</v>
      </c>
      <c r="C13" s="10">
        <f>C12</f>
        <v>4000</v>
      </c>
      <c r="D13" s="31">
        <v>22.4</v>
      </c>
      <c r="E13" s="11">
        <f>C13*D13</f>
        <v>89600</v>
      </c>
      <c r="F13" s="32">
        <f>E13*0.002</f>
        <v>179.2</v>
      </c>
      <c r="G13" s="31">
        <f>E13*0.000068</f>
        <v>6.0928</v>
      </c>
      <c r="H13" s="31">
        <f>E13*0.00001</f>
        <v>0.896</v>
      </c>
      <c r="I13" s="31">
        <f>(F13+G13+H13)*0.07</f>
        <v>13.033216</v>
      </c>
      <c r="J13" s="31">
        <f>E13-F13-G13-H13-I13</f>
        <v>89400.777984</v>
      </c>
    </row>
    <row r="14" s="51" customFormat="1" ht="18.6" spans="1:13">
      <c r="A14" s="61">
        <f>DAYS360(A12,A13)</f>
        <v>807</v>
      </c>
      <c r="B14" s="35">
        <f>J14/J12</f>
        <v>0.0469859367641543</v>
      </c>
      <c r="C14" s="10"/>
      <c r="D14" s="11"/>
      <c r="E14" s="12">
        <f>E13-E12</f>
        <v>4400</v>
      </c>
      <c r="F14" s="12"/>
      <c r="G14" s="12"/>
      <c r="H14" s="12"/>
      <c r="I14" s="12"/>
      <c r="J14" s="12">
        <f>J13-J12</f>
        <v>4012.06850400002</v>
      </c>
      <c r="K14" s="48"/>
      <c r="L14" s="47"/>
      <c r="M14" s="47"/>
    </row>
    <row r="15" s="39" customFormat="1" ht="15.6" spans="1:10">
      <c r="A15" s="26">
        <v>44680</v>
      </c>
      <c r="B15" s="9" t="s">
        <v>1</v>
      </c>
      <c r="C15" s="10">
        <v>1000</v>
      </c>
      <c r="D15" s="14">
        <v>21.3</v>
      </c>
      <c r="E15" s="12">
        <f>C15*D15</f>
        <v>21300</v>
      </c>
      <c r="F15" s="12">
        <f>E15*0.002</f>
        <v>42.6</v>
      </c>
      <c r="G15" s="12">
        <f>E15*0.00006</f>
        <v>1.278</v>
      </c>
      <c r="H15" s="12">
        <f>E15*0.00001</f>
        <v>0.213</v>
      </c>
      <c r="I15" s="12">
        <f>(F15+G15+H15)*0.07</f>
        <v>3.08637</v>
      </c>
      <c r="J15" s="12">
        <f>E15+F15+I15+G15+H15</f>
        <v>21347.17737</v>
      </c>
    </row>
    <row r="16" s="1" customFormat="1" spans="1:10">
      <c r="A16" s="26">
        <v>45226</v>
      </c>
      <c r="B16" s="9" t="s">
        <v>3</v>
      </c>
      <c r="C16" s="10">
        <f>C15</f>
        <v>1000</v>
      </c>
      <c r="D16" s="31">
        <v>19.8</v>
      </c>
      <c r="E16" s="11">
        <f>C16*D16</f>
        <v>19800</v>
      </c>
      <c r="F16" s="32">
        <f>E16*0.002</f>
        <v>39.6</v>
      </c>
      <c r="G16" s="31">
        <f>E16*0.000068</f>
        <v>1.3464</v>
      </c>
      <c r="H16" s="31">
        <f>E16*0.00001</f>
        <v>0.198</v>
      </c>
      <c r="I16" s="31">
        <f>(F16+G16+H16)*0.07</f>
        <v>2.880108</v>
      </c>
      <c r="J16" s="31">
        <f>E16-F16-G16-H16-I16</f>
        <v>19755.975492</v>
      </c>
    </row>
    <row r="17" s="51" customFormat="1" ht="18.6" spans="1:13">
      <c r="A17" s="61">
        <f>DAYS360(A15,A16)</f>
        <v>538</v>
      </c>
      <c r="B17" s="35">
        <f>(D16-D15)/D15</f>
        <v>-0.0704225352112676</v>
      </c>
      <c r="C17" s="10"/>
      <c r="D17" s="11"/>
      <c r="E17" s="12">
        <f>E16-E15</f>
        <v>-1500</v>
      </c>
      <c r="F17" s="12"/>
      <c r="G17" s="12"/>
      <c r="H17" s="12"/>
      <c r="I17" s="12"/>
      <c r="J17" s="12">
        <f>J16-J15</f>
        <v>-1591.201878</v>
      </c>
      <c r="K17" s="48"/>
      <c r="L17" s="47"/>
      <c r="M17" s="47"/>
    </row>
    <row r="18" spans="1:12">
      <c r="A18" s="26">
        <v>44706</v>
      </c>
      <c r="B18" s="9" t="s">
        <v>1</v>
      </c>
      <c r="C18" s="10">
        <v>3000</v>
      </c>
      <c r="D18" s="14">
        <v>18.5</v>
      </c>
      <c r="E18" s="12">
        <f>C18*D18</f>
        <v>55500</v>
      </c>
      <c r="F18" s="12">
        <f>E18*0.002</f>
        <v>111</v>
      </c>
      <c r="G18" s="12">
        <f>E18*0.00006</f>
        <v>3.33</v>
      </c>
      <c r="H18" s="12">
        <f>E18*0.00001</f>
        <v>0.555</v>
      </c>
      <c r="I18" s="12">
        <f>(F18+G18+H18)*0.07</f>
        <v>8.04195</v>
      </c>
      <c r="J18" s="12">
        <f>E18+F18+I18+G18+H18</f>
        <v>55622.92695</v>
      </c>
      <c r="L18" s="7"/>
    </row>
    <row r="19" s="1" customFormat="1" spans="1:10">
      <c r="A19" s="26">
        <v>44809</v>
      </c>
      <c r="B19" s="9" t="s">
        <v>3</v>
      </c>
      <c r="C19" s="10">
        <f>C18</f>
        <v>3000</v>
      </c>
      <c r="D19" s="31">
        <v>19</v>
      </c>
      <c r="E19" s="11">
        <f>C19*D19</f>
        <v>57000</v>
      </c>
      <c r="F19" s="32">
        <f>E19*0.002</f>
        <v>114</v>
      </c>
      <c r="G19" s="31">
        <f>E19*0.000068</f>
        <v>3.876</v>
      </c>
      <c r="H19" s="31">
        <f>E19*0.00001</f>
        <v>0.57</v>
      </c>
      <c r="I19" s="31">
        <f>(F19+G19+H19)*0.07</f>
        <v>8.29122</v>
      </c>
      <c r="J19" s="31">
        <f>E19-F19-G19-H19-I19</f>
        <v>56873.26278</v>
      </c>
    </row>
    <row r="20" s="51" customFormat="1" ht="18.6" spans="1:13">
      <c r="A20" s="61">
        <f>DAYS360(A18,A19)</f>
        <v>100</v>
      </c>
      <c r="B20" s="35">
        <f>(D19-D18)/D18</f>
        <v>0.027027027027027</v>
      </c>
      <c r="C20" s="10"/>
      <c r="D20" s="11"/>
      <c r="E20" s="12">
        <f>E19-E18</f>
        <v>1500</v>
      </c>
      <c r="F20" s="12"/>
      <c r="G20" s="12"/>
      <c r="H20" s="12"/>
      <c r="I20" s="12"/>
      <c r="J20" s="12">
        <f>J19-J18</f>
        <v>1250.33583</v>
      </c>
      <c r="K20" s="48"/>
      <c r="L20" s="47"/>
      <c r="M20" s="47"/>
    </row>
    <row r="21" s="39" customFormat="1" ht="15.6" spans="1:10">
      <c r="A21" s="26">
        <v>44537</v>
      </c>
      <c r="B21" s="9" t="s">
        <v>1</v>
      </c>
      <c r="C21" s="10">
        <v>3000</v>
      </c>
      <c r="D21" s="14">
        <v>20.5</v>
      </c>
      <c r="E21" s="12">
        <f>C21*D21</f>
        <v>61500</v>
      </c>
      <c r="F21" s="12">
        <f>E21*0.002</f>
        <v>123</v>
      </c>
      <c r="G21" s="12">
        <f>E21*0.00006</f>
        <v>3.69</v>
      </c>
      <c r="H21" s="12">
        <f>E21*0.00001</f>
        <v>0.615</v>
      </c>
      <c r="I21" s="12">
        <f>(F21+G21+H21)*0.07</f>
        <v>8.91135</v>
      </c>
      <c r="J21" s="12">
        <f>E21+F21+I21+G21+H21</f>
        <v>61636.21635</v>
      </c>
    </row>
    <row r="22" s="1" customFormat="1" spans="1:10">
      <c r="A22" s="26">
        <v>44860</v>
      </c>
      <c r="B22" s="9" t="s">
        <v>3</v>
      </c>
      <c r="C22" s="10">
        <f>C21</f>
        <v>3000</v>
      </c>
      <c r="D22" s="31">
        <v>18.4</v>
      </c>
      <c r="E22" s="11">
        <f>C22*D22</f>
        <v>55200</v>
      </c>
      <c r="F22" s="32">
        <f>E22*0.002</f>
        <v>110.4</v>
      </c>
      <c r="G22" s="31">
        <f>E22*0.000068</f>
        <v>3.7536</v>
      </c>
      <c r="H22" s="31">
        <f>E22*0.00001</f>
        <v>0.552</v>
      </c>
      <c r="I22" s="31">
        <f>(F22+G22+H22)*0.07</f>
        <v>8.029392</v>
      </c>
      <c r="J22" s="31">
        <f>E22-F22-G22-H22-I22</f>
        <v>55077.265008</v>
      </c>
    </row>
    <row r="23" s="51" customFormat="1" ht="18.6" spans="1:13">
      <c r="A23" s="61">
        <f>DAYS360(A21,A22)</f>
        <v>319</v>
      </c>
      <c r="B23" s="35">
        <f>(D22-D21)/D21</f>
        <v>-0.102439024390244</v>
      </c>
      <c r="C23" s="10"/>
      <c r="D23" s="11"/>
      <c r="E23" s="12">
        <f>E22-E21</f>
        <v>-6300.00000000001</v>
      </c>
      <c r="F23" s="12"/>
      <c r="G23" s="12"/>
      <c r="H23" s="12"/>
      <c r="I23" s="12"/>
      <c r="J23" s="12">
        <f>J22-J21</f>
        <v>-6558.95134200001</v>
      </c>
      <c r="K23" s="48"/>
      <c r="L23" s="47"/>
      <c r="M23" s="47"/>
    </row>
  </sheetData>
  <sheetProtection selectLockedCells="1" selectUnlockedCells="1"/>
  <pageMargins left="0.7" right="0.7" top="0.75" bottom="0.75" header="0.511805555555556" footer="0.511805555555556"/>
  <pageSetup paperSize="9" firstPageNumber="0" orientation="portrait" useFirstPageNumber="1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topLeftCell="A7" workbookViewId="0">
      <selection activeCell="E29" sqref="E29"/>
    </sheetView>
  </sheetViews>
  <sheetFormatPr defaultColWidth="8.88888888888889" defaultRowHeight="13.8"/>
  <cols>
    <col min="1" max="1" width="10.1111111111111" style="40" customWidth="1"/>
    <col min="2" max="2" width="8.22222222222222" style="5" customWidth="1"/>
    <col min="3" max="3" width="9.88888888888889" style="6" customWidth="1"/>
    <col min="4" max="4" width="7.66666666666667" style="25" customWidth="1"/>
    <col min="5" max="5" width="11.1111111111111" style="5" customWidth="1"/>
    <col min="6" max="6" width="10" style="5" customWidth="1"/>
    <col min="7" max="7" width="6.66666666666667" style="5" customWidth="1"/>
    <col min="8" max="8" width="5.77777777777778" style="5" customWidth="1"/>
    <col min="9" max="9" width="6.66666666666667" style="5" customWidth="1"/>
    <col min="10" max="10" width="11.1111111111111" style="5" customWidth="1"/>
    <col min="11" max="16384" width="8.88888888888889" style="5"/>
  </cols>
  <sheetData>
    <row r="1" spans="2:2">
      <c r="B1" s="40" t="s">
        <v>14</v>
      </c>
    </row>
    <row r="2" spans="1:10">
      <c r="A2" s="8">
        <v>45887</v>
      </c>
      <c r="B2" s="9" t="s">
        <v>1</v>
      </c>
      <c r="C2" s="10">
        <v>4000</v>
      </c>
      <c r="D2" s="11">
        <v>24.1</v>
      </c>
      <c r="E2" s="12">
        <f>C2*D2</f>
        <v>96400</v>
      </c>
      <c r="F2" s="12">
        <f>E2*0.002</f>
        <v>192.8</v>
      </c>
      <c r="G2" s="12">
        <f>E2*0.00006</f>
        <v>5.784</v>
      </c>
      <c r="H2" s="12">
        <f>E2*0.00001</f>
        <v>0.964</v>
      </c>
      <c r="I2" s="12">
        <f>(F2+G2+H2)*0.07</f>
        <v>13.96836</v>
      </c>
      <c r="J2" s="12">
        <f>E2+F2+I2+G2+H2</f>
        <v>96613.51636</v>
      </c>
    </row>
    <row r="3" spans="1:10">
      <c r="A3" s="26">
        <v>45889</v>
      </c>
      <c r="B3" s="9" t="s">
        <v>3</v>
      </c>
      <c r="C3" s="10">
        <f>C2</f>
        <v>4000</v>
      </c>
      <c r="D3" s="31">
        <v>24.3</v>
      </c>
      <c r="E3" s="11">
        <f>C3*D3</f>
        <v>97200</v>
      </c>
      <c r="F3" s="32">
        <f>E3*0.002</f>
        <v>194.4</v>
      </c>
      <c r="G3" s="31">
        <f>E3*0.000068</f>
        <v>6.6096</v>
      </c>
      <c r="H3" s="31">
        <f>E3*0.00001</f>
        <v>0.972</v>
      </c>
      <c r="I3" s="31">
        <f>(F3+G3+H3)*0.07</f>
        <v>14.138712</v>
      </c>
      <c r="J3" s="31">
        <f>E3-F3-G3-H3-I3</f>
        <v>96983.879688</v>
      </c>
    </row>
    <row r="4" spans="1:10">
      <c r="A4" s="54"/>
      <c r="B4" s="35">
        <f>(D3-D2)/D2</f>
        <v>0.00829875518672196</v>
      </c>
      <c r="C4" s="10"/>
      <c r="D4" s="11"/>
      <c r="E4" s="12">
        <f>E3-E2</f>
        <v>800</v>
      </c>
      <c r="F4" s="12"/>
      <c r="G4" s="12"/>
      <c r="H4" s="12"/>
      <c r="I4" s="12"/>
      <c r="J4" s="12">
        <f>J3-J2</f>
        <v>370.363328000007</v>
      </c>
    </row>
    <row r="5" spans="1:10">
      <c r="A5" s="8">
        <v>45890</v>
      </c>
      <c r="B5" s="9" t="s">
        <v>1</v>
      </c>
      <c r="C5" s="10">
        <v>4000</v>
      </c>
      <c r="D5" s="11">
        <v>24.1</v>
      </c>
      <c r="E5" s="12">
        <f>C5*D5</f>
        <v>96400</v>
      </c>
      <c r="F5" s="12">
        <f>E5*0.002</f>
        <v>192.8</v>
      </c>
      <c r="G5" s="12">
        <f>E5*0.00006</f>
        <v>5.784</v>
      </c>
      <c r="H5" s="12">
        <f>E5*0.00001</f>
        <v>0.964</v>
      </c>
      <c r="I5" s="12">
        <f>(F5+G5+H5)*0.07</f>
        <v>13.96836</v>
      </c>
      <c r="J5" s="12">
        <f>E5+F5+I5+G5+H5</f>
        <v>96613.51636</v>
      </c>
    </row>
    <row r="6" spans="1:10">
      <c r="A6" s="26">
        <v>45890</v>
      </c>
      <c r="B6" s="9" t="s">
        <v>3</v>
      </c>
      <c r="C6" s="10">
        <f>C5</f>
        <v>4000</v>
      </c>
      <c r="D6" s="31">
        <v>24.3</v>
      </c>
      <c r="E6" s="11">
        <f>C6*D6</f>
        <v>97200</v>
      </c>
      <c r="F6" s="32">
        <f>E6*0.002</f>
        <v>194.4</v>
      </c>
      <c r="G6" s="31">
        <f>E6*0.000068</f>
        <v>6.6096</v>
      </c>
      <c r="H6" s="31">
        <f>E6*0.00001</f>
        <v>0.972</v>
      </c>
      <c r="I6" s="31">
        <f>(F6+G6+H6)*0.07</f>
        <v>14.138712</v>
      </c>
      <c r="J6" s="31">
        <f>E6-F6-G6-H6-I6</f>
        <v>96983.879688</v>
      </c>
    </row>
    <row r="7" spans="1:10">
      <c r="A7" s="54"/>
      <c r="B7" s="35">
        <f>(D6-D5)/D5</f>
        <v>0.00829875518672196</v>
      </c>
      <c r="C7" s="10"/>
      <c r="D7" s="11"/>
      <c r="E7" s="12">
        <f>E6-E5</f>
        <v>800</v>
      </c>
      <c r="F7" s="12"/>
      <c r="G7" s="12"/>
      <c r="H7" s="12"/>
      <c r="I7" s="12"/>
      <c r="J7" s="12">
        <f>J6-J5</f>
        <v>370.363328000007</v>
      </c>
    </row>
    <row r="8" spans="1:10">
      <c r="A8" s="8">
        <v>45891</v>
      </c>
      <c r="B8" s="9" t="s">
        <v>1</v>
      </c>
      <c r="C8" s="10">
        <v>5000</v>
      </c>
      <c r="D8" s="11">
        <v>24.1</v>
      </c>
      <c r="E8" s="12">
        <f>C8*D8</f>
        <v>120500</v>
      </c>
      <c r="F8" s="12">
        <f>E8*0.002</f>
        <v>241</v>
      </c>
      <c r="G8" s="12">
        <f>E8*0.00006</f>
        <v>7.23</v>
      </c>
      <c r="H8" s="12">
        <f>E8*0.00001</f>
        <v>1.205</v>
      </c>
      <c r="I8" s="12">
        <f>(F8+G8+H8)*0.07</f>
        <v>17.46045</v>
      </c>
      <c r="J8" s="12">
        <f>E8+F8+I8+G8+H8</f>
        <v>120766.89545</v>
      </c>
    </row>
    <row r="9" spans="1:10">
      <c r="A9" s="26">
        <v>45891</v>
      </c>
      <c r="B9" s="9" t="s">
        <v>3</v>
      </c>
      <c r="C9" s="10">
        <f>C8</f>
        <v>5000</v>
      </c>
      <c r="D9" s="31">
        <v>24.3</v>
      </c>
      <c r="E9" s="11">
        <f>C9*D9</f>
        <v>121500</v>
      </c>
      <c r="F9" s="32">
        <f>E9*0.002</f>
        <v>243</v>
      </c>
      <c r="G9" s="31">
        <f>E9*0.000068</f>
        <v>8.262</v>
      </c>
      <c r="H9" s="31">
        <f>E9*0.00001</f>
        <v>1.215</v>
      </c>
      <c r="I9" s="31">
        <f>(F9+G9+H9)*0.07</f>
        <v>17.67339</v>
      </c>
      <c r="J9" s="31">
        <f>E9-F9-G9-H9-I9</f>
        <v>121229.84961</v>
      </c>
    </row>
    <row r="10" spans="1:10">
      <c r="A10" s="54"/>
      <c r="B10" s="35">
        <f>(D9-D8)/D8</f>
        <v>0.00829875518672196</v>
      </c>
      <c r="C10" s="10"/>
      <c r="D10" s="11"/>
      <c r="E10" s="12">
        <f>E9-E8</f>
        <v>1000</v>
      </c>
      <c r="F10" s="12"/>
      <c r="G10" s="12"/>
      <c r="H10" s="12"/>
      <c r="I10" s="12"/>
      <c r="J10" s="12">
        <f>J9-J8</f>
        <v>462.954160000008</v>
      </c>
    </row>
    <row r="11" spans="1:10">
      <c r="A11" s="8">
        <v>45916</v>
      </c>
      <c r="B11" s="9" t="s">
        <v>1</v>
      </c>
      <c r="C11" s="10">
        <v>5000</v>
      </c>
      <c r="D11" s="11">
        <v>23.5</v>
      </c>
      <c r="E11" s="12">
        <f>C11*D11</f>
        <v>117500</v>
      </c>
      <c r="F11" s="12">
        <f>E11*0.002</f>
        <v>235</v>
      </c>
      <c r="G11" s="12">
        <f>E11*0.00006</f>
        <v>7.05</v>
      </c>
      <c r="H11" s="12">
        <f>E11*0.00001</f>
        <v>1.175</v>
      </c>
      <c r="I11" s="12">
        <f>(F11+G11+H11)*0.07</f>
        <v>17.02575</v>
      </c>
      <c r="J11" s="12">
        <f>E11+F11+I11+G11+H11</f>
        <v>117760.25075</v>
      </c>
    </row>
    <row r="12" spans="1:10">
      <c r="A12" s="8">
        <v>45917</v>
      </c>
      <c r="B12" s="9" t="s">
        <v>1</v>
      </c>
      <c r="C12" s="10">
        <v>5000</v>
      </c>
      <c r="D12" s="11">
        <v>23.3</v>
      </c>
      <c r="E12" s="12">
        <f>C12*D12</f>
        <v>116500</v>
      </c>
      <c r="F12" s="12">
        <f>E12*0.002</f>
        <v>233</v>
      </c>
      <c r="G12" s="12">
        <f>E12*0.00006</f>
        <v>6.99</v>
      </c>
      <c r="H12" s="12">
        <f>E12*0.00001</f>
        <v>1.165</v>
      </c>
      <c r="I12" s="12">
        <f>(F12+G12+H12)*0.07</f>
        <v>16.88085</v>
      </c>
      <c r="J12" s="12">
        <f>E12+F12+I12+G12+H12</f>
        <v>116758.03585</v>
      </c>
    </row>
    <row r="13" spans="1:10">
      <c r="A13" s="4"/>
      <c r="B13" s="47"/>
      <c r="C13" s="10">
        <f>C12+C11</f>
        <v>10000</v>
      </c>
      <c r="D13" s="11">
        <f>E13/C13</f>
        <v>23.4</v>
      </c>
      <c r="E13" s="12">
        <f>E12+E11</f>
        <v>234000</v>
      </c>
      <c r="F13" s="12">
        <f t="shared" ref="F13:J13" si="0">F12+F11</f>
        <v>468</v>
      </c>
      <c r="G13" s="12">
        <f t="shared" si="0"/>
        <v>14.04</v>
      </c>
      <c r="H13" s="12">
        <f t="shared" si="0"/>
        <v>2.34</v>
      </c>
      <c r="I13" s="12">
        <f t="shared" si="0"/>
        <v>33.9066</v>
      </c>
      <c r="J13" s="12">
        <f t="shared" si="0"/>
        <v>234518.2866</v>
      </c>
    </row>
    <row r="15" spans="1:10">
      <c r="A15" s="40">
        <v>45871</v>
      </c>
      <c r="B15" s="5" t="s">
        <v>15</v>
      </c>
      <c r="C15" s="6">
        <v>5000</v>
      </c>
      <c r="D15" s="25">
        <v>1</v>
      </c>
      <c r="E15" s="5">
        <f>C15*D15</f>
        <v>5000</v>
      </c>
      <c r="J15" s="5">
        <f>E15*0.9</f>
        <v>4500</v>
      </c>
    </row>
    <row r="16" spans="1:10">
      <c r="A16" s="8">
        <v>45895</v>
      </c>
      <c r="B16" s="9" t="s">
        <v>1</v>
      </c>
      <c r="C16" s="10">
        <v>5000</v>
      </c>
      <c r="D16" s="11">
        <v>24.1</v>
      </c>
      <c r="E16" s="12">
        <f>C16*D16</f>
        <v>120500</v>
      </c>
      <c r="F16" s="12">
        <f>E16*0.002</f>
        <v>241</v>
      </c>
      <c r="G16" s="12">
        <f>E16*0.00006</f>
        <v>7.23</v>
      </c>
      <c r="H16" s="12">
        <f>E16*0.00001</f>
        <v>1.205</v>
      </c>
      <c r="I16" s="12">
        <f>(F16+G16+H16)*0.07</f>
        <v>17.46045</v>
      </c>
      <c r="J16" s="12">
        <f>E16+F16+I16+G16+H16</f>
        <v>120766.89545</v>
      </c>
    </row>
    <row r="17" spans="1:10">
      <c r="A17" s="26">
        <v>45908</v>
      </c>
      <c r="B17" s="9" t="s">
        <v>3</v>
      </c>
      <c r="C17" s="10">
        <f>C16</f>
        <v>5000</v>
      </c>
      <c r="D17" s="31">
        <v>23.4</v>
      </c>
      <c r="E17" s="11">
        <f>C17*D17</f>
        <v>117000</v>
      </c>
      <c r="F17" s="32">
        <f>E17*0.002</f>
        <v>234</v>
      </c>
      <c r="G17" s="31">
        <f>E17*0.000068</f>
        <v>7.956</v>
      </c>
      <c r="H17" s="31">
        <f>E17*0.00001</f>
        <v>1.17</v>
      </c>
      <c r="I17" s="31">
        <f>(F17+G17+H17)*0.07</f>
        <v>17.01882</v>
      </c>
      <c r="J17" s="31">
        <f>E17-F17-G17-H17-I17</f>
        <v>116739.85518</v>
      </c>
    </row>
    <row r="18" spans="1:10">
      <c r="A18" s="54"/>
      <c r="B18" s="35">
        <f>(D17-D16)/D16</f>
        <v>-0.0290456431535271</v>
      </c>
      <c r="C18" s="10"/>
      <c r="D18" s="11"/>
      <c r="E18" s="12">
        <f>E17-E16</f>
        <v>-3500</v>
      </c>
      <c r="F18" s="12"/>
      <c r="G18" s="12"/>
      <c r="H18" s="12"/>
      <c r="I18" s="12"/>
      <c r="J18" s="12">
        <f>J17-J16</f>
        <v>-4027.04027</v>
      </c>
    </row>
    <row r="19" spans="10:10">
      <c r="J19" s="38">
        <f>J15+J18</f>
        <v>472.959730000002</v>
      </c>
    </row>
    <row r="20" spans="2:2">
      <c r="B20" s="5" t="s">
        <v>16</v>
      </c>
    </row>
    <row r="21" spans="1:10">
      <c r="A21" s="8">
        <v>45895</v>
      </c>
      <c r="B21" s="9" t="s">
        <v>1</v>
      </c>
      <c r="C21" s="10">
        <v>10000</v>
      </c>
      <c r="D21" s="11">
        <v>4.42</v>
      </c>
      <c r="E21" s="12">
        <f>C21*D21</f>
        <v>44200</v>
      </c>
      <c r="F21" s="12">
        <f>E21*0.002</f>
        <v>88.4</v>
      </c>
      <c r="G21" s="12">
        <f>E21*0.00006</f>
        <v>2.652</v>
      </c>
      <c r="H21" s="12">
        <f>E21*0.00001</f>
        <v>0.442</v>
      </c>
      <c r="I21" s="12">
        <f>(F21+G21+H21)*0.07</f>
        <v>6.40458</v>
      </c>
      <c r="J21" s="12">
        <f>E21+F21+I21+G21+H21</f>
        <v>44297.89858</v>
      </c>
    </row>
    <row r="22" spans="1:10">
      <c r="A22" s="42">
        <v>45896</v>
      </c>
      <c r="B22" s="1" t="s">
        <v>3</v>
      </c>
      <c r="C22" s="21">
        <f>C21</f>
        <v>10000</v>
      </c>
      <c r="D22" s="45">
        <v>4.48</v>
      </c>
      <c r="E22" s="37">
        <f>C22*D22</f>
        <v>44800</v>
      </c>
      <c r="F22" s="46">
        <f>E22*0.002</f>
        <v>89.6</v>
      </c>
      <c r="G22" s="45">
        <f>E22*0.000068</f>
        <v>3.0464</v>
      </c>
      <c r="H22" s="45">
        <f>E22*0.00001</f>
        <v>0.448</v>
      </c>
      <c r="I22" s="45">
        <f>(F22+G22+H22)*0.07</f>
        <v>6.516608</v>
      </c>
      <c r="J22" s="45">
        <f>E22-F22-G22-H22-I22</f>
        <v>44700.388992</v>
      </c>
    </row>
    <row r="23" spans="1:10">
      <c r="A23" s="4"/>
      <c r="B23" s="47">
        <f>(D22-D21)/D21</f>
        <v>0.0135746606334843</v>
      </c>
      <c r="C23" s="21"/>
      <c r="D23" s="37"/>
      <c r="E23" s="23">
        <f>E22-E21</f>
        <v>600.000000000007</v>
      </c>
      <c r="F23" s="23"/>
      <c r="G23" s="23"/>
      <c r="H23" s="23"/>
      <c r="I23" s="23"/>
      <c r="J23" s="23">
        <f>J22-J21</f>
        <v>402.490412000006</v>
      </c>
    </row>
    <row r="24" spans="2:2">
      <c r="B24" s="5" t="s">
        <v>14</v>
      </c>
    </row>
    <row r="25" spans="1:10">
      <c r="A25" s="8">
        <v>45909</v>
      </c>
      <c r="B25" s="9" t="s">
        <v>1</v>
      </c>
      <c r="C25" s="10">
        <v>5000</v>
      </c>
      <c r="D25" s="11">
        <v>23.2</v>
      </c>
      <c r="E25" s="12">
        <f>C25*D25</f>
        <v>116000</v>
      </c>
      <c r="F25" s="12">
        <f>E25*0.002</f>
        <v>232</v>
      </c>
      <c r="G25" s="12">
        <f>E25*0.00006</f>
        <v>6.96</v>
      </c>
      <c r="H25" s="12">
        <f>E25*0.00001</f>
        <v>1.16</v>
      </c>
      <c r="I25" s="12">
        <f>(F25+G25+H25)*0.07</f>
        <v>16.8084</v>
      </c>
      <c r="J25" s="12">
        <f>E25+F25+I25+G25+H25</f>
        <v>116256.9284</v>
      </c>
    </row>
    <row r="26" spans="1:10">
      <c r="A26" s="26">
        <v>45911</v>
      </c>
      <c r="B26" s="9" t="s">
        <v>3</v>
      </c>
      <c r="C26" s="10">
        <f>C25</f>
        <v>5000</v>
      </c>
      <c r="D26" s="31">
        <v>23.4</v>
      </c>
      <c r="E26" s="11">
        <f>C26*D26</f>
        <v>117000</v>
      </c>
      <c r="F26" s="32">
        <f>E26*0.002</f>
        <v>234</v>
      </c>
      <c r="G26" s="31">
        <f>E26*0.000068</f>
        <v>7.956</v>
      </c>
      <c r="H26" s="31">
        <f>E26*0.00001</f>
        <v>1.17</v>
      </c>
      <c r="I26" s="31">
        <f>(F26+G26+H26)*0.07</f>
        <v>17.01882</v>
      </c>
      <c r="J26" s="31">
        <f>E26-F26-G26-H26-I26</f>
        <v>116739.85518</v>
      </c>
    </row>
    <row r="27" spans="1:10">
      <c r="A27" s="54"/>
      <c r="B27" s="35">
        <f>(D26-D25)/D25</f>
        <v>0.00862068965517238</v>
      </c>
      <c r="C27" s="10"/>
      <c r="D27" s="11"/>
      <c r="E27" s="12">
        <f>E26-E25</f>
        <v>1000</v>
      </c>
      <c r="F27" s="12"/>
      <c r="G27" s="12"/>
      <c r="H27" s="12"/>
      <c r="I27" s="12"/>
      <c r="J27" s="12">
        <f>J26-J25</f>
        <v>482.926779999994</v>
      </c>
    </row>
    <row r="28" spans="1:10">
      <c r="A28" s="8">
        <v>45917</v>
      </c>
      <c r="B28" s="9" t="s">
        <v>1</v>
      </c>
      <c r="C28" s="10">
        <v>10000</v>
      </c>
      <c r="D28" s="11">
        <v>23.4</v>
      </c>
      <c r="E28" s="12">
        <v>234000</v>
      </c>
      <c r="F28" s="12">
        <v>468</v>
      </c>
      <c r="G28" s="12">
        <v>14.04</v>
      </c>
      <c r="H28" s="12">
        <v>2.34</v>
      </c>
      <c r="I28" s="12">
        <v>33.9066</v>
      </c>
      <c r="J28" s="12">
        <v>234518.2866</v>
      </c>
    </row>
    <row r="29" spans="1:10">
      <c r="A29" s="42">
        <v>45911</v>
      </c>
      <c r="B29" s="1" t="s">
        <v>3</v>
      </c>
      <c r="C29" s="21">
        <f>C28</f>
        <v>10000</v>
      </c>
      <c r="D29" s="45">
        <v>23.6</v>
      </c>
      <c r="E29" s="37">
        <f>C29*D29</f>
        <v>236000</v>
      </c>
      <c r="F29" s="46">
        <f>E29*0.002</f>
        <v>472</v>
      </c>
      <c r="G29" s="45">
        <f>E29*0.000068</f>
        <v>16.048</v>
      </c>
      <c r="H29" s="45">
        <f>E29*0.00001</f>
        <v>2.36</v>
      </c>
      <c r="I29" s="45">
        <f>(F29+G29+H29)*0.07</f>
        <v>34.32856</v>
      </c>
      <c r="J29" s="45">
        <f>E29-F29-G29-H29-I29</f>
        <v>235475.26344</v>
      </c>
    </row>
    <row r="30" spans="1:10">
      <c r="A30" s="4"/>
      <c r="B30" s="47">
        <f>(D29-D28)/D28</f>
        <v>0.00854700854700867</v>
      </c>
      <c r="C30" s="21"/>
      <c r="D30" s="37"/>
      <c r="E30" s="23">
        <f>E29-E28</f>
        <v>2000</v>
      </c>
      <c r="F30" s="23"/>
      <c r="G30" s="23"/>
      <c r="H30" s="23"/>
      <c r="I30" s="23"/>
      <c r="J30" s="23">
        <f>J29-J28</f>
        <v>956.976840000018</v>
      </c>
    </row>
  </sheetData>
  <sheetProtection selectLockedCells="1" selectUnlockedCells="1"/>
  <pageMargins left="0.7" right="0.7" top="0.75" bottom="0.75" header="0.511805555555556" footer="0.511805555555556"/>
  <pageSetup paperSize="9" firstPageNumber="0" orientation="portrait" useFirstPageNumber="1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workbookViewId="0">
      <selection activeCell="F24" sqref="F24"/>
    </sheetView>
  </sheetViews>
  <sheetFormatPr defaultColWidth="8.88888888888889" defaultRowHeight="13.8"/>
  <cols>
    <col min="1" max="1" width="10.1111111111111" style="40" customWidth="1"/>
    <col min="2" max="2" width="7.11111111111111" style="5" customWidth="1"/>
    <col min="3" max="3" width="6.66666666666667" style="6" customWidth="1"/>
    <col min="4" max="4" width="7.66666666666667" style="25" customWidth="1"/>
    <col min="5" max="5" width="11.1111111111111" style="5" customWidth="1"/>
    <col min="6" max="6" width="10" style="5" customWidth="1"/>
    <col min="7" max="7" width="6.66666666666667" style="5" customWidth="1"/>
    <col min="8" max="8" width="5.77777777777778" style="5" customWidth="1"/>
    <col min="9" max="9" width="6.66666666666667" style="5" customWidth="1"/>
    <col min="10" max="10" width="11.1111111111111" style="5" customWidth="1"/>
    <col min="11" max="16384" width="8.88888888888889" style="5"/>
  </cols>
  <sheetData>
    <row r="1" spans="2:2">
      <c r="B1" s="40" t="s">
        <v>17</v>
      </c>
    </row>
    <row r="2" s="39" customFormat="1" ht="15.6" spans="1:10">
      <c r="A2" s="26">
        <v>44789</v>
      </c>
      <c r="B2" s="9" t="s">
        <v>1</v>
      </c>
      <c r="C2" s="10">
        <v>5000</v>
      </c>
      <c r="D2" s="14">
        <v>19.4</v>
      </c>
      <c r="E2" s="12">
        <f>C2*D2</f>
        <v>97000</v>
      </c>
      <c r="F2" s="12">
        <f>E2*0.002</f>
        <v>194</v>
      </c>
      <c r="G2" s="12">
        <f>E2*0.00006</f>
        <v>5.82</v>
      </c>
      <c r="H2" s="12">
        <f>E2*0.00001</f>
        <v>0.97</v>
      </c>
      <c r="I2" s="12">
        <f>(F2+G2+H2)*0.07</f>
        <v>14.0553</v>
      </c>
      <c r="J2" s="12">
        <f>E2+F2+I2+G2+H2</f>
        <v>97214.8453</v>
      </c>
    </row>
    <row r="3" s="71" customFormat="1" spans="1:10">
      <c r="A3" s="72">
        <v>44818</v>
      </c>
      <c r="B3" s="73" t="s">
        <v>1</v>
      </c>
      <c r="C3" s="74">
        <v>5000</v>
      </c>
      <c r="D3" s="75">
        <v>19</v>
      </c>
      <c r="E3" s="76">
        <f>C3*D3</f>
        <v>95000</v>
      </c>
      <c r="F3" s="76">
        <f>E3*0.002</f>
        <v>190</v>
      </c>
      <c r="G3" s="76">
        <f>E3*0.000068</f>
        <v>6.46</v>
      </c>
      <c r="H3" s="76">
        <f>E3*0.00001</f>
        <v>0.95</v>
      </c>
      <c r="I3" s="76">
        <f>(F3+G3+H3)*0.07</f>
        <v>13.8187</v>
      </c>
      <c r="J3" s="76">
        <f>E3+F3+I3+G3+H3</f>
        <v>95211.2287</v>
      </c>
    </row>
    <row r="4" s="71" customFormat="1" spans="1:11">
      <c r="A4" s="72"/>
      <c r="B4" s="79">
        <f>(D3-D2)/D2</f>
        <v>-0.0206185567010309</v>
      </c>
      <c r="C4" s="74">
        <f>SUM(C2:C3)</f>
        <v>10000</v>
      </c>
      <c r="D4" s="75">
        <f>E4/C4</f>
        <v>19.2</v>
      </c>
      <c r="E4" s="74">
        <f t="shared" ref="E4:J4" si="0">SUM(E2:E3)</f>
        <v>192000</v>
      </c>
      <c r="F4" s="74">
        <f t="shared" si="0"/>
        <v>384</v>
      </c>
      <c r="G4" s="74">
        <f t="shared" si="0"/>
        <v>12.28</v>
      </c>
      <c r="H4" s="74">
        <f t="shared" si="0"/>
        <v>1.92</v>
      </c>
      <c r="I4" s="74">
        <f t="shared" si="0"/>
        <v>27.874</v>
      </c>
      <c r="J4" s="74">
        <f t="shared" si="0"/>
        <v>192426.074</v>
      </c>
      <c r="K4" s="80"/>
    </row>
    <row r="5" s="71" customFormat="1" spans="1:10">
      <c r="A5" s="72">
        <v>44880</v>
      </c>
      <c r="B5" s="73" t="s">
        <v>1</v>
      </c>
      <c r="C5" s="74">
        <v>10000</v>
      </c>
      <c r="D5" s="75">
        <v>18.6</v>
      </c>
      <c r="E5" s="76">
        <f>C5*D5</f>
        <v>186000</v>
      </c>
      <c r="F5" s="76">
        <f>E5*0.002</f>
        <v>372</v>
      </c>
      <c r="G5" s="76">
        <f>E5*0.000068</f>
        <v>12.648</v>
      </c>
      <c r="H5" s="76">
        <f>E5*0.00001</f>
        <v>1.86</v>
      </c>
      <c r="I5" s="76">
        <f>(F5+G5+H5)*0.07</f>
        <v>27.05556</v>
      </c>
      <c r="J5" s="76">
        <f>E5+F5+I5+G5+H5</f>
        <v>186413.56356</v>
      </c>
    </row>
    <row r="6" s="71" customFormat="1" spans="1:11">
      <c r="A6" s="72"/>
      <c r="B6" s="79">
        <f>(D5-D4)/D4</f>
        <v>-0.0312499999999999</v>
      </c>
      <c r="C6" s="74">
        <f>SUM(C4:C5)</f>
        <v>20000</v>
      </c>
      <c r="D6" s="75">
        <f>E6/C6</f>
        <v>18.9</v>
      </c>
      <c r="E6" s="74">
        <f t="shared" ref="E6:J6" si="1">SUM(E4:E5)</f>
        <v>378000</v>
      </c>
      <c r="F6" s="74">
        <f t="shared" si="1"/>
        <v>756</v>
      </c>
      <c r="G6" s="74">
        <f t="shared" si="1"/>
        <v>24.928</v>
      </c>
      <c r="H6" s="74">
        <f t="shared" si="1"/>
        <v>3.78</v>
      </c>
      <c r="I6" s="74">
        <f t="shared" si="1"/>
        <v>54.92956</v>
      </c>
      <c r="J6" s="74">
        <f t="shared" si="1"/>
        <v>378839.63756</v>
      </c>
      <c r="K6" s="80"/>
    </row>
    <row r="7" spans="1:10">
      <c r="A7" s="72">
        <v>44950</v>
      </c>
      <c r="B7" s="73" t="s">
        <v>1</v>
      </c>
      <c r="C7" s="74">
        <v>10000</v>
      </c>
      <c r="D7" s="75">
        <v>19.5</v>
      </c>
      <c r="E7" s="76">
        <f>C7*D7</f>
        <v>195000</v>
      </c>
      <c r="F7" s="76">
        <f>E7*0.002</f>
        <v>390</v>
      </c>
      <c r="G7" s="76">
        <f>E7*0.000068</f>
        <v>13.26</v>
      </c>
      <c r="H7" s="76">
        <f>E7*0.00001</f>
        <v>1.95</v>
      </c>
      <c r="I7" s="76">
        <f>(F7+G7+H7)*0.07</f>
        <v>28.3647</v>
      </c>
      <c r="J7" s="76">
        <f>E7+F7+I7+G7+H7</f>
        <v>195433.5747</v>
      </c>
    </row>
    <row r="8" s="2" customFormat="1" ht="21" spans="1:14">
      <c r="A8" s="72"/>
      <c r="B8" s="79">
        <f>(D7-D6)/D6</f>
        <v>0.0317460317460318</v>
      </c>
      <c r="C8" s="74">
        <f>SUM(C6:C7)</f>
        <v>30000</v>
      </c>
      <c r="D8" s="75">
        <f>E8/C8</f>
        <v>19.1</v>
      </c>
      <c r="E8" s="74">
        <f t="shared" ref="E8:J8" si="2">SUM(E6:E7)</f>
        <v>573000</v>
      </c>
      <c r="F8" s="74">
        <f t="shared" si="2"/>
        <v>1146</v>
      </c>
      <c r="G8" s="74">
        <f t="shared" si="2"/>
        <v>38.188</v>
      </c>
      <c r="H8" s="74">
        <f t="shared" si="2"/>
        <v>5.73</v>
      </c>
      <c r="I8" s="74">
        <f t="shared" si="2"/>
        <v>83.29426</v>
      </c>
      <c r="J8" s="74">
        <f t="shared" si="2"/>
        <v>574273.21226</v>
      </c>
      <c r="K8" s="37"/>
      <c r="L8" s="1"/>
      <c r="M8" s="37"/>
      <c r="N8" s="37"/>
    </row>
    <row r="9" spans="1:10">
      <c r="A9" s="72">
        <v>44964</v>
      </c>
      <c r="B9" s="73" t="s">
        <v>1</v>
      </c>
      <c r="C9" s="74">
        <v>10000</v>
      </c>
      <c r="D9" s="75">
        <v>18.3</v>
      </c>
      <c r="E9" s="76">
        <f>C9*D9</f>
        <v>183000</v>
      </c>
      <c r="F9" s="76">
        <f>E9*0.002</f>
        <v>366</v>
      </c>
      <c r="G9" s="76">
        <f>E9*0.000068</f>
        <v>12.444</v>
      </c>
      <c r="H9" s="76">
        <f>E9*0.00001</f>
        <v>1.83</v>
      </c>
      <c r="I9" s="76">
        <f>(F9+G9+H9)*0.07</f>
        <v>26.61918</v>
      </c>
      <c r="J9" s="76">
        <f>E9+F9+I9+G9+H9</f>
        <v>183406.89318</v>
      </c>
    </row>
    <row r="10" spans="1:10">
      <c r="A10" s="72"/>
      <c r="B10" s="79">
        <f>(D9-D8)/D8</f>
        <v>-0.0418848167539267</v>
      </c>
      <c r="C10" s="74">
        <f>SUM(C8:C9)</f>
        <v>40000</v>
      </c>
      <c r="D10" s="75">
        <f>E10/C10</f>
        <v>18.9</v>
      </c>
      <c r="E10" s="74">
        <f t="shared" ref="E10:J10" si="3">SUM(E8:E9)</f>
        <v>756000</v>
      </c>
      <c r="F10" s="74">
        <f t="shared" si="3"/>
        <v>1512</v>
      </c>
      <c r="G10" s="74">
        <f t="shared" si="3"/>
        <v>50.632</v>
      </c>
      <c r="H10" s="74">
        <f t="shared" si="3"/>
        <v>7.56</v>
      </c>
      <c r="I10" s="74">
        <f t="shared" si="3"/>
        <v>109.91344</v>
      </c>
      <c r="J10" s="74">
        <f t="shared" si="3"/>
        <v>757680.10544</v>
      </c>
    </row>
    <row r="11" spans="1:10">
      <c r="A11" s="72">
        <v>44986</v>
      </c>
      <c r="B11" s="73" t="s">
        <v>1</v>
      </c>
      <c r="C11" s="74">
        <v>10000</v>
      </c>
      <c r="D11" s="75">
        <v>16.4</v>
      </c>
      <c r="E11" s="76">
        <f>C11*D11</f>
        <v>164000</v>
      </c>
      <c r="F11" s="76">
        <f>E11*0.002</f>
        <v>328</v>
      </c>
      <c r="G11" s="76">
        <f>E11*0.000068</f>
        <v>11.152</v>
      </c>
      <c r="H11" s="76">
        <f>E11*0.00001</f>
        <v>1.64</v>
      </c>
      <c r="I11" s="76">
        <f>(F11+G11+H11)*0.07</f>
        <v>23.85544</v>
      </c>
      <c r="J11" s="76">
        <f>E11+F11+I11+G11+H11</f>
        <v>164364.64744</v>
      </c>
    </row>
    <row r="12" spans="1:10">
      <c r="A12" s="72"/>
      <c r="B12" s="79">
        <f>(D11-D10)/D10</f>
        <v>-0.132275132275132</v>
      </c>
      <c r="C12" s="74">
        <f>SUM(C10:C11)</f>
        <v>50000</v>
      </c>
      <c r="D12" s="75">
        <f>E12/C12</f>
        <v>18.4</v>
      </c>
      <c r="E12" s="74">
        <f t="shared" ref="E12:J12" si="4">SUM(E10:E11)</f>
        <v>920000</v>
      </c>
      <c r="F12" s="74">
        <f t="shared" si="4"/>
        <v>1840</v>
      </c>
      <c r="G12" s="74">
        <f t="shared" si="4"/>
        <v>61.784</v>
      </c>
      <c r="H12" s="74">
        <f t="shared" si="4"/>
        <v>9.2</v>
      </c>
      <c r="I12" s="74">
        <f t="shared" si="4"/>
        <v>133.76888</v>
      </c>
      <c r="J12" s="74">
        <f t="shared" si="4"/>
        <v>922044.75288</v>
      </c>
    </row>
    <row r="13" spans="1:10">
      <c r="A13" s="72">
        <v>44994</v>
      </c>
      <c r="B13" s="73" t="s">
        <v>1</v>
      </c>
      <c r="C13" s="74">
        <v>5000</v>
      </c>
      <c r="D13" s="75">
        <v>14</v>
      </c>
      <c r="E13" s="76">
        <f>C13*D13</f>
        <v>70000</v>
      </c>
      <c r="F13" s="76">
        <f>E13*0.002</f>
        <v>140</v>
      </c>
      <c r="G13" s="76">
        <f>E13*0.000068</f>
        <v>4.76</v>
      </c>
      <c r="H13" s="76">
        <f>E13*0.00001</f>
        <v>0.7</v>
      </c>
      <c r="I13" s="76">
        <f>(F13+G13+H13)*0.07</f>
        <v>10.1822</v>
      </c>
      <c r="J13" s="76">
        <f>E13+F13+I13+G13+H13</f>
        <v>70155.6422</v>
      </c>
    </row>
    <row r="14" spans="1:10">
      <c r="A14" s="72"/>
      <c r="B14" s="79">
        <f>(D13-D12)/D12</f>
        <v>-0.239130434782609</v>
      </c>
      <c r="C14" s="74">
        <f>SUM(C12:C13)</f>
        <v>55000</v>
      </c>
      <c r="D14" s="75">
        <f>E14/C14</f>
        <v>18</v>
      </c>
      <c r="E14" s="74">
        <f t="shared" ref="E14:J14" si="5">SUM(E12:E13)</f>
        <v>990000</v>
      </c>
      <c r="F14" s="74">
        <f t="shared" si="5"/>
        <v>1980</v>
      </c>
      <c r="G14" s="74">
        <f t="shared" si="5"/>
        <v>66.544</v>
      </c>
      <c r="H14" s="74">
        <f t="shared" si="5"/>
        <v>9.9</v>
      </c>
      <c r="I14" s="74">
        <f t="shared" si="5"/>
        <v>143.95108</v>
      </c>
      <c r="J14" s="74">
        <f t="shared" si="5"/>
        <v>992200.39508</v>
      </c>
    </row>
    <row r="15" spans="1:10">
      <c r="A15" s="20">
        <v>44260</v>
      </c>
      <c r="B15" s="1" t="s">
        <v>1</v>
      </c>
      <c r="C15" s="81">
        <v>5000</v>
      </c>
      <c r="D15" s="82">
        <v>10.8</v>
      </c>
      <c r="E15" s="83">
        <f>C15*D15</f>
        <v>54000</v>
      </c>
      <c r="F15" s="83">
        <f>E15*0.002</f>
        <v>108</v>
      </c>
      <c r="G15" s="83">
        <f>E15*0.000068</f>
        <v>3.672</v>
      </c>
      <c r="H15" s="83">
        <f>E15*0.00001</f>
        <v>0.54</v>
      </c>
      <c r="I15" s="83">
        <f>(F15+G15+H15)*0.07</f>
        <v>7.85484</v>
      </c>
      <c r="J15" s="83">
        <f>E15+F15+I15+G15+H15</f>
        <v>54120.06684</v>
      </c>
    </row>
    <row r="16" spans="1:11">
      <c r="A16" s="24"/>
      <c r="B16" s="80">
        <f>(D15-D14)/D14</f>
        <v>-0.4</v>
      </c>
      <c r="C16" s="6">
        <f>SUM(C14:C15)</f>
        <v>60000</v>
      </c>
      <c r="D16" s="25">
        <f>E16/C16</f>
        <v>17.4</v>
      </c>
      <c r="E16" s="6">
        <f t="shared" ref="E16:J16" si="6">SUM(E14:E15)</f>
        <v>1044000</v>
      </c>
      <c r="F16" s="6">
        <f t="shared" si="6"/>
        <v>2088</v>
      </c>
      <c r="G16" s="6">
        <f t="shared" si="6"/>
        <v>70.216</v>
      </c>
      <c r="H16" s="6">
        <f t="shared" si="6"/>
        <v>10.44</v>
      </c>
      <c r="I16" s="6">
        <f t="shared" si="6"/>
        <v>151.80592</v>
      </c>
      <c r="J16" s="6">
        <f t="shared" si="6"/>
        <v>1046320.46192</v>
      </c>
      <c r="K16" s="7"/>
    </row>
    <row r="17" spans="1:11">
      <c r="A17" s="24"/>
      <c r="B17" s="80"/>
      <c r="E17" s="6"/>
      <c r="F17" s="6"/>
      <c r="G17" s="6"/>
      <c r="H17" s="6"/>
      <c r="I17" s="6"/>
      <c r="J17" s="6"/>
      <c r="K17" s="7"/>
    </row>
    <row r="18" spans="1:10">
      <c r="A18" s="72">
        <v>45097</v>
      </c>
      <c r="B18" s="73" t="s">
        <v>1</v>
      </c>
      <c r="C18" s="74">
        <v>3000</v>
      </c>
      <c r="D18" s="75">
        <v>10.2</v>
      </c>
      <c r="E18" s="76">
        <f>C18*D18</f>
        <v>30600</v>
      </c>
      <c r="F18" s="76">
        <f>E18*0.002</f>
        <v>61.2</v>
      </c>
      <c r="G18" s="76">
        <f>E18*0.000068</f>
        <v>2.0808</v>
      </c>
      <c r="H18" s="76">
        <f>E18*0.00001</f>
        <v>0.306</v>
      </c>
      <c r="I18" s="76">
        <f>(F18+G18+H18)*0.07</f>
        <v>4.451076</v>
      </c>
      <c r="J18" s="76">
        <f>E18+F18+I18+G18+H18</f>
        <v>30668.037876</v>
      </c>
    </row>
    <row r="19" spans="1:14">
      <c r="A19" s="13">
        <v>45100</v>
      </c>
      <c r="B19" s="9" t="s">
        <v>3</v>
      </c>
      <c r="C19" s="10">
        <f>C18</f>
        <v>3000</v>
      </c>
      <c r="D19" s="31">
        <v>10.7</v>
      </c>
      <c r="E19" s="11">
        <f>C19*D19</f>
        <v>32100</v>
      </c>
      <c r="F19" s="32">
        <f>E19*0.002</f>
        <v>64.2</v>
      </c>
      <c r="G19" s="31">
        <f>E19*0.000068</f>
        <v>2.1828</v>
      </c>
      <c r="H19" s="31">
        <f>E19*0.00001</f>
        <v>0.321</v>
      </c>
      <c r="I19" s="31">
        <f>(F19+G19+H19)*0.07</f>
        <v>4.669266</v>
      </c>
      <c r="J19" s="31">
        <f>E19-F19-G19-H19-I19</f>
        <v>32028.626934</v>
      </c>
      <c r="K19" s="1"/>
      <c r="L19" s="1"/>
      <c r="M19" s="1"/>
      <c r="N19" s="1"/>
    </row>
    <row r="20" ht="18.6" spans="1:14">
      <c r="A20" s="13" t="s">
        <v>4</v>
      </c>
      <c r="B20" s="9"/>
      <c r="C20" s="10"/>
      <c r="D20" s="11"/>
      <c r="E20" s="12">
        <f>E19-E18</f>
        <v>1500</v>
      </c>
      <c r="F20" s="12"/>
      <c r="G20" s="12"/>
      <c r="H20" s="12"/>
      <c r="I20" s="12"/>
      <c r="J20" s="12">
        <f>J19-J18</f>
        <v>1360.589058</v>
      </c>
      <c r="K20" s="47"/>
      <c r="L20" s="51"/>
      <c r="M20" s="51"/>
      <c r="N20" s="51"/>
    </row>
    <row r="21" spans="1:10">
      <c r="A21" s="72">
        <v>44998</v>
      </c>
      <c r="B21" s="73" t="s">
        <v>1</v>
      </c>
      <c r="C21" s="74">
        <v>5000</v>
      </c>
      <c r="D21" s="75">
        <v>12.6</v>
      </c>
      <c r="E21" s="76">
        <f>C21*D21</f>
        <v>63000</v>
      </c>
      <c r="F21" s="76">
        <f>E21*0.002</f>
        <v>126</v>
      </c>
      <c r="G21" s="76">
        <f>E21*0.000068</f>
        <v>4.284</v>
      </c>
      <c r="H21" s="76">
        <f>E21*0.00001</f>
        <v>0.63</v>
      </c>
      <c r="I21" s="76">
        <f>(F21+G21+H21)*0.07</f>
        <v>9.16398</v>
      </c>
      <c r="J21" s="76">
        <f>E21+F21+I21+G21+H21</f>
        <v>63140.07798</v>
      </c>
    </row>
    <row r="22" s="1" customFormat="1" spans="1:10">
      <c r="A22" s="13">
        <v>45545</v>
      </c>
      <c r="B22" s="9" t="s">
        <v>3</v>
      </c>
      <c r="C22" s="10">
        <f>C21</f>
        <v>5000</v>
      </c>
      <c r="D22" s="31">
        <v>12.7</v>
      </c>
      <c r="E22" s="11">
        <f>C22*D22</f>
        <v>63500</v>
      </c>
      <c r="F22" s="32">
        <f>E22*0.002</f>
        <v>127</v>
      </c>
      <c r="G22" s="31">
        <f>E22*0.000068</f>
        <v>4.318</v>
      </c>
      <c r="H22" s="31">
        <f>E22*0.00001</f>
        <v>0.635</v>
      </c>
      <c r="I22" s="31">
        <f>(F22+G22+H22)*0.07</f>
        <v>9.23671</v>
      </c>
      <c r="J22" s="31">
        <f>E22-F22-G22-H22-I22</f>
        <v>63358.81029</v>
      </c>
    </row>
    <row r="23" s="51" customFormat="1" ht="18.6" spans="1:11">
      <c r="A23" s="13" t="s">
        <v>4</v>
      </c>
      <c r="B23" s="9"/>
      <c r="C23" s="10"/>
      <c r="D23" s="11"/>
      <c r="E23" s="12">
        <f>E22-E21</f>
        <v>500</v>
      </c>
      <c r="F23" s="12"/>
      <c r="G23" s="12"/>
      <c r="H23" s="12"/>
      <c r="I23" s="12"/>
      <c r="J23" s="12">
        <f>J22-J21</f>
        <v>218.732310000007</v>
      </c>
      <c r="K23" s="47"/>
    </row>
    <row r="26" spans="1:10">
      <c r="A26" s="72">
        <v>45021</v>
      </c>
      <c r="B26" s="73" t="s">
        <v>18</v>
      </c>
      <c r="C26" s="74">
        <v>24000</v>
      </c>
      <c r="D26" s="75">
        <v>12.95</v>
      </c>
      <c r="E26" s="76">
        <f>C26*D26</f>
        <v>310800</v>
      </c>
      <c r="F26" s="76">
        <f>E26*0.002</f>
        <v>621.6</v>
      </c>
      <c r="G26" s="76">
        <f>E26*0.000068</f>
        <v>21.1344</v>
      </c>
      <c r="H26" s="76">
        <f>E26*0.00001</f>
        <v>3.108</v>
      </c>
      <c r="I26" s="76">
        <f>(F26+G26+H26)*0.07</f>
        <v>45.208968</v>
      </c>
      <c r="J26" s="76">
        <f>E26+F26+I26+G26+H26</f>
        <v>311491.051368</v>
      </c>
    </row>
  </sheetData>
  <sheetProtection selectLockedCells="1" selectUnlockedCells="1"/>
  <pageMargins left="0.7" right="0.7" top="0.75" bottom="0.75" header="0.511805555555556" footer="0.511805555555556"/>
  <pageSetup paperSize="9" firstPageNumber="0" orientation="portrait" useFirstPageNumber="1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5"/>
  <sheetViews>
    <sheetView tabSelected="1" topLeftCell="A43" workbookViewId="0">
      <selection activeCell="J51" sqref="J51"/>
    </sheetView>
  </sheetViews>
  <sheetFormatPr defaultColWidth="8.88888888888889" defaultRowHeight="13.8"/>
  <cols>
    <col min="1" max="1" width="10.1111111111111" style="24" customWidth="1"/>
    <col min="2" max="2" width="7.44444444444444" style="5" customWidth="1"/>
    <col min="3" max="3" width="8.33333333333333" style="5" customWidth="1"/>
    <col min="4" max="4" width="7.66666666666667" style="25" customWidth="1"/>
    <col min="5" max="5" width="11.1111111111111" style="5" customWidth="1"/>
    <col min="6" max="6" width="10" style="5" customWidth="1"/>
    <col min="7" max="7" width="6.66666666666667" style="5" customWidth="1"/>
    <col min="8" max="8" width="5.77777777777778" style="5" customWidth="1"/>
    <col min="9" max="9" width="6.66666666666667" style="5" customWidth="1"/>
    <col min="10" max="10" width="11.1111111111111" style="5" customWidth="1"/>
    <col min="11" max="16384" width="8.88888888888889" style="5"/>
  </cols>
  <sheetData>
    <row r="1" spans="2:2">
      <c r="B1" s="5" t="s">
        <v>19</v>
      </c>
    </row>
    <row r="2" s="39" customFormat="1" ht="15.6" spans="1:10">
      <c r="A2" s="13">
        <v>43350</v>
      </c>
      <c r="B2" s="9" t="s">
        <v>1</v>
      </c>
      <c r="C2" s="10">
        <v>10000</v>
      </c>
      <c r="D2" s="14">
        <v>14.8</v>
      </c>
      <c r="E2" s="12">
        <f>C2*D2</f>
        <v>148000</v>
      </c>
      <c r="F2" s="12">
        <f>E2*0.002</f>
        <v>296</v>
      </c>
      <c r="G2" s="12">
        <f>E2*0.00006</f>
        <v>8.88</v>
      </c>
      <c r="H2" s="12">
        <f>E2*0.00001</f>
        <v>1.48</v>
      </c>
      <c r="I2" s="12">
        <f>(F2+G2+H2)*0.07</f>
        <v>21.4452</v>
      </c>
      <c r="J2" s="12">
        <f>E2+F2+I2+G2+H2</f>
        <v>148327.8052</v>
      </c>
    </row>
    <row r="3" spans="1:10">
      <c r="A3" s="13">
        <v>43355</v>
      </c>
      <c r="B3" s="9" t="s">
        <v>1</v>
      </c>
      <c r="C3" s="10">
        <v>10000</v>
      </c>
      <c r="D3" s="14">
        <v>14.9</v>
      </c>
      <c r="E3" s="12">
        <f>C3*D3</f>
        <v>149000</v>
      </c>
      <c r="F3" s="12">
        <f>E3*0.002</f>
        <v>298</v>
      </c>
      <c r="G3" s="12">
        <f>E3*0.000068</f>
        <v>10.132</v>
      </c>
      <c r="H3" s="12">
        <f>E3*0.00001</f>
        <v>1.49</v>
      </c>
      <c r="I3" s="12">
        <f>(F3+G3+H3)*0.07</f>
        <v>21.67354</v>
      </c>
      <c r="J3" s="12">
        <f>E3+F3+I3+G3+H3</f>
        <v>149331.29554</v>
      </c>
    </row>
    <row r="4" spans="1:11">
      <c r="A4" s="15"/>
      <c r="B4" s="3"/>
      <c r="C4" s="17">
        <f>SUM(C2:C3)</f>
        <v>20000</v>
      </c>
      <c r="D4" s="18">
        <f>E4/C4</f>
        <v>14.85</v>
      </c>
      <c r="E4" s="17">
        <f t="shared" ref="E4:J4" si="0">SUM(E2:E3)</f>
        <v>297000</v>
      </c>
      <c r="F4" s="17">
        <f t="shared" si="0"/>
        <v>594</v>
      </c>
      <c r="G4" s="17">
        <f t="shared" si="0"/>
        <v>19.012</v>
      </c>
      <c r="H4" s="17">
        <f t="shared" si="0"/>
        <v>2.97</v>
      </c>
      <c r="I4" s="17">
        <f t="shared" si="0"/>
        <v>43.11874</v>
      </c>
      <c r="J4" s="17">
        <f t="shared" si="0"/>
        <v>297659.10074</v>
      </c>
      <c r="K4" s="7"/>
    </row>
    <row r="5" spans="1:10">
      <c r="A5" s="13">
        <v>43356</v>
      </c>
      <c r="B5" s="9" t="s">
        <v>1</v>
      </c>
      <c r="C5" s="10">
        <v>10000</v>
      </c>
      <c r="D5" s="14">
        <v>15</v>
      </c>
      <c r="E5" s="12">
        <f>C5*D5</f>
        <v>150000</v>
      </c>
      <c r="F5" s="12">
        <f>E5*0.002</f>
        <v>300</v>
      </c>
      <c r="G5" s="12">
        <f>E5*0.000068</f>
        <v>10.2</v>
      </c>
      <c r="H5" s="12">
        <f>E5*0.00001</f>
        <v>1.5</v>
      </c>
      <c r="I5" s="12">
        <f>(F5+G5+H5)*0.07</f>
        <v>21.819</v>
      </c>
      <c r="J5" s="12">
        <f>E5+F5+I5+G5+H5</f>
        <v>150333.519</v>
      </c>
    </row>
    <row r="6" spans="1:11">
      <c r="A6" s="15"/>
      <c r="B6" s="3"/>
      <c r="C6" s="17">
        <f>SUM(C4:C5)</f>
        <v>30000</v>
      </c>
      <c r="D6" s="18">
        <f>E6/C6</f>
        <v>14.9</v>
      </c>
      <c r="E6" s="17">
        <f t="shared" ref="E6:J6" si="1">SUM(E4:E5)</f>
        <v>447000</v>
      </c>
      <c r="F6" s="17">
        <f t="shared" si="1"/>
        <v>894</v>
      </c>
      <c r="G6" s="17">
        <f t="shared" si="1"/>
        <v>29.212</v>
      </c>
      <c r="H6" s="17">
        <f t="shared" si="1"/>
        <v>4.47</v>
      </c>
      <c r="I6" s="17">
        <f t="shared" si="1"/>
        <v>64.93774</v>
      </c>
      <c r="J6" s="17">
        <f t="shared" si="1"/>
        <v>447992.61974</v>
      </c>
      <c r="K6" s="7"/>
    </row>
    <row r="7" spans="1:10">
      <c r="A7" s="13">
        <v>43502</v>
      </c>
      <c r="B7" s="9" t="s">
        <v>1</v>
      </c>
      <c r="C7" s="10">
        <v>10000</v>
      </c>
      <c r="D7" s="14">
        <v>15.1</v>
      </c>
      <c r="E7" s="12">
        <f>C7*D7</f>
        <v>151000</v>
      </c>
      <c r="F7" s="12">
        <f>E7*0.002</f>
        <v>302</v>
      </c>
      <c r="G7" s="12">
        <f>E7*0.000068</f>
        <v>10.268</v>
      </c>
      <c r="H7" s="12">
        <f>E7*0.00001</f>
        <v>1.51</v>
      </c>
      <c r="I7" s="12">
        <f>(F7+G7+H7)*0.07</f>
        <v>21.96446</v>
      </c>
      <c r="J7" s="12">
        <f>E7+F7+I7+G7+H7</f>
        <v>151335.74246</v>
      </c>
    </row>
    <row r="8" spans="1:11">
      <c r="A8" s="15"/>
      <c r="B8" s="3"/>
      <c r="C8" s="17">
        <f>SUM(C6:C7)</f>
        <v>40000</v>
      </c>
      <c r="D8" s="18">
        <f>E8/C8</f>
        <v>14.95</v>
      </c>
      <c r="E8" s="17">
        <f t="shared" ref="E8:J8" si="2">SUM(E6:E7)</f>
        <v>598000</v>
      </c>
      <c r="F8" s="17">
        <f t="shared" si="2"/>
        <v>1196</v>
      </c>
      <c r="G8" s="17">
        <f t="shared" si="2"/>
        <v>39.48</v>
      </c>
      <c r="H8" s="17">
        <f t="shared" si="2"/>
        <v>5.98</v>
      </c>
      <c r="I8" s="17">
        <f t="shared" si="2"/>
        <v>86.9022</v>
      </c>
      <c r="J8" s="17">
        <f t="shared" si="2"/>
        <v>599328.3622</v>
      </c>
      <c r="K8" s="7"/>
    </row>
    <row r="9" s="1" customFormat="1" spans="1:11">
      <c r="A9" s="13">
        <v>43528</v>
      </c>
      <c r="B9" s="9" t="s">
        <v>3</v>
      </c>
      <c r="C9" s="10">
        <f>C8</f>
        <v>40000</v>
      </c>
      <c r="D9" s="14">
        <v>15</v>
      </c>
      <c r="E9" s="11">
        <f>C9*D9</f>
        <v>600000</v>
      </c>
      <c r="F9" s="32">
        <f>E9*0.002</f>
        <v>1200</v>
      </c>
      <c r="G9" s="31">
        <f>E9*0.000068</f>
        <v>40.8</v>
      </c>
      <c r="H9" s="31">
        <f>E9*0.00001</f>
        <v>6</v>
      </c>
      <c r="I9" s="31">
        <f>(F9+G9+H9)*0.07</f>
        <v>87.276</v>
      </c>
      <c r="J9" s="31">
        <f>E9-F9-G9-H9-I9</f>
        <v>598665.924</v>
      </c>
      <c r="K9" s="9"/>
    </row>
    <row r="10" s="51" customFormat="1" ht="18.6" spans="1:11">
      <c r="A10" s="61">
        <f>DAYS360(A2,A9)</f>
        <v>177</v>
      </c>
      <c r="B10" s="9"/>
      <c r="C10" s="10"/>
      <c r="D10" s="14"/>
      <c r="E10" s="12">
        <f>E9-E8</f>
        <v>2000</v>
      </c>
      <c r="F10" s="12"/>
      <c r="G10" s="12"/>
      <c r="H10" s="12"/>
      <c r="I10" s="12"/>
      <c r="J10" s="12">
        <f>J9-J8</f>
        <v>-662.438199999975</v>
      </c>
      <c r="K10" s="35"/>
    </row>
    <row r="11" spans="1:10">
      <c r="A11" s="13">
        <v>43600</v>
      </c>
      <c r="B11" s="9" t="s">
        <v>1</v>
      </c>
      <c r="C11" s="77">
        <v>40000</v>
      </c>
      <c r="D11" s="14">
        <v>16.6</v>
      </c>
      <c r="E11" s="12">
        <f>C11*D11</f>
        <v>664000</v>
      </c>
      <c r="F11" s="12">
        <f>E11*0.002</f>
        <v>1328</v>
      </c>
      <c r="G11" s="12">
        <f>E11*0.000068</f>
        <v>45.152</v>
      </c>
      <c r="H11" s="12">
        <f>E11*0.00001</f>
        <v>6.64</v>
      </c>
      <c r="I11" s="12">
        <f>(F11+G11+H11)*0.07</f>
        <v>96.58544</v>
      </c>
      <c r="J11" s="12">
        <f>E11+F11+I11+G11+H11</f>
        <v>665476.37744</v>
      </c>
    </row>
    <row r="12" spans="1:10">
      <c r="A12" s="13">
        <v>43630</v>
      </c>
      <c r="B12" s="9" t="s">
        <v>1</v>
      </c>
      <c r="C12" s="10">
        <v>10000</v>
      </c>
      <c r="D12" s="14">
        <v>16.6</v>
      </c>
      <c r="E12" s="12">
        <f>C12*D12</f>
        <v>166000</v>
      </c>
      <c r="F12" s="12">
        <f>E12*0.002</f>
        <v>332</v>
      </c>
      <c r="G12" s="12">
        <f>E12*0.000068</f>
        <v>11.288</v>
      </c>
      <c r="H12" s="12">
        <f>E12*0.00001</f>
        <v>1.66</v>
      </c>
      <c r="I12" s="12">
        <f>(F12+G12+H12)*0.07</f>
        <v>24.14636</v>
      </c>
      <c r="J12" s="12">
        <f>E12+F12+I12+G12+H12</f>
        <v>166369.09436</v>
      </c>
    </row>
    <row r="13" spans="1:11">
      <c r="A13" s="15"/>
      <c r="B13" s="3"/>
      <c r="C13" s="17">
        <f>SUM(C11:C12)</f>
        <v>50000</v>
      </c>
      <c r="D13" s="18">
        <f>E13/C13</f>
        <v>16.6</v>
      </c>
      <c r="E13" s="17">
        <f t="shared" ref="E13:J13" si="3">SUM(E11:E12)</f>
        <v>830000</v>
      </c>
      <c r="F13" s="17">
        <f t="shared" si="3"/>
        <v>1660</v>
      </c>
      <c r="G13" s="17">
        <f t="shared" si="3"/>
        <v>56.44</v>
      </c>
      <c r="H13" s="17">
        <f t="shared" si="3"/>
        <v>8.3</v>
      </c>
      <c r="I13" s="17">
        <f t="shared" si="3"/>
        <v>120.7318</v>
      </c>
      <c r="J13" s="17">
        <f t="shared" si="3"/>
        <v>831845.4718</v>
      </c>
      <c r="K13" s="7"/>
    </row>
    <row r="14" spans="1:10">
      <c r="A14" s="13">
        <v>43600</v>
      </c>
      <c r="B14" s="9" t="s">
        <v>20</v>
      </c>
      <c r="C14" s="10">
        <v>40000</v>
      </c>
      <c r="D14" s="14">
        <v>16.6</v>
      </c>
      <c r="E14" s="12">
        <f>C14*D14</f>
        <v>664000</v>
      </c>
      <c r="F14" s="12">
        <f>E14*0.002</f>
        <v>1328</v>
      </c>
      <c r="G14" s="12">
        <f>E14*0.000068</f>
        <v>45.152</v>
      </c>
      <c r="H14" s="12">
        <f>E14*0.00001</f>
        <v>6.64</v>
      </c>
      <c r="I14" s="12">
        <f>(F14+G14+H14)*0.07</f>
        <v>96.58544</v>
      </c>
      <c r="J14" s="12">
        <f>E14+F14+I14+G14+H14</f>
        <v>665476.37744</v>
      </c>
    </row>
    <row r="15" spans="1:10">
      <c r="A15" s="13">
        <v>43670</v>
      </c>
      <c r="B15" s="9" t="s">
        <v>1</v>
      </c>
      <c r="C15" s="77">
        <v>7000</v>
      </c>
      <c r="D15" s="14">
        <v>17.1</v>
      </c>
      <c r="E15" s="12">
        <f>C15*D15</f>
        <v>119700</v>
      </c>
      <c r="F15" s="12">
        <f>E15*0.002</f>
        <v>239.4</v>
      </c>
      <c r="G15" s="12">
        <f>E15*0.000068</f>
        <v>8.1396</v>
      </c>
      <c r="H15" s="12">
        <f>E15*0.00001</f>
        <v>1.197</v>
      </c>
      <c r="I15" s="12">
        <f>(F15+G15+H15)*0.07</f>
        <v>17.411562</v>
      </c>
      <c r="J15" s="12">
        <f>E15+F15+I15+G15+H15</f>
        <v>119966.148162</v>
      </c>
    </row>
    <row r="16" spans="1:11">
      <c r="A16" s="15"/>
      <c r="B16" s="3"/>
      <c r="C16" s="17">
        <f>SUM(C14:C15)</f>
        <v>47000</v>
      </c>
      <c r="D16" s="18">
        <f>E16/C16</f>
        <v>16.6744680851064</v>
      </c>
      <c r="E16" s="17">
        <f t="shared" ref="E16:J16" si="4">SUM(E14:E15)</f>
        <v>783700</v>
      </c>
      <c r="F16" s="17">
        <f t="shared" si="4"/>
        <v>1567.4</v>
      </c>
      <c r="G16" s="17">
        <f t="shared" si="4"/>
        <v>53.2916</v>
      </c>
      <c r="H16" s="17">
        <f t="shared" si="4"/>
        <v>7.837</v>
      </c>
      <c r="I16" s="17">
        <f t="shared" si="4"/>
        <v>113.997002</v>
      </c>
      <c r="J16" s="17">
        <f t="shared" si="4"/>
        <v>785442.525602</v>
      </c>
      <c r="K16" s="7"/>
    </row>
    <row r="17" spans="1:10">
      <c r="A17" s="13">
        <v>43710</v>
      </c>
      <c r="B17" s="9" t="s">
        <v>1</v>
      </c>
      <c r="C17" s="77">
        <v>5000</v>
      </c>
      <c r="D17" s="14">
        <v>15.9</v>
      </c>
      <c r="E17" s="12">
        <f>C17*D17</f>
        <v>79500</v>
      </c>
      <c r="F17" s="12">
        <v>0</v>
      </c>
      <c r="G17" s="12">
        <v>0</v>
      </c>
      <c r="H17" s="12">
        <v>0</v>
      </c>
      <c r="I17" s="12">
        <f>(F17+G17+H17)*0.07</f>
        <v>0</v>
      </c>
      <c r="J17" s="12">
        <f>E17+F17+I17+G17+H17</f>
        <v>79500</v>
      </c>
    </row>
    <row r="18" spans="1:11">
      <c r="A18" s="15"/>
      <c r="B18" s="3"/>
      <c r="C18" s="17">
        <f>SUM(C16:C17)</f>
        <v>52000</v>
      </c>
      <c r="D18" s="18">
        <f>E18/C18</f>
        <v>16.6</v>
      </c>
      <c r="E18" s="17">
        <f t="shared" ref="E18:J18" si="5">SUM(E16:E17)</f>
        <v>863200</v>
      </c>
      <c r="F18" s="17">
        <f t="shared" si="5"/>
        <v>1567.4</v>
      </c>
      <c r="G18" s="17">
        <f t="shared" si="5"/>
        <v>53.2916</v>
      </c>
      <c r="H18" s="17">
        <f t="shared" si="5"/>
        <v>7.837</v>
      </c>
      <c r="I18" s="17">
        <f t="shared" si="5"/>
        <v>113.997002</v>
      </c>
      <c r="J18" s="17">
        <f t="shared" si="5"/>
        <v>864942.525602</v>
      </c>
      <c r="K18" s="7"/>
    </row>
    <row r="19" spans="1:10">
      <c r="A19" s="20">
        <v>43710</v>
      </c>
      <c r="B19" s="1" t="s">
        <v>1</v>
      </c>
      <c r="C19" s="78">
        <v>8000</v>
      </c>
      <c r="D19" s="22">
        <v>16.6</v>
      </c>
      <c r="E19" s="23">
        <f>C19*D19</f>
        <v>132800</v>
      </c>
      <c r="F19" s="23">
        <v>0</v>
      </c>
      <c r="G19" s="23">
        <v>0</v>
      </c>
      <c r="H19" s="23">
        <v>0</v>
      </c>
      <c r="I19" s="23">
        <f>(F19+G19+H19)*0.07</f>
        <v>0</v>
      </c>
      <c r="J19" s="23">
        <f>E19+F19+I19+G19+H19</f>
        <v>132800</v>
      </c>
    </row>
    <row r="20" spans="3:11">
      <c r="C20" s="6">
        <f>SUM(C18:C19)</f>
        <v>60000</v>
      </c>
      <c r="D20" s="25">
        <f>E20/C20</f>
        <v>16.6</v>
      </c>
      <c r="E20" s="6">
        <f t="shared" ref="E20:J20" si="6">SUM(E18:E19)</f>
        <v>996000</v>
      </c>
      <c r="F20" s="6">
        <f t="shared" si="6"/>
        <v>1567.4</v>
      </c>
      <c r="G20" s="6">
        <f t="shared" si="6"/>
        <v>53.2916</v>
      </c>
      <c r="H20" s="6">
        <f t="shared" si="6"/>
        <v>7.837</v>
      </c>
      <c r="I20" s="6">
        <f t="shared" si="6"/>
        <v>113.997002</v>
      </c>
      <c r="J20" s="6">
        <f t="shared" si="6"/>
        <v>997742.525602</v>
      </c>
      <c r="K20" s="7"/>
    </row>
    <row r="21" spans="1:10">
      <c r="A21" s="13">
        <v>44106</v>
      </c>
      <c r="B21" s="9" t="s">
        <v>2</v>
      </c>
      <c r="C21" s="10">
        <v>60000</v>
      </c>
      <c r="D21" s="14">
        <v>16.4</v>
      </c>
      <c r="E21" s="12">
        <f>C21*D21</f>
        <v>984000</v>
      </c>
      <c r="F21" s="12">
        <v>0</v>
      </c>
      <c r="G21" s="12">
        <v>0</v>
      </c>
      <c r="H21" s="12">
        <v>0</v>
      </c>
      <c r="I21" s="12">
        <f>(F21+G21+H21)*0.07</f>
        <v>0</v>
      </c>
      <c r="J21" s="12">
        <f>E21+F21+I21+G21+H21</f>
        <v>984000</v>
      </c>
    </row>
    <row r="22" spans="1:10">
      <c r="A22" s="13">
        <v>44113</v>
      </c>
      <c r="B22" s="9" t="s">
        <v>1</v>
      </c>
      <c r="C22" s="10">
        <v>2000</v>
      </c>
      <c r="D22" s="14">
        <v>13.3</v>
      </c>
      <c r="E22" s="12">
        <f>C22*D22</f>
        <v>26600</v>
      </c>
      <c r="F22" s="12">
        <f>E22*0.002</f>
        <v>53.2</v>
      </c>
      <c r="G22" s="12">
        <f>E22*0.000068</f>
        <v>1.8088</v>
      </c>
      <c r="H22" s="12">
        <f>E22*0.00001</f>
        <v>0.266</v>
      </c>
      <c r="I22" s="12">
        <f>(F22+G22+H22)*0.07</f>
        <v>3.869236</v>
      </c>
      <c r="J22" s="12">
        <f>E22+F22+I22+G22+H22</f>
        <v>26659.144036</v>
      </c>
    </row>
    <row r="23" spans="1:11">
      <c r="A23" s="15"/>
      <c r="B23" s="3"/>
      <c r="C23" s="17">
        <f>SUM(C21:C22)</f>
        <v>62000</v>
      </c>
      <c r="D23" s="18">
        <f>E23/C23</f>
        <v>16.3</v>
      </c>
      <c r="E23" s="17">
        <f t="shared" ref="E23:J23" si="7">SUM(E21:E22)</f>
        <v>1010600</v>
      </c>
      <c r="F23" s="17">
        <f t="shared" si="7"/>
        <v>53.2</v>
      </c>
      <c r="G23" s="17">
        <f t="shared" si="7"/>
        <v>1.8088</v>
      </c>
      <c r="H23" s="17">
        <f t="shared" si="7"/>
        <v>0.266</v>
      </c>
      <c r="I23" s="17">
        <f t="shared" si="7"/>
        <v>3.869236</v>
      </c>
      <c r="J23" s="17">
        <f t="shared" si="7"/>
        <v>1010659.144036</v>
      </c>
      <c r="K23" s="7"/>
    </row>
    <row r="24" spans="1:10">
      <c r="A24" s="13">
        <v>44124</v>
      </c>
      <c r="B24" s="9" t="s">
        <v>1</v>
      </c>
      <c r="C24" s="10">
        <v>8000</v>
      </c>
      <c r="D24" s="14">
        <v>12.8</v>
      </c>
      <c r="E24" s="12">
        <f>C24*D24</f>
        <v>102400</v>
      </c>
      <c r="F24" s="12">
        <f>E24*0.002</f>
        <v>204.8</v>
      </c>
      <c r="G24" s="12">
        <f>E24*0.000068</f>
        <v>6.9632</v>
      </c>
      <c r="H24" s="12">
        <f>E24*0.00001</f>
        <v>1.024</v>
      </c>
      <c r="I24" s="12">
        <f>(F24+G24+H24)*0.07</f>
        <v>14.895104</v>
      </c>
      <c r="J24" s="12">
        <f>E24+F24+I24+G24+H24</f>
        <v>102627.682304</v>
      </c>
    </row>
    <row r="25" spans="1:11">
      <c r="A25" s="15"/>
      <c r="B25" s="3"/>
      <c r="C25" s="17">
        <f>SUM(C23:C24)</f>
        <v>70000</v>
      </c>
      <c r="D25" s="18">
        <f>E25/C25</f>
        <v>15.9</v>
      </c>
      <c r="E25" s="17">
        <f t="shared" ref="E25:J25" si="8">SUM(E23:E24)</f>
        <v>1113000</v>
      </c>
      <c r="F25" s="17">
        <f t="shared" si="8"/>
        <v>258</v>
      </c>
      <c r="G25" s="17">
        <f t="shared" si="8"/>
        <v>8.772</v>
      </c>
      <c r="H25" s="17">
        <f t="shared" si="8"/>
        <v>1.29</v>
      </c>
      <c r="I25" s="17">
        <f t="shared" si="8"/>
        <v>18.76434</v>
      </c>
      <c r="J25" s="17">
        <f t="shared" si="8"/>
        <v>1113286.82634</v>
      </c>
      <c r="K25" s="7"/>
    </row>
    <row r="26" spans="1:10">
      <c r="A26" s="13">
        <v>44244</v>
      </c>
      <c r="B26" s="9" t="s">
        <v>1</v>
      </c>
      <c r="C26" s="10">
        <v>10000</v>
      </c>
      <c r="D26" s="14">
        <v>12.7</v>
      </c>
      <c r="E26" s="12">
        <f>C26*D26</f>
        <v>127000</v>
      </c>
      <c r="F26" s="12">
        <f>E26*0.002</f>
        <v>254</v>
      </c>
      <c r="G26" s="12">
        <f>E26*0.000068</f>
        <v>8.636</v>
      </c>
      <c r="H26" s="12">
        <f>E26*0.00001</f>
        <v>1.27</v>
      </c>
      <c r="I26" s="12">
        <f>(F26+G26+H26)*0.07</f>
        <v>18.47342</v>
      </c>
      <c r="J26" s="12">
        <f>E26+F26+I26+G26+H26</f>
        <v>127282.37942</v>
      </c>
    </row>
    <row r="27" spans="1:11">
      <c r="A27" s="15"/>
      <c r="B27" s="3"/>
      <c r="C27" s="17">
        <f>SUM(C25:C26)</f>
        <v>80000</v>
      </c>
      <c r="D27" s="18">
        <f>E27/C27</f>
        <v>15.5</v>
      </c>
      <c r="E27" s="17">
        <f t="shared" ref="E27:J27" si="9">SUM(E25:E26)</f>
        <v>1240000</v>
      </c>
      <c r="F27" s="17">
        <f t="shared" si="9"/>
        <v>512</v>
      </c>
      <c r="G27" s="17">
        <f t="shared" si="9"/>
        <v>17.408</v>
      </c>
      <c r="H27" s="17">
        <f t="shared" si="9"/>
        <v>2.56</v>
      </c>
      <c r="I27" s="17">
        <f t="shared" si="9"/>
        <v>37.23776</v>
      </c>
      <c r="J27" s="17">
        <f t="shared" si="9"/>
        <v>1240569.20576</v>
      </c>
      <c r="K27" s="7"/>
    </row>
    <row r="28" spans="1:10">
      <c r="A28" s="13">
        <v>44257</v>
      </c>
      <c r="B28" s="9" t="s">
        <v>1</v>
      </c>
      <c r="C28" s="10">
        <v>10000</v>
      </c>
      <c r="D28" s="14">
        <v>11.6</v>
      </c>
      <c r="E28" s="12">
        <f>C28*D28</f>
        <v>116000</v>
      </c>
      <c r="F28" s="12">
        <f>E28*0.002</f>
        <v>232</v>
      </c>
      <c r="G28" s="12">
        <f>E28*0.000068</f>
        <v>7.888</v>
      </c>
      <c r="H28" s="12">
        <f>E28*0.00001</f>
        <v>1.16</v>
      </c>
      <c r="I28" s="12">
        <f>(F28+G28+H28)*0.07</f>
        <v>16.87336</v>
      </c>
      <c r="J28" s="12">
        <f>E28+F28+I28+G28+H28</f>
        <v>116257.92136</v>
      </c>
    </row>
    <row r="29" spans="1:11">
      <c r="A29" s="15"/>
      <c r="B29" s="3"/>
      <c r="C29" s="17">
        <f>SUM(C27:C28)</f>
        <v>90000</v>
      </c>
      <c r="D29" s="18">
        <f>E29/C29</f>
        <v>15.0666666666667</v>
      </c>
      <c r="E29" s="17">
        <f t="shared" ref="E29:J29" si="10">SUM(E27:E28)</f>
        <v>1356000</v>
      </c>
      <c r="F29" s="17">
        <f t="shared" si="10"/>
        <v>744</v>
      </c>
      <c r="G29" s="17">
        <f t="shared" si="10"/>
        <v>25.296</v>
      </c>
      <c r="H29" s="17">
        <f t="shared" si="10"/>
        <v>3.72</v>
      </c>
      <c r="I29" s="17">
        <f t="shared" si="10"/>
        <v>54.11112</v>
      </c>
      <c r="J29" s="17">
        <f t="shared" si="10"/>
        <v>1356827.12712</v>
      </c>
      <c r="K29" s="7"/>
    </row>
    <row r="30" spans="1:10">
      <c r="A30" s="13">
        <v>44260</v>
      </c>
      <c r="B30" s="9" t="s">
        <v>1</v>
      </c>
      <c r="C30" s="10">
        <v>10000</v>
      </c>
      <c r="D30" s="14">
        <v>11.4</v>
      </c>
      <c r="E30" s="12">
        <f>C30*D30</f>
        <v>114000</v>
      </c>
      <c r="F30" s="12">
        <f>E30*0.002</f>
        <v>228</v>
      </c>
      <c r="G30" s="12">
        <f>E30*0.000068</f>
        <v>7.752</v>
      </c>
      <c r="H30" s="12">
        <f>E30*0.00001</f>
        <v>1.14</v>
      </c>
      <c r="I30" s="12">
        <f>(F30+G30+H30)*0.07</f>
        <v>16.58244</v>
      </c>
      <c r="J30" s="12">
        <f>E30+F30+I30+G30+H30</f>
        <v>114253.47444</v>
      </c>
    </row>
    <row r="31" spans="1:11">
      <c r="A31" s="15"/>
      <c r="B31" s="3"/>
      <c r="C31" s="17">
        <f>SUM(C29:C30)</f>
        <v>100000</v>
      </c>
      <c r="D31" s="18">
        <f>E31/C31</f>
        <v>14.7</v>
      </c>
      <c r="E31" s="17">
        <f t="shared" ref="E31:J31" si="11">SUM(E29:E30)</f>
        <v>1470000</v>
      </c>
      <c r="F31" s="17">
        <f t="shared" si="11"/>
        <v>972</v>
      </c>
      <c r="G31" s="17">
        <f t="shared" si="11"/>
        <v>33.048</v>
      </c>
      <c r="H31" s="17">
        <f t="shared" si="11"/>
        <v>4.86</v>
      </c>
      <c r="I31" s="17">
        <f t="shared" si="11"/>
        <v>70.69356</v>
      </c>
      <c r="J31" s="17">
        <f t="shared" si="11"/>
        <v>1471080.60156</v>
      </c>
      <c r="K31" s="7"/>
    </row>
    <row r="32" spans="1:11">
      <c r="A32" s="15">
        <v>44351</v>
      </c>
      <c r="B32" s="3" t="s">
        <v>2</v>
      </c>
      <c r="C32" s="17">
        <v>80000</v>
      </c>
      <c r="D32" s="18">
        <v>14.7</v>
      </c>
      <c r="E32" s="12">
        <f t="shared" ref="E32:E40" si="12">C32*D32</f>
        <v>1176000</v>
      </c>
      <c r="F32" s="12">
        <f t="shared" ref="F32:F40" si="13">E32*0.002</f>
        <v>2352</v>
      </c>
      <c r="G32" s="12">
        <f t="shared" ref="G32:G40" si="14">E32*0.000068</f>
        <v>79.968</v>
      </c>
      <c r="H32" s="12">
        <f t="shared" ref="H32:H40" si="15">E32*0.00001</f>
        <v>11.76</v>
      </c>
      <c r="I32" s="12">
        <f t="shared" ref="I32:I40" si="16">(F32+G32+H32)*0.07</f>
        <v>171.06096</v>
      </c>
      <c r="J32" s="12">
        <f>E32+F32+I32+G32+H32</f>
        <v>1178614.78896</v>
      </c>
      <c r="K32" s="7"/>
    </row>
    <row r="33" spans="1:11">
      <c r="A33" s="15">
        <v>44355</v>
      </c>
      <c r="B33" s="3" t="s">
        <v>2</v>
      </c>
      <c r="C33" s="17">
        <v>70000</v>
      </c>
      <c r="D33" s="18">
        <v>14.7</v>
      </c>
      <c r="E33" s="12">
        <f t="shared" si="12"/>
        <v>1029000</v>
      </c>
      <c r="F33" s="12">
        <f t="shared" si="13"/>
        <v>2058</v>
      </c>
      <c r="G33" s="12">
        <f t="shared" si="14"/>
        <v>69.972</v>
      </c>
      <c r="H33" s="12">
        <f t="shared" si="15"/>
        <v>10.29</v>
      </c>
      <c r="I33" s="12">
        <f t="shared" si="16"/>
        <v>149.67834</v>
      </c>
      <c r="J33" s="12">
        <f>E33+F33+I33+G33+H33</f>
        <v>1031287.94034</v>
      </c>
      <c r="K33" s="7"/>
    </row>
    <row r="34" spans="1:11">
      <c r="A34" s="15">
        <v>44356</v>
      </c>
      <c r="B34" s="3" t="s">
        <v>2</v>
      </c>
      <c r="C34" s="17">
        <v>60000</v>
      </c>
      <c r="D34" s="18">
        <v>14.7</v>
      </c>
      <c r="E34" s="12">
        <f t="shared" si="12"/>
        <v>882000</v>
      </c>
      <c r="F34" s="12">
        <f t="shared" si="13"/>
        <v>1764</v>
      </c>
      <c r="G34" s="12">
        <f t="shared" si="14"/>
        <v>59.976</v>
      </c>
      <c r="H34" s="12">
        <f t="shared" si="15"/>
        <v>8.82</v>
      </c>
      <c r="I34" s="12">
        <f t="shared" si="16"/>
        <v>128.29572</v>
      </c>
      <c r="J34" s="12">
        <f>E34+F34+I34+G34+H34</f>
        <v>883961.09172</v>
      </c>
      <c r="K34" s="7"/>
    </row>
    <row r="35" s="1" customFormat="1" spans="1:10">
      <c r="A35" s="13">
        <v>44610</v>
      </c>
      <c r="B35" s="9" t="s">
        <v>3</v>
      </c>
      <c r="C35" s="10">
        <v>10000</v>
      </c>
      <c r="D35" s="31">
        <v>14.3</v>
      </c>
      <c r="E35" s="11">
        <f t="shared" si="12"/>
        <v>143000</v>
      </c>
      <c r="F35" s="32">
        <f t="shared" si="13"/>
        <v>286</v>
      </c>
      <c r="G35" s="31">
        <f t="shared" si="14"/>
        <v>9.724</v>
      </c>
      <c r="H35" s="31">
        <f t="shared" si="15"/>
        <v>1.43</v>
      </c>
      <c r="I35" s="31">
        <f t="shared" si="16"/>
        <v>20.80078</v>
      </c>
      <c r="J35" s="31">
        <f>E35-F35-G35-H35-I35</f>
        <v>142682.04522</v>
      </c>
    </row>
    <row r="36" s="51" customFormat="1" ht="18.6" spans="1:11">
      <c r="A36" s="13">
        <v>44610</v>
      </c>
      <c r="B36" s="9" t="s">
        <v>2</v>
      </c>
      <c r="C36" s="10">
        <f>C34-C35</f>
        <v>50000</v>
      </c>
      <c r="D36" s="11">
        <v>14.7</v>
      </c>
      <c r="E36" s="12">
        <f t="shared" si="12"/>
        <v>735000</v>
      </c>
      <c r="F36" s="12">
        <f t="shared" si="13"/>
        <v>1470</v>
      </c>
      <c r="G36" s="12">
        <f t="shared" si="14"/>
        <v>49.98</v>
      </c>
      <c r="H36" s="12">
        <f t="shared" si="15"/>
        <v>7.35</v>
      </c>
      <c r="I36" s="12">
        <f t="shared" si="16"/>
        <v>106.9131</v>
      </c>
      <c r="J36" s="12">
        <f>E36+F36+I36+G36+H36</f>
        <v>736634.2431</v>
      </c>
      <c r="K36" s="47"/>
    </row>
    <row r="37" s="1" customFormat="1" spans="1:10">
      <c r="A37" s="13">
        <v>44725</v>
      </c>
      <c r="B37" s="9" t="s">
        <v>3</v>
      </c>
      <c r="C37" s="10">
        <v>10000</v>
      </c>
      <c r="D37" s="31">
        <v>13.5</v>
      </c>
      <c r="E37" s="11">
        <f t="shared" si="12"/>
        <v>135000</v>
      </c>
      <c r="F37" s="32">
        <f t="shared" si="13"/>
        <v>270</v>
      </c>
      <c r="G37" s="31">
        <f t="shared" si="14"/>
        <v>9.18</v>
      </c>
      <c r="H37" s="31">
        <f t="shared" si="15"/>
        <v>1.35</v>
      </c>
      <c r="I37" s="31">
        <f t="shared" si="16"/>
        <v>19.6371</v>
      </c>
      <c r="J37" s="31">
        <f>E37-F37-G37-H37-I37</f>
        <v>134699.8329</v>
      </c>
    </row>
    <row r="38" s="51" customFormat="1" ht="18.6" spans="1:11">
      <c r="A38" s="13">
        <v>44610</v>
      </c>
      <c r="B38" s="9" t="s">
        <v>2</v>
      </c>
      <c r="C38" s="10">
        <f>C36-C37</f>
        <v>40000</v>
      </c>
      <c r="D38" s="11">
        <v>14.7</v>
      </c>
      <c r="E38" s="12">
        <f t="shared" si="12"/>
        <v>588000</v>
      </c>
      <c r="F38" s="12">
        <f t="shared" si="13"/>
        <v>1176</v>
      </c>
      <c r="G38" s="12">
        <f t="shared" si="14"/>
        <v>39.984</v>
      </c>
      <c r="H38" s="12">
        <f t="shared" si="15"/>
        <v>5.88</v>
      </c>
      <c r="I38" s="12">
        <f t="shared" si="16"/>
        <v>85.53048</v>
      </c>
      <c r="J38" s="12">
        <f>E38+F38+I38+G38+H38</f>
        <v>589307.39448</v>
      </c>
      <c r="K38" s="47"/>
    </row>
    <row r="39" spans="1:10">
      <c r="A39" s="13">
        <v>44113</v>
      </c>
      <c r="B39" s="9" t="s">
        <v>1</v>
      </c>
      <c r="C39" s="10">
        <v>10000</v>
      </c>
      <c r="D39" s="14">
        <v>14.7</v>
      </c>
      <c r="E39" s="12">
        <f t="shared" si="12"/>
        <v>147000</v>
      </c>
      <c r="F39" s="12">
        <f t="shared" si="13"/>
        <v>294</v>
      </c>
      <c r="G39" s="12">
        <f t="shared" si="14"/>
        <v>9.996</v>
      </c>
      <c r="H39" s="12">
        <f t="shared" si="15"/>
        <v>1.47</v>
      </c>
      <c r="I39" s="12">
        <f t="shared" si="16"/>
        <v>21.38262</v>
      </c>
      <c r="J39" s="12">
        <f>E39+F39+I39+G39+H39</f>
        <v>147326.84862</v>
      </c>
    </row>
    <row r="40" s="1" customFormat="1" spans="1:10">
      <c r="A40" s="13">
        <v>44992</v>
      </c>
      <c r="B40" s="9" t="s">
        <v>3</v>
      </c>
      <c r="C40" s="10">
        <f>C39</f>
        <v>10000</v>
      </c>
      <c r="D40" s="31">
        <v>13.3</v>
      </c>
      <c r="E40" s="11">
        <f t="shared" si="12"/>
        <v>133000</v>
      </c>
      <c r="F40" s="32">
        <f t="shared" si="13"/>
        <v>266</v>
      </c>
      <c r="G40" s="31">
        <f t="shared" si="14"/>
        <v>9.044</v>
      </c>
      <c r="H40" s="31">
        <f t="shared" si="15"/>
        <v>1.33</v>
      </c>
      <c r="I40" s="31">
        <f t="shared" si="16"/>
        <v>19.34618</v>
      </c>
      <c r="J40" s="31">
        <f>E40-F40-G40-H40-I40</f>
        <v>132704.27982</v>
      </c>
    </row>
    <row r="41" s="51" customFormat="1" ht="18.6" spans="1:11">
      <c r="A41" s="13" t="s">
        <v>4</v>
      </c>
      <c r="B41" s="9"/>
      <c r="C41" s="10"/>
      <c r="D41" s="11"/>
      <c r="E41" s="12">
        <f>E40-E39</f>
        <v>-14000</v>
      </c>
      <c r="F41" s="12"/>
      <c r="G41" s="12"/>
      <c r="H41" s="12"/>
      <c r="I41" s="12"/>
      <c r="J41" s="12">
        <f>J40-J39</f>
        <v>-14622.5688</v>
      </c>
      <c r="K41" s="47"/>
    </row>
    <row r="42" s="51" customFormat="1" ht="18.6" spans="1:11">
      <c r="A42" s="13">
        <v>44992</v>
      </c>
      <c r="B42" s="9" t="s">
        <v>2</v>
      </c>
      <c r="C42" s="10">
        <v>30000</v>
      </c>
      <c r="D42" s="11">
        <v>14.7</v>
      </c>
      <c r="E42" s="12">
        <f>C42*D42</f>
        <v>441000</v>
      </c>
      <c r="F42" s="12">
        <f>E42*0.002</f>
        <v>882</v>
      </c>
      <c r="G42" s="12">
        <f>E42*0.000068</f>
        <v>29.988</v>
      </c>
      <c r="H42" s="12">
        <f>E42*0.00001</f>
        <v>4.41</v>
      </c>
      <c r="I42" s="12">
        <f>(F42+G42+H42)*0.07</f>
        <v>64.14786</v>
      </c>
      <c r="J42" s="12">
        <f>E42+F42+I42+G42+H42</f>
        <v>441980.54586</v>
      </c>
      <c r="K42" s="47"/>
    </row>
    <row r="43" spans="1:10">
      <c r="A43" s="13">
        <v>45100</v>
      </c>
      <c r="B43" s="9" t="s">
        <v>1</v>
      </c>
      <c r="C43" s="10">
        <v>2000</v>
      </c>
      <c r="D43" s="14">
        <v>10.6</v>
      </c>
      <c r="E43" s="12">
        <f>C43*D43</f>
        <v>21200</v>
      </c>
      <c r="F43" s="12">
        <f>E43*0.002</f>
        <v>42.4</v>
      </c>
      <c r="G43" s="12">
        <f>E43*0.000068</f>
        <v>1.4416</v>
      </c>
      <c r="H43" s="12">
        <f>E43*0.00001</f>
        <v>0.212</v>
      </c>
      <c r="I43" s="12">
        <f>(F43+G43+H43)*0.07</f>
        <v>3.083752</v>
      </c>
      <c r="J43" s="12">
        <f>E43+F43+I43+G43+H43</f>
        <v>21247.137352</v>
      </c>
    </row>
    <row r="44" spans="1:11">
      <c r="A44" s="15"/>
      <c r="B44" s="79">
        <f>(D43-D42)/D42</f>
        <v>-0.27891156462585</v>
      </c>
      <c r="C44" s="17">
        <f>SUM(C42:C43)</f>
        <v>32000</v>
      </c>
      <c r="D44" s="18">
        <f>E44/C44</f>
        <v>14.44375</v>
      </c>
      <c r="E44" s="17">
        <f t="shared" ref="E44:J44" si="17">SUM(E42:E43)</f>
        <v>462200</v>
      </c>
      <c r="F44" s="17">
        <f t="shared" si="17"/>
        <v>924.4</v>
      </c>
      <c r="G44" s="17">
        <f t="shared" si="17"/>
        <v>31.4296</v>
      </c>
      <c r="H44" s="17">
        <f t="shared" si="17"/>
        <v>4.622</v>
      </c>
      <c r="I44" s="17">
        <f t="shared" si="17"/>
        <v>67.231612</v>
      </c>
      <c r="J44" s="17">
        <f t="shared" si="17"/>
        <v>463227.683212</v>
      </c>
      <c r="K44" s="7"/>
    </row>
    <row r="45" s="1" customFormat="1" spans="1:10">
      <c r="A45" s="13">
        <v>45106</v>
      </c>
      <c r="B45" s="9" t="s">
        <v>3</v>
      </c>
      <c r="C45" s="10">
        <v>2000</v>
      </c>
      <c r="D45" s="31">
        <v>11.2</v>
      </c>
      <c r="E45" s="11">
        <f>C45*D45</f>
        <v>22400</v>
      </c>
      <c r="F45" s="32">
        <f>E45*0.002</f>
        <v>44.8</v>
      </c>
      <c r="G45" s="31">
        <f>E45*0.000068</f>
        <v>1.5232</v>
      </c>
      <c r="H45" s="31">
        <f>E45*0.00001</f>
        <v>0.224</v>
      </c>
      <c r="I45" s="31">
        <f>(F45+G45+H45)*0.07</f>
        <v>3.258304</v>
      </c>
      <c r="J45" s="31">
        <f>E45-F45-G45-H45-I45</f>
        <v>22350.194496</v>
      </c>
    </row>
    <row r="46" s="51" customFormat="1" ht="18.6" spans="1:11">
      <c r="A46" s="13">
        <v>44992</v>
      </c>
      <c r="B46" s="9" t="s">
        <v>2</v>
      </c>
      <c r="C46" s="10">
        <v>30000</v>
      </c>
      <c r="D46" s="11">
        <v>14.7</v>
      </c>
      <c r="E46" s="12">
        <f>C46*D46</f>
        <v>441000</v>
      </c>
      <c r="F46" s="12">
        <f>E46*0.002</f>
        <v>882</v>
      </c>
      <c r="G46" s="12">
        <f>E46*0.000068</f>
        <v>29.988</v>
      </c>
      <c r="H46" s="12">
        <f>E46*0.00001</f>
        <v>4.41</v>
      </c>
      <c r="I46" s="12">
        <f>(F46+G46+H46)*0.07</f>
        <v>64.14786</v>
      </c>
      <c r="J46" s="12">
        <f>E46+F46+I46+G46+H46</f>
        <v>441980.54586</v>
      </c>
      <c r="K46" s="47"/>
    </row>
    <row r="47" spans="1:10">
      <c r="A47" s="13">
        <v>45604</v>
      </c>
      <c r="B47" s="9" t="s">
        <v>1</v>
      </c>
      <c r="C47" s="10">
        <v>5000</v>
      </c>
      <c r="D47" s="14">
        <v>9.1</v>
      </c>
      <c r="E47" s="12">
        <f>C47*D47</f>
        <v>45500</v>
      </c>
      <c r="F47" s="12">
        <f>E47*0.002</f>
        <v>91</v>
      </c>
      <c r="G47" s="12">
        <f>E47*0.000068</f>
        <v>3.094</v>
      </c>
      <c r="H47" s="12">
        <f>E47*0.00001</f>
        <v>0.455</v>
      </c>
      <c r="I47" s="12">
        <f>(F47+G47+H47)*0.07</f>
        <v>6.61843</v>
      </c>
      <c r="J47" s="12">
        <f>E47+F47+I47+G47+H47</f>
        <v>45601.16743</v>
      </c>
    </row>
    <row r="48" spans="1:11">
      <c r="A48" s="15"/>
      <c r="B48" s="79">
        <f>(D47-D46)/D46</f>
        <v>-0.380952380952381</v>
      </c>
      <c r="C48" s="17">
        <f>SUM(C46:C47)</f>
        <v>35000</v>
      </c>
      <c r="D48" s="18">
        <f>E48/C48</f>
        <v>13.9</v>
      </c>
      <c r="E48" s="17">
        <f t="shared" ref="E48:J48" si="18">SUM(E46:E47)</f>
        <v>486500</v>
      </c>
      <c r="F48" s="17">
        <f t="shared" si="18"/>
        <v>973</v>
      </c>
      <c r="G48" s="17">
        <f t="shared" si="18"/>
        <v>33.082</v>
      </c>
      <c r="H48" s="17">
        <f t="shared" si="18"/>
        <v>4.865</v>
      </c>
      <c r="I48" s="17">
        <f t="shared" si="18"/>
        <v>70.76629</v>
      </c>
      <c r="J48" s="17">
        <f t="shared" si="18"/>
        <v>487581.71329</v>
      </c>
      <c r="K48" s="7"/>
    </row>
    <row r="49" spans="1:10">
      <c r="A49" s="13">
        <v>45883</v>
      </c>
      <c r="B49" s="9" t="s">
        <v>1</v>
      </c>
      <c r="C49" s="10">
        <v>10000</v>
      </c>
      <c r="D49" s="14">
        <v>8.45</v>
      </c>
      <c r="E49" s="12">
        <f>C49*D49</f>
        <v>84500</v>
      </c>
      <c r="F49" s="12">
        <f>E49*0.002</f>
        <v>169</v>
      </c>
      <c r="G49" s="12">
        <f>E49*0.000068</f>
        <v>5.746</v>
      </c>
      <c r="H49" s="12">
        <f>E49*0.00001</f>
        <v>0.845</v>
      </c>
      <c r="I49" s="12">
        <f>(F49+G49+H49)*0.07</f>
        <v>12.29137</v>
      </c>
      <c r="J49" s="12">
        <f>E49+F49+I49+G49+H49</f>
        <v>84687.88237</v>
      </c>
    </row>
    <row r="50" spans="1:11">
      <c r="A50" s="15"/>
      <c r="B50" s="79">
        <f>(D49-D48)/D48</f>
        <v>-0.392086330935252</v>
      </c>
      <c r="C50" s="17">
        <f>SUM(C48:C49)</f>
        <v>45000</v>
      </c>
      <c r="D50" s="18">
        <f>E50/C50</f>
        <v>12.6888888888889</v>
      </c>
      <c r="E50" s="17">
        <f t="shared" ref="E50:J50" si="19">SUM(E48:E49)</f>
        <v>571000</v>
      </c>
      <c r="F50" s="17">
        <f t="shared" si="19"/>
        <v>1142</v>
      </c>
      <c r="G50" s="17">
        <f t="shared" si="19"/>
        <v>38.828</v>
      </c>
      <c r="H50" s="17">
        <f t="shared" si="19"/>
        <v>5.71</v>
      </c>
      <c r="I50" s="17">
        <f t="shared" si="19"/>
        <v>83.05766</v>
      </c>
      <c r="J50" s="17">
        <f t="shared" si="19"/>
        <v>572269.59566</v>
      </c>
      <c r="K50" s="7"/>
    </row>
    <row r="51" spans="1:10">
      <c r="A51" s="20">
        <v>45883</v>
      </c>
      <c r="B51" s="1" t="s">
        <v>1</v>
      </c>
      <c r="C51" s="21">
        <v>5000</v>
      </c>
      <c r="D51" s="22">
        <v>9.3</v>
      </c>
      <c r="E51" s="23">
        <f>C51*D51</f>
        <v>46500</v>
      </c>
      <c r="F51" s="23">
        <f>E51*0.002</f>
        <v>93</v>
      </c>
      <c r="G51" s="23">
        <f>E51*0.000068</f>
        <v>3.162</v>
      </c>
      <c r="H51" s="23">
        <f>E51*0.00001</f>
        <v>0.465</v>
      </c>
      <c r="I51" s="23">
        <f>(F51+G51+H51)*0.07</f>
        <v>6.76389</v>
      </c>
      <c r="J51" s="23">
        <f>E51+F51+I51+G51+H51</f>
        <v>46603.39089</v>
      </c>
    </row>
    <row r="52" spans="2:11">
      <c r="B52" s="80">
        <f>(D51-D50)/D50</f>
        <v>-0.26707530647986</v>
      </c>
      <c r="C52" s="6">
        <f>SUM(C50:C51)</f>
        <v>50000</v>
      </c>
      <c r="D52" s="25">
        <f>E52/C52</f>
        <v>12.35</v>
      </c>
      <c r="E52" s="6">
        <f t="shared" ref="E52:J52" si="20">SUM(E50:E51)</f>
        <v>617500</v>
      </c>
      <c r="F52" s="6">
        <f t="shared" si="20"/>
        <v>1235</v>
      </c>
      <c r="G52" s="6">
        <f t="shared" si="20"/>
        <v>41.99</v>
      </c>
      <c r="H52" s="6">
        <f t="shared" si="20"/>
        <v>6.175</v>
      </c>
      <c r="I52" s="6">
        <f t="shared" si="20"/>
        <v>89.82155</v>
      </c>
      <c r="J52" s="6">
        <f t="shared" si="20"/>
        <v>618872.98655</v>
      </c>
      <c r="K52" s="7"/>
    </row>
    <row r="54" spans="1:10">
      <c r="A54" s="13">
        <v>43630</v>
      </c>
      <c r="B54" s="9" t="s">
        <v>1</v>
      </c>
      <c r="C54" s="10">
        <v>10000</v>
      </c>
      <c r="D54" s="14">
        <v>16.6</v>
      </c>
      <c r="E54" s="12">
        <f>C54*D54</f>
        <v>166000</v>
      </c>
      <c r="F54" s="12">
        <f>E54*0.002</f>
        <v>332</v>
      </c>
      <c r="G54" s="12">
        <f>E54*0.000068</f>
        <v>11.288</v>
      </c>
      <c r="H54" s="12">
        <f>E54*0.00001</f>
        <v>1.66</v>
      </c>
      <c r="I54" s="12">
        <f>(F54+G54+H54)*0.07</f>
        <v>24.14636</v>
      </c>
      <c r="J54" s="12">
        <f>E54+F54+I54+G54+H54</f>
        <v>166369.09436</v>
      </c>
    </row>
    <row r="55" s="1" customFormat="1" spans="1:10">
      <c r="A55" s="13">
        <v>43643</v>
      </c>
      <c r="B55" s="9" t="s">
        <v>3</v>
      </c>
      <c r="C55" s="10">
        <f>C54</f>
        <v>10000</v>
      </c>
      <c r="D55" s="31">
        <v>16.7</v>
      </c>
      <c r="E55" s="11">
        <f>C55*D55</f>
        <v>167000</v>
      </c>
      <c r="F55" s="32">
        <f>E55*0.002</f>
        <v>334</v>
      </c>
      <c r="G55" s="31">
        <f>E55*0.000068</f>
        <v>11.356</v>
      </c>
      <c r="H55" s="31">
        <f>E55*0.00001</f>
        <v>1.67</v>
      </c>
      <c r="I55" s="31">
        <f>(F55+G55+H55)*0.07</f>
        <v>24.29182</v>
      </c>
      <c r="J55" s="31">
        <f>E55-F55-G55-H55-I55</f>
        <v>166628.68218</v>
      </c>
    </row>
    <row r="56" s="51" customFormat="1" ht="18.6" spans="1:11">
      <c r="A56" s="13" t="s">
        <v>4</v>
      </c>
      <c r="B56" s="9"/>
      <c r="C56" s="10"/>
      <c r="D56" s="11"/>
      <c r="E56" s="12">
        <f>E55-E54</f>
        <v>1000</v>
      </c>
      <c r="F56" s="12"/>
      <c r="G56" s="12"/>
      <c r="H56" s="12"/>
      <c r="I56" s="12"/>
      <c r="J56" s="12">
        <f>J55-J54</f>
        <v>259.587819999957</v>
      </c>
      <c r="K56" s="47"/>
    </row>
    <row r="57" spans="1:10">
      <c r="A57" s="13">
        <v>45100</v>
      </c>
      <c r="B57" s="9" t="s">
        <v>1</v>
      </c>
      <c r="C57" s="10">
        <v>2000</v>
      </c>
      <c r="D57" s="14">
        <v>10.6</v>
      </c>
      <c r="E57" s="12">
        <f>C57*D57</f>
        <v>21200</v>
      </c>
      <c r="F57" s="12">
        <f>E57*0.002</f>
        <v>42.4</v>
      </c>
      <c r="G57" s="12">
        <f>E57*0.000068</f>
        <v>1.4416</v>
      </c>
      <c r="H57" s="12">
        <f>E57*0.00001</f>
        <v>0.212</v>
      </c>
      <c r="I57" s="12">
        <f>(F57+G57+H57)*0.07</f>
        <v>3.083752</v>
      </c>
      <c r="J57" s="12">
        <f>E57+F57+I57+G57+H57</f>
        <v>21247.137352</v>
      </c>
    </row>
    <row r="58" s="1" customFormat="1" spans="1:10">
      <c r="A58" s="13">
        <v>45106</v>
      </c>
      <c r="B58" s="9" t="s">
        <v>3</v>
      </c>
      <c r="C58" s="10">
        <f>C57</f>
        <v>2000</v>
      </c>
      <c r="D58" s="31">
        <v>11.2</v>
      </c>
      <c r="E58" s="11">
        <f>C58*D58</f>
        <v>22400</v>
      </c>
      <c r="F58" s="32">
        <f>E58*0.002</f>
        <v>44.8</v>
      </c>
      <c r="G58" s="31">
        <f>E58*0.000068</f>
        <v>1.5232</v>
      </c>
      <c r="H58" s="31">
        <f>E58*0.00001</f>
        <v>0.224</v>
      </c>
      <c r="I58" s="31">
        <f>(F58+G58+H58)*0.07</f>
        <v>3.258304</v>
      </c>
      <c r="J58" s="31">
        <f>E58-F58-G58-H58-I58</f>
        <v>22350.194496</v>
      </c>
    </row>
    <row r="59" s="51" customFormat="1" ht="18.6" spans="1:11">
      <c r="A59" s="13" t="s">
        <v>4</v>
      </c>
      <c r="B59" s="9"/>
      <c r="C59" s="10"/>
      <c r="D59" s="11"/>
      <c r="E59" s="12">
        <f>E58-E57</f>
        <v>1200</v>
      </c>
      <c r="F59" s="12"/>
      <c r="G59" s="12"/>
      <c r="H59" s="12"/>
      <c r="I59" s="12"/>
      <c r="J59" s="12">
        <f>J58-J57</f>
        <v>1103.05714400001</v>
      </c>
      <c r="K59" s="47"/>
    </row>
    <row r="60" spans="1:10">
      <c r="A60" s="13">
        <v>45330</v>
      </c>
      <c r="B60" s="9" t="s">
        <v>1</v>
      </c>
      <c r="C60" s="10">
        <v>3000</v>
      </c>
      <c r="D60" s="14">
        <v>7.95</v>
      </c>
      <c r="E60" s="12">
        <f>C60*D60</f>
        <v>23850</v>
      </c>
      <c r="F60" s="12">
        <f>E60*0.002</f>
        <v>47.7</v>
      </c>
      <c r="G60" s="12">
        <f>E60*0.000068</f>
        <v>1.6218</v>
      </c>
      <c r="H60" s="12">
        <f>E60*0.00001</f>
        <v>0.2385</v>
      </c>
      <c r="I60" s="12">
        <f>(F60+G60+H60)*0.07</f>
        <v>3.469221</v>
      </c>
      <c r="J60" s="12">
        <f>E60+F60+I60+G60+H60</f>
        <v>23903.029521</v>
      </c>
    </row>
    <row r="61" s="1" customFormat="1" spans="1:10">
      <c r="A61" s="13">
        <v>45355</v>
      </c>
      <c r="B61" s="9" t="s">
        <v>3</v>
      </c>
      <c r="C61" s="10">
        <f>C60</f>
        <v>3000</v>
      </c>
      <c r="D61" s="31">
        <v>7.9</v>
      </c>
      <c r="E61" s="11">
        <f>C61*D61</f>
        <v>23700</v>
      </c>
      <c r="F61" s="32">
        <f>E61*0.002</f>
        <v>47.4</v>
      </c>
      <c r="G61" s="31">
        <f>E61*0.000068</f>
        <v>1.6116</v>
      </c>
      <c r="H61" s="31">
        <f>E61*0.00001</f>
        <v>0.237</v>
      </c>
      <c r="I61" s="31">
        <f>(F61+G61+H61)*0.07</f>
        <v>3.447402</v>
      </c>
      <c r="J61" s="31">
        <f>E61-F61-G61-H61-I61</f>
        <v>23647.303998</v>
      </c>
    </row>
    <row r="62" s="51" customFormat="1" ht="18.6" spans="1:11">
      <c r="A62" s="13" t="s">
        <v>4</v>
      </c>
      <c r="B62" s="16">
        <f>J62/J60</f>
        <v>-0.0106984565607191</v>
      </c>
      <c r="C62" s="10"/>
      <c r="D62" s="11"/>
      <c r="E62" s="12">
        <f>E61-E60</f>
        <v>-150</v>
      </c>
      <c r="F62" s="12"/>
      <c r="G62" s="12"/>
      <c r="H62" s="12"/>
      <c r="I62" s="12"/>
      <c r="J62" s="12">
        <f>J61-J60</f>
        <v>-255.725523000005</v>
      </c>
      <c r="K62" s="47"/>
    </row>
    <row r="63" spans="1:10">
      <c r="A63" s="13">
        <v>45756</v>
      </c>
      <c r="B63" s="9" t="s">
        <v>1</v>
      </c>
      <c r="C63" s="10">
        <v>5000</v>
      </c>
      <c r="D63" s="14">
        <v>7.5</v>
      </c>
      <c r="E63" s="12">
        <f>C63*D63</f>
        <v>37500</v>
      </c>
      <c r="F63" s="12">
        <f>E63*0.002</f>
        <v>75</v>
      </c>
      <c r="G63" s="12">
        <f>E63*0.000068</f>
        <v>2.55</v>
      </c>
      <c r="H63" s="12">
        <f>E63*0.00001</f>
        <v>0.375</v>
      </c>
      <c r="I63" s="12">
        <f>(F63+G63+H63)*0.07</f>
        <v>5.45475</v>
      </c>
      <c r="J63" s="12">
        <f>E63+F63+I63+G63+H63</f>
        <v>37583.37975</v>
      </c>
    </row>
    <row r="64" s="1" customFormat="1" spans="1:10">
      <c r="A64" s="13">
        <v>45903</v>
      </c>
      <c r="B64" s="9" t="s">
        <v>3</v>
      </c>
      <c r="C64" s="10">
        <f>C63</f>
        <v>5000</v>
      </c>
      <c r="D64" s="31">
        <v>8.3</v>
      </c>
      <c r="E64" s="11">
        <f>C64*D64</f>
        <v>41500</v>
      </c>
      <c r="F64" s="32">
        <f>E64*0.002</f>
        <v>83</v>
      </c>
      <c r="G64" s="31">
        <f>E64*0.000068</f>
        <v>2.822</v>
      </c>
      <c r="H64" s="31">
        <f>E64*0.00001</f>
        <v>0.415</v>
      </c>
      <c r="I64" s="31">
        <f>(F64+G64+H64)*0.07</f>
        <v>6.03659</v>
      </c>
      <c r="J64" s="31">
        <f>E64-F64-G64-H64-I64</f>
        <v>41407.72641</v>
      </c>
    </row>
    <row r="65" s="51" customFormat="1" ht="18.6" spans="1:11">
      <c r="A65" s="13" t="s">
        <v>4</v>
      </c>
      <c r="B65" s="16">
        <f>J65/J63</f>
        <v>0.101756326478328</v>
      </c>
      <c r="C65" s="10"/>
      <c r="D65" s="11"/>
      <c r="E65" s="12">
        <f>E64-E63</f>
        <v>4000</v>
      </c>
      <c r="F65" s="12"/>
      <c r="G65" s="12"/>
      <c r="H65" s="12"/>
      <c r="I65" s="12"/>
      <c r="J65" s="12">
        <f>J64-J63</f>
        <v>3824.34666</v>
      </c>
      <c r="K65" s="47"/>
    </row>
  </sheetData>
  <sheetProtection selectLockedCells="1" selectUnlockedCells="1"/>
  <pageMargins left="0.7" right="0.7" top="0.75" bottom="0.75" header="0.511805555555556" footer="0.511805555555556"/>
  <pageSetup paperSize="9" firstPageNumber="0" orientation="portrait" useFirstPageNumber="1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9"/>
  <sheetViews>
    <sheetView topLeftCell="A14" workbookViewId="0">
      <selection activeCell="J27" sqref="J27"/>
    </sheetView>
  </sheetViews>
  <sheetFormatPr defaultColWidth="8.88888888888889" defaultRowHeight="13.8"/>
  <cols>
    <col min="1" max="1" width="10.1111111111111" style="40" customWidth="1"/>
    <col min="2" max="2" width="7.44444444444444" style="5" customWidth="1"/>
    <col min="3" max="3" width="6.66666666666667" style="6" customWidth="1"/>
    <col min="4" max="4" width="7.66666666666667" style="25" customWidth="1"/>
    <col min="5" max="5" width="11.1111111111111" style="5" customWidth="1"/>
    <col min="6" max="6" width="10" style="5" customWidth="1"/>
    <col min="7" max="7" width="6.66666666666667" style="5" customWidth="1"/>
    <col min="8" max="8" width="5.77777777777778" style="5" customWidth="1"/>
    <col min="9" max="9" width="9" style="5" customWidth="1"/>
    <col min="10" max="10" width="11.1111111111111" style="5" customWidth="1"/>
    <col min="11" max="16384" width="8.88888888888889" style="5"/>
  </cols>
  <sheetData>
    <row r="1" spans="2:2">
      <c r="B1" s="40" t="s">
        <v>21</v>
      </c>
    </row>
    <row r="2" s="39" customFormat="1" ht="15.6" spans="1:10">
      <c r="A2" s="26">
        <v>44797</v>
      </c>
      <c r="B2" s="9" t="s">
        <v>1</v>
      </c>
      <c r="C2" s="10">
        <v>10000</v>
      </c>
      <c r="D2" s="14">
        <v>9.15</v>
      </c>
      <c r="E2" s="12">
        <f>C2*D2</f>
        <v>91500</v>
      </c>
      <c r="F2" s="12">
        <f>E2*0.002</f>
        <v>183</v>
      </c>
      <c r="G2" s="12">
        <f>E2*0.00006</f>
        <v>5.49</v>
      </c>
      <c r="H2" s="12">
        <f>E2*0.00001</f>
        <v>0.915</v>
      </c>
      <c r="I2" s="12">
        <f>(F2+G2+H2)*0.07</f>
        <v>13.25835</v>
      </c>
      <c r="J2" s="12">
        <f>E2+F2+I2+G2+H2</f>
        <v>91702.66335</v>
      </c>
    </row>
    <row r="3" spans="1:10">
      <c r="A3" s="13">
        <v>44860</v>
      </c>
      <c r="B3" s="9" t="s">
        <v>1</v>
      </c>
      <c r="C3" s="10">
        <v>10000</v>
      </c>
      <c r="D3" s="11">
        <v>8.65</v>
      </c>
      <c r="E3" s="12">
        <f>C3*D3</f>
        <v>86500</v>
      </c>
      <c r="F3" s="12">
        <f>E3*0.002</f>
        <v>173</v>
      </c>
      <c r="G3" s="12">
        <f>E3*0.000068</f>
        <v>5.882</v>
      </c>
      <c r="H3" s="12">
        <f>E3*0.00001</f>
        <v>0.865</v>
      </c>
      <c r="I3" s="12">
        <f>(F3+G3+H3)*0.07</f>
        <v>12.58229</v>
      </c>
      <c r="J3" s="12">
        <f>E3+F3+I3+G3+H3</f>
        <v>86692.32929</v>
      </c>
    </row>
    <row r="4" spans="1:12">
      <c r="A4" s="15"/>
      <c r="B4" s="16">
        <f>(D3-D2)/D2</f>
        <v>-0.0546448087431694</v>
      </c>
      <c r="C4" s="17">
        <f>SUM(C2:C3)</f>
        <v>20000</v>
      </c>
      <c r="D4" s="52">
        <f>E4/C4</f>
        <v>8.9</v>
      </c>
      <c r="E4" s="17">
        <f t="shared" ref="E4:J4" si="0">SUM(E2:E3)</f>
        <v>178000</v>
      </c>
      <c r="F4" s="17">
        <f t="shared" si="0"/>
        <v>356</v>
      </c>
      <c r="G4" s="17">
        <f t="shared" si="0"/>
        <v>11.372</v>
      </c>
      <c r="H4" s="17">
        <f t="shared" si="0"/>
        <v>1.78</v>
      </c>
      <c r="I4" s="17">
        <f t="shared" si="0"/>
        <v>25.84064</v>
      </c>
      <c r="J4" s="17">
        <f t="shared" si="0"/>
        <v>178394.99264</v>
      </c>
      <c r="K4" s="50"/>
      <c r="L4" s="7"/>
    </row>
    <row r="5" spans="1:10">
      <c r="A5" s="13">
        <v>44943</v>
      </c>
      <c r="B5" s="9" t="s">
        <v>1</v>
      </c>
      <c r="C5" s="10">
        <v>10000</v>
      </c>
      <c r="D5" s="11">
        <v>8.9</v>
      </c>
      <c r="E5" s="12">
        <f>C5*D5</f>
        <v>89000</v>
      </c>
      <c r="F5" s="12">
        <f>E5*0.002</f>
        <v>178</v>
      </c>
      <c r="G5" s="12">
        <f>E5*0.000068</f>
        <v>6.052</v>
      </c>
      <c r="H5" s="12">
        <f>E5*0.00001</f>
        <v>0.89</v>
      </c>
      <c r="I5" s="12">
        <f>(F5+G5+H5)*0.07</f>
        <v>12.94594</v>
      </c>
      <c r="J5" s="12">
        <f>E5+F5+I5+G5+H5</f>
        <v>89197.88794</v>
      </c>
    </row>
    <row r="6" spans="1:12">
      <c r="A6" s="15"/>
      <c r="B6" s="16">
        <f>(D5-D4)/D4</f>
        <v>0</v>
      </c>
      <c r="C6" s="17">
        <f>SUM(C4:C5)</f>
        <v>30000</v>
      </c>
      <c r="D6" s="52">
        <f>E6/C6</f>
        <v>8.9</v>
      </c>
      <c r="E6" s="17">
        <f t="shared" ref="E6:J6" si="1">SUM(E4:E5)</f>
        <v>267000</v>
      </c>
      <c r="F6" s="17">
        <f t="shared" si="1"/>
        <v>534</v>
      </c>
      <c r="G6" s="17">
        <f t="shared" si="1"/>
        <v>17.424</v>
      </c>
      <c r="H6" s="17">
        <f t="shared" si="1"/>
        <v>2.67</v>
      </c>
      <c r="I6" s="17">
        <f t="shared" si="1"/>
        <v>38.78658</v>
      </c>
      <c r="J6" s="17">
        <f t="shared" si="1"/>
        <v>267592.88058</v>
      </c>
      <c r="K6" s="50"/>
      <c r="L6" s="7"/>
    </row>
    <row r="7" spans="1:10">
      <c r="A7" s="13">
        <v>44944</v>
      </c>
      <c r="B7" s="9" t="s">
        <v>1</v>
      </c>
      <c r="C7" s="10">
        <v>10000</v>
      </c>
      <c r="D7" s="11">
        <v>8.9</v>
      </c>
      <c r="E7" s="12">
        <f>C7*D7</f>
        <v>89000</v>
      </c>
      <c r="F7" s="12">
        <f>E7*0.002</f>
        <v>178</v>
      </c>
      <c r="G7" s="12">
        <f>E7*0.000068</f>
        <v>6.052</v>
      </c>
      <c r="H7" s="12">
        <f>E7*0.00001</f>
        <v>0.89</v>
      </c>
      <c r="I7" s="12">
        <f>(F7+G7+H7)*0.07</f>
        <v>12.94594</v>
      </c>
      <c r="J7" s="12">
        <f>E7+F7+I7+G7+H7</f>
        <v>89197.88794</v>
      </c>
    </row>
    <row r="8" spans="1:12">
      <c r="A8" s="15"/>
      <c r="B8" s="16">
        <f>(D7-D6)/D6</f>
        <v>0</v>
      </c>
      <c r="C8" s="17">
        <f>SUM(C6:C7)</f>
        <v>40000</v>
      </c>
      <c r="D8" s="52">
        <f>E8/C8</f>
        <v>8.9</v>
      </c>
      <c r="E8" s="17">
        <f t="shared" ref="E8:J8" si="2">SUM(E6:E7)</f>
        <v>356000</v>
      </c>
      <c r="F8" s="17">
        <f t="shared" si="2"/>
        <v>712</v>
      </c>
      <c r="G8" s="17">
        <f t="shared" si="2"/>
        <v>23.476</v>
      </c>
      <c r="H8" s="17">
        <f t="shared" si="2"/>
        <v>3.56</v>
      </c>
      <c r="I8" s="17">
        <f t="shared" si="2"/>
        <v>51.73252</v>
      </c>
      <c r="J8" s="17">
        <f t="shared" si="2"/>
        <v>356790.76852</v>
      </c>
      <c r="K8" s="50"/>
      <c r="L8" s="7"/>
    </row>
    <row r="9" spans="1:10">
      <c r="A9" s="13">
        <v>44944</v>
      </c>
      <c r="B9" s="9" t="s">
        <v>1</v>
      </c>
      <c r="C9" s="10">
        <v>10000</v>
      </c>
      <c r="D9" s="11">
        <v>8.9</v>
      </c>
      <c r="E9" s="12">
        <f>C9*D9</f>
        <v>89000</v>
      </c>
      <c r="F9" s="12">
        <f>E9*0.002</f>
        <v>178</v>
      </c>
      <c r="G9" s="12">
        <f>E9*0.000068</f>
        <v>6.052</v>
      </c>
      <c r="H9" s="12">
        <f>E9*0.00001</f>
        <v>0.89</v>
      </c>
      <c r="I9" s="12">
        <f>(F9+G9+H9)*0.07</f>
        <v>12.94594</v>
      </c>
      <c r="J9" s="12">
        <f>E9+F9+I9+G9+H9</f>
        <v>89197.88794</v>
      </c>
    </row>
    <row r="10" s="3" customFormat="1" spans="1:10">
      <c r="A10" s="26">
        <v>45012</v>
      </c>
      <c r="B10" s="9" t="s">
        <v>3</v>
      </c>
      <c r="C10" s="10">
        <f>C9</f>
        <v>10000</v>
      </c>
      <c r="D10" s="31">
        <v>9.4</v>
      </c>
      <c r="E10" s="11">
        <f>C10*D10</f>
        <v>94000</v>
      </c>
      <c r="F10" s="32">
        <f>E10*0.002</f>
        <v>188</v>
      </c>
      <c r="G10" s="31">
        <f>E10*0.000068</f>
        <v>6.392</v>
      </c>
      <c r="H10" s="31">
        <f>E10*0.00001</f>
        <v>0.94</v>
      </c>
      <c r="I10" s="31">
        <f>(F10+G10+H10)*0.07</f>
        <v>13.67324</v>
      </c>
      <c r="J10" s="31">
        <f>E10-F10-G10-H10-I10</f>
        <v>93790.99476</v>
      </c>
    </row>
    <row r="11" s="3" customFormat="1" spans="1:10">
      <c r="A11" s="26" t="s">
        <v>4</v>
      </c>
      <c r="B11" s="16">
        <f>(D10-D9)/D9</f>
        <v>0.0561797752808989</v>
      </c>
      <c r="C11" s="10"/>
      <c r="D11" s="11"/>
      <c r="E11" s="12">
        <f>E10-E9</f>
        <v>5000</v>
      </c>
      <c r="F11" s="12"/>
      <c r="G11" s="12"/>
      <c r="H11" s="12"/>
      <c r="I11" s="12"/>
      <c r="J11" s="12">
        <f>J10-J9</f>
        <v>4593.10681999999</v>
      </c>
    </row>
    <row r="12" s="3" customFormat="1" spans="1:10">
      <c r="A12" s="26">
        <v>45012</v>
      </c>
      <c r="B12" s="16" t="s">
        <v>2</v>
      </c>
      <c r="C12" s="10">
        <v>30000</v>
      </c>
      <c r="D12" s="11">
        <v>8.9</v>
      </c>
      <c r="E12" s="12">
        <f>C12*D12</f>
        <v>267000</v>
      </c>
      <c r="F12" s="12">
        <f>E12*0.002</f>
        <v>534</v>
      </c>
      <c r="G12" s="12">
        <f>E12*0.000068</f>
        <v>18.156</v>
      </c>
      <c r="H12" s="12">
        <f>E12*0.00001</f>
        <v>2.67</v>
      </c>
      <c r="I12" s="12">
        <f>(F12+G12+H12)*0.07</f>
        <v>38.83782</v>
      </c>
      <c r="J12" s="12">
        <f>E12+F12+I12+G12+H12</f>
        <v>267593.66382</v>
      </c>
    </row>
    <row r="13" spans="1:10">
      <c r="A13" s="13">
        <v>45133</v>
      </c>
      <c r="B13" s="9" t="s">
        <v>1</v>
      </c>
      <c r="C13" s="10">
        <v>3000</v>
      </c>
      <c r="D13" s="11">
        <v>8</v>
      </c>
      <c r="E13" s="12">
        <f>C13*D13</f>
        <v>24000</v>
      </c>
      <c r="F13" s="12">
        <f>E13*0.002</f>
        <v>48</v>
      </c>
      <c r="G13" s="12">
        <f>E13*0.000068</f>
        <v>1.632</v>
      </c>
      <c r="H13" s="12">
        <f>E13*0.00001</f>
        <v>0.24</v>
      </c>
      <c r="I13" s="12">
        <f>(F13+G13+H13)*0.07</f>
        <v>3.49104</v>
      </c>
      <c r="J13" s="12">
        <f>E13+F13+I13+G13+H13</f>
        <v>24053.36304</v>
      </c>
    </row>
    <row r="14" spans="1:12">
      <c r="A14" s="15"/>
      <c r="B14" s="16">
        <f>(D13-D12)/D12</f>
        <v>-0.101123595505618</v>
      </c>
      <c r="C14" s="17">
        <f>SUM(C12:C13)</f>
        <v>33000</v>
      </c>
      <c r="D14" s="52">
        <f>E14/C14</f>
        <v>8.81818181818182</v>
      </c>
      <c r="E14" s="17">
        <f t="shared" ref="E14:J14" si="3">SUM(E12:E13)</f>
        <v>291000</v>
      </c>
      <c r="F14" s="17">
        <f t="shared" si="3"/>
        <v>582</v>
      </c>
      <c r="G14" s="17">
        <f t="shared" si="3"/>
        <v>19.788</v>
      </c>
      <c r="H14" s="17">
        <f t="shared" si="3"/>
        <v>2.91</v>
      </c>
      <c r="I14" s="17">
        <f t="shared" si="3"/>
        <v>42.32886</v>
      </c>
      <c r="J14" s="17">
        <f t="shared" si="3"/>
        <v>291647.02686</v>
      </c>
      <c r="K14" s="50"/>
      <c r="L14" s="7"/>
    </row>
    <row r="15" spans="1:10">
      <c r="A15" s="13">
        <v>45156</v>
      </c>
      <c r="B15" s="9" t="s">
        <v>1</v>
      </c>
      <c r="C15" s="10">
        <v>3000</v>
      </c>
      <c r="D15" s="11">
        <v>7.3</v>
      </c>
      <c r="E15" s="12">
        <f>C15*D15</f>
        <v>21900</v>
      </c>
      <c r="F15" s="12">
        <f>E15*0.002</f>
        <v>43.8</v>
      </c>
      <c r="G15" s="12">
        <f>E15*0.000068</f>
        <v>1.4892</v>
      </c>
      <c r="H15" s="12">
        <f>E15*0.00001</f>
        <v>0.219</v>
      </c>
      <c r="I15" s="12">
        <f>(F15+G15+H15)*0.07</f>
        <v>3.185574</v>
      </c>
      <c r="J15" s="12">
        <f>E15+F15+I15+G15+H15</f>
        <v>21948.693774</v>
      </c>
    </row>
    <row r="16" spans="1:12">
      <c r="A16" s="15"/>
      <c r="B16" s="16">
        <f>(D15-D14)/D14</f>
        <v>-0.172164948453608</v>
      </c>
      <c r="C16" s="17">
        <f>SUM(C14:C15)</f>
        <v>36000</v>
      </c>
      <c r="D16" s="52">
        <f>E16/C16</f>
        <v>8.69166666666667</v>
      </c>
      <c r="E16" s="17">
        <f t="shared" ref="E16:J16" si="4">SUM(E14:E15)</f>
        <v>312900</v>
      </c>
      <c r="F16" s="17">
        <f t="shared" si="4"/>
        <v>625.8</v>
      </c>
      <c r="G16" s="17">
        <f t="shared" si="4"/>
        <v>21.2772</v>
      </c>
      <c r="H16" s="17">
        <f t="shared" si="4"/>
        <v>3.129</v>
      </c>
      <c r="I16" s="17">
        <f t="shared" si="4"/>
        <v>45.514434</v>
      </c>
      <c r="J16" s="17">
        <f t="shared" si="4"/>
        <v>313595.720634</v>
      </c>
      <c r="K16" s="50"/>
      <c r="L16" s="7"/>
    </row>
    <row r="17" spans="1:10">
      <c r="A17" s="13">
        <v>45163</v>
      </c>
      <c r="B17" s="9" t="s">
        <v>1</v>
      </c>
      <c r="C17" s="10">
        <v>6000</v>
      </c>
      <c r="D17" s="11">
        <v>7.35</v>
      </c>
      <c r="E17" s="12">
        <f>C17*D17</f>
        <v>44100</v>
      </c>
      <c r="F17" s="12">
        <f>E17*0.002</f>
        <v>88.2</v>
      </c>
      <c r="G17" s="12">
        <f>E17*0.000068</f>
        <v>2.9988</v>
      </c>
      <c r="H17" s="12">
        <f>E17*0.00001</f>
        <v>0.441</v>
      </c>
      <c r="I17" s="12">
        <f>(F17+G17+H17)*0.07</f>
        <v>6.414786</v>
      </c>
      <c r="J17" s="12">
        <f>E17+F17+I17+G17+H17</f>
        <v>44198.054586</v>
      </c>
    </row>
    <row r="18" spans="1:12">
      <c r="A18" s="15"/>
      <c r="B18" s="16">
        <f>(D17-D16)/D16</f>
        <v>-0.154362416107383</v>
      </c>
      <c r="C18" s="17">
        <f>SUM(C16:C17)</f>
        <v>42000</v>
      </c>
      <c r="D18" s="52">
        <f>E18/C18</f>
        <v>8.5</v>
      </c>
      <c r="E18" s="17">
        <f t="shared" ref="E18:J18" si="5">SUM(E16:E17)</f>
        <v>357000</v>
      </c>
      <c r="F18" s="17">
        <f t="shared" si="5"/>
        <v>714</v>
      </c>
      <c r="G18" s="17">
        <f t="shared" si="5"/>
        <v>24.276</v>
      </c>
      <c r="H18" s="17">
        <f t="shared" si="5"/>
        <v>3.57</v>
      </c>
      <c r="I18" s="17">
        <f t="shared" si="5"/>
        <v>51.92922</v>
      </c>
      <c r="J18" s="17">
        <f t="shared" si="5"/>
        <v>357793.77522</v>
      </c>
      <c r="K18" s="50"/>
      <c r="L18" s="7"/>
    </row>
    <row r="19" spans="1:10">
      <c r="A19" s="13">
        <v>45055</v>
      </c>
      <c r="B19" s="9" t="s">
        <v>1</v>
      </c>
      <c r="C19" s="10">
        <v>6000</v>
      </c>
      <c r="D19" s="11">
        <v>6.8</v>
      </c>
      <c r="E19" s="12">
        <f>C19*D19</f>
        <v>40800</v>
      </c>
      <c r="F19" s="12">
        <f>E19*0.002</f>
        <v>81.6</v>
      </c>
      <c r="G19" s="12">
        <f>E19*0.000068</f>
        <v>2.7744</v>
      </c>
      <c r="H19" s="12">
        <f>E19*0.00001</f>
        <v>0.408</v>
      </c>
      <c r="I19" s="12">
        <f>(F19+G19+H19)*0.07</f>
        <v>5.934768</v>
      </c>
      <c r="J19" s="12">
        <f>E19+F19+I19+G19+H19</f>
        <v>40890.717168</v>
      </c>
    </row>
    <row r="20" hidden="1" spans="1:12">
      <c r="A20" s="15"/>
      <c r="B20" s="16">
        <f>(D19-D18)/D18</f>
        <v>-0.2</v>
      </c>
      <c r="C20" s="17">
        <f>SUM(C18:C19)</f>
        <v>48000</v>
      </c>
      <c r="D20" s="52">
        <f>E20/C20</f>
        <v>8.2875</v>
      </c>
      <c r="E20" s="17">
        <f t="shared" ref="E20:J20" si="6">SUM(E18:E19)</f>
        <v>397800</v>
      </c>
      <c r="F20" s="17">
        <f t="shared" si="6"/>
        <v>795.6</v>
      </c>
      <c r="G20" s="17">
        <f t="shared" si="6"/>
        <v>27.0504</v>
      </c>
      <c r="H20" s="17">
        <f t="shared" si="6"/>
        <v>3.978</v>
      </c>
      <c r="I20" s="17">
        <f t="shared" si="6"/>
        <v>57.863988</v>
      </c>
      <c r="J20" s="17">
        <f t="shared" si="6"/>
        <v>398684.492388</v>
      </c>
      <c r="K20" s="50"/>
      <c r="L20" s="7"/>
    </row>
    <row r="21" spans="1:10">
      <c r="A21" s="13">
        <v>45176</v>
      </c>
      <c r="B21" s="9" t="s">
        <v>1</v>
      </c>
      <c r="C21" s="10">
        <v>3000</v>
      </c>
      <c r="D21" s="11">
        <v>6.6</v>
      </c>
      <c r="E21" s="12">
        <f>C21*D21</f>
        <v>19800</v>
      </c>
      <c r="F21" s="12">
        <f>E21*0.002</f>
        <v>39.6</v>
      </c>
      <c r="G21" s="12">
        <f>E21*0.000068</f>
        <v>1.3464</v>
      </c>
      <c r="H21" s="12">
        <f>E21*0.00001</f>
        <v>0.198</v>
      </c>
      <c r="I21" s="12">
        <f>(F21+G21+H21)*0.07</f>
        <v>2.880108</v>
      </c>
      <c r="J21" s="12">
        <f>E21+F21+I21+G21+H21</f>
        <v>19844.024508</v>
      </c>
    </row>
    <row r="22" spans="1:12">
      <c r="A22" s="15"/>
      <c r="B22" s="16">
        <f>(D21-D20)/D20</f>
        <v>-0.203619909502262</v>
      </c>
      <c r="C22" s="17">
        <f>SUM(C20:C21)</f>
        <v>51000</v>
      </c>
      <c r="D22" s="52">
        <f>E22/C22</f>
        <v>8.18823529411765</v>
      </c>
      <c r="E22" s="17">
        <f t="shared" ref="E22:J22" si="7">SUM(E20:E21)</f>
        <v>417600</v>
      </c>
      <c r="F22" s="17">
        <f t="shared" si="7"/>
        <v>835.2</v>
      </c>
      <c r="G22" s="17">
        <f t="shared" si="7"/>
        <v>28.3968</v>
      </c>
      <c r="H22" s="17">
        <f t="shared" si="7"/>
        <v>4.176</v>
      </c>
      <c r="I22" s="17">
        <f t="shared" si="7"/>
        <v>60.744096</v>
      </c>
      <c r="J22" s="17">
        <f t="shared" si="7"/>
        <v>418528.516896</v>
      </c>
      <c r="K22" s="50"/>
      <c r="L22" s="7"/>
    </row>
    <row r="23" spans="1:10">
      <c r="A23" s="13">
        <v>45180</v>
      </c>
      <c r="B23" s="9" t="s">
        <v>1</v>
      </c>
      <c r="C23" s="10">
        <v>3000</v>
      </c>
      <c r="D23" s="11">
        <v>6.6</v>
      </c>
      <c r="E23" s="12">
        <f>C23*D23</f>
        <v>19800</v>
      </c>
      <c r="F23" s="12">
        <f>E23*0.002</f>
        <v>39.6</v>
      </c>
      <c r="G23" s="12">
        <f>E23*0.000068</f>
        <v>1.3464</v>
      </c>
      <c r="H23" s="12">
        <f>E23*0.00001</f>
        <v>0.198</v>
      </c>
      <c r="I23" s="12">
        <f>(F23+G23+H23)*0.07</f>
        <v>2.880108</v>
      </c>
      <c r="J23" s="12">
        <f>E23+F23+I23+G23+H23</f>
        <v>19844.024508</v>
      </c>
    </row>
    <row r="24" spans="1:12">
      <c r="A24" s="15"/>
      <c r="B24" s="16">
        <f>(D23-D22)/D22</f>
        <v>-0.193965517241379</v>
      </c>
      <c r="C24" s="17">
        <f>SUM(C22:C23)</f>
        <v>54000</v>
      </c>
      <c r="D24" s="52">
        <f>E24/C24</f>
        <v>8.1</v>
      </c>
      <c r="E24" s="17">
        <f t="shared" ref="E24:J24" si="8">SUM(E22:E23)</f>
        <v>437400</v>
      </c>
      <c r="F24" s="17">
        <f t="shared" si="8"/>
        <v>874.8</v>
      </c>
      <c r="G24" s="17">
        <f t="shared" si="8"/>
        <v>29.7432</v>
      </c>
      <c r="H24" s="17">
        <f t="shared" si="8"/>
        <v>4.374</v>
      </c>
      <c r="I24" s="17">
        <f t="shared" si="8"/>
        <v>63.624204</v>
      </c>
      <c r="J24" s="17">
        <f t="shared" si="8"/>
        <v>438372.541404</v>
      </c>
      <c r="K24" s="50"/>
      <c r="L24" s="7"/>
    </row>
    <row r="25" spans="1:10">
      <c r="A25" s="13">
        <v>45701</v>
      </c>
      <c r="B25" s="9" t="s">
        <v>1</v>
      </c>
      <c r="C25" s="10">
        <v>15000</v>
      </c>
      <c r="D25" s="11">
        <v>6.6</v>
      </c>
      <c r="E25" s="12">
        <f>C25*D25</f>
        <v>99000</v>
      </c>
      <c r="F25" s="12">
        <f>E25*0.002</f>
        <v>198</v>
      </c>
      <c r="G25" s="12">
        <f>E25*0.000068</f>
        <v>6.732</v>
      </c>
      <c r="H25" s="12">
        <f>E25*0.00001</f>
        <v>0.99</v>
      </c>
      <c r="I25" s="12">
        <f>(F25+G25+H25)*0.07</f>
        <v>14.40054</v>
      </c>
      <c r="J25" s="12">
        <f>E25+F25+I25+G25+H25</f>
        <v>99220.12254</v>
      </c>
    </row>
    <row r="26" spans="1:12">
      <c r="A26" s="15"/>
      <c r="B26" s="16">
        <f>(D25-D24)/D24</f>
        <v>-0.185185185185185</v>
      </c>
      <c r="C26" s="17">
        <f>SUM(C24:C25)</f>
        <v>69000</v>
      </c>
      <c r="D26" s="52">
        <f>E26/C26</f>
        <v>7.77391304347826</v>
      </c>
      <c r="E26" s="17">
        <f t="shared" ref="E26:J26" si="9">SUM(E24:E25)</f>
        <v>536400</v>
      </c>
      <c r="F26" s="17">
        <f t="shared" si="9"/>
        <v>1072.8</v>
      </c>
      <c r="G26" s="17">
        <f t="shared" si="9"/>
        <v>36.4752</v>
      </c>
      <c r="H26" s="17">
        <f t="shared" si="9"/>
        <v>5.364</v>
      </c>
      <c r="I26" s="17">
        <f t="shared" si="9"/>
        <v>78.024744</v>
      </c>
      <c r="J26" s="17">
        <f t="shared" si="9"/>
        <v>537592.663944</v>
      </c>
      <c r="K26" s="50"/>
      <c r="L26" s="7"/>
    </row>
    <row r="27" spans="1:10">
      <c r="A27" s="20">
        <v>45191</v>
      </c>
      <c r="B27" s="1" t="s">
        <v>1</v>
      </c>
      <c r="C27" s="21">
        <v>3000</v>
      </c>
      <c r="D27" s="37">
        <v>7.2</v>
      </c>
      <c r="E27" s="23">
        <f>C27*D27</f>
        <v>21600</v>
      </c>
      <c r="F27" s="23">
        <f>E27*0.002</f>
        <v>43.2</v>
      </c>
      <c r="G27" s="23">
        <f>E27*0.000068</f>
        <v>1.4688</v>
      </c>
      <c r="H27" s="23">
        <f>E27*0.00001</f>
        <v>0.216</v>
      </c>
      <c r="I27" s="23">
        <f>(F27+G27+H27)*0.07</f>
        <v>3.141936</v>
      </c>
      <c r="J27" s="23">
        <f>E27+F27+I27+G27+H27</f>
        <v>21648.026736</v>
      </c>
    </row>
    <row r="28" spans="1:12">
      <c r="A28" s="24"/>
      <c r="B28" s="7">
        <f>(D27-D26)/D26</f>
        <v>-0.0738255033557047</v>
      </c>
      <c r="C28" s="6">
        <f>SUM(C26:C27)</f>
        <v>72000</v>
      </c>
      <c r="D28" s="53">
        <f>E28/C28</f>
        <v>7.75</v>
      </c>
      <c r="E28" s="6">
        <f t="shared" ref="E28:J28" si="10">SUM(E26:E27)</f>
        <v>558000</v>
      </c>
      <c r="F28" s="6">
        <f t="shared" si="10"/>
        <v>1116</v>
      </c>
      <c r="G28" s="6">
        <f t="shared" si="10"/>
        <v>37.944</v>
      </c>
      <c r="H28" s="6">
        <f t="shared" si="10"/>
        <v>5.58</v>
      </c>
      <c r="I28" s="6">
        <f t="shared" si="10"/>
        <v>81.16668</v>
      </c>
      <c r="J28" s="6">
        <f t="shared" si="10"/>
        <v>559240.69068</v>
      </c>
      <c r="K28" s="50"/>
      <c r="L28" s="7"/>
    </row>
    <row r="29" s="2" customFormat="1" ht="21" spans="1:14">
      <c r="A29" s="42"/>
      <c r="C29" s="21"/>
      <c r="D29" s="44"/>
      <c r="E29" s="56"/>
      <c r="F29" s="48"/>
      <c r="G29" s="56"/>
      <c r="H29" s="37"/>
      <c r="I29" s="57"/>
      <c r="J29" s="57"/>
      <c r="K29" s="37"/>
      <c r="L29" s="1"/>
      <c r="M29" s="37"/>
      <c r="N29" s="37"/>
    </row>
    <row r="30" spans="1:10">
      <c r="A30" s="13">
        <v>45337</v>
      </c>
      <c r="B30" s="9" t="s">
        <v>1</v>
      </c>
      <c r="C30" s="10">
        <v>6000</v>
      </c>
      <c r="D30" s="11">
        <v>6</v>
      </c>
      <c r="E30" s="12">
        <f>C30*D30</f>
        <v>36000</v>
      </c>
      <c r="F30" s="12">
        <f>E30*0.002</f>
        <v>72</v>
      </c>
      <c r="G30" s="12">
        <f>E30*0.000068</f>
        <v>2.448</v>
      </c>
      <c r="H30" s="12">
        <f>E30*0.00001</f>
        <v>0.36</v>
      </c>
      <c r="I30" s="12">
        <f>(F30+G30+H30)*0.07</f>
        <v>5.23656</v>
      </c>
      <c r="J30" s="12">
        <f>E30+F30+I30+G30+H30</f>
        <v>36080.04456</v>
      </c>
    </row>
    <row r="31" spans="1:10">
      <c r="A31" s="26">
        <v>45554</v>
      </c>
      <c r="B31" s="9" t="s">
        <v>3</v>
      </c>
      <c r="C31" s="10">
        <f>C30</f>
        <v>6000</v>
      </c>
      <c r="D31" s="31">
        <v>6.95</v>
      </c>
      <c r="E31" s="11">
        <f>C31*D31</f>
        <v>41700</v>
      </c>
      <c r="F31" s="32">
        <f>E31*0.002</f>
        <v>83.4</v>
      </c>
      <c r="G31" s="31">
        <f>E31*0.000068</f>
        <v>2.8356</v>
      </c>
      <c r="H31" s="31">
        <f>E31*0.00001</f>
        <v>0.417</v>
      </c>
      <c r="I31" s="31">
        <f>(F31+G31+H31)*0.07</f>
        <v>6.065682</v>
      </c>
      <c r="J31" s="31">
        <f>E31-F31-G31-H31-I31</f>
        <v>41607.281718</v>
      </c>
    </row>
    <row r="32" spans="1:10">
      <c r="A32" s="26" t="s">
        <v>4</v>
      </c>
      <c r="B32" s="16">
        <f>J32/J30</f>
        <v>0.153193745334998</v>
      </c>
      <c r="C32" s="10"/>
      <c r="D32" s="11"/>
      <c r="E32" s="12">
        <f>E31-E30</f>
        <v>5700</v>
      </c>
      <c r="F32" s="12"/>
      <c r="G32" s="12"/>
      <c r="H32" s="12"/>
      <c r="I32" s="12"/>
      <c r="J32" s="12">
        <f>J31-J30</f>
        <v>5527.237158</v>
      </c>
    </row>
    <row r="33" spans="1:10">
      <c r="A33" s="13">
        <v>45191</v>
      </c>
      <c r="B33" s="9" t="s">
        <v>1</v>
      </c>
      <c r="C33" s="10">
        <v>6000</v>
      </c>
      <c r="D33" s="11">
        <v>6.1</v>
      </c>
      <c r="E33" s="12">
        <f>C33*D33</f>
        <v>36600</v>
      </c>
      <c r="F33" s="12">
        <f>E33*0.002</f>
        <v>73.2</v>
      </c>
      <c r="G33" s="12">
        <f>E33*0.000068</f>
        <v>2.4888</v>
      </c>
      <c r="H33" s="12">
        <f>E33*0.00001</f>
        <v>0.366</v>
      </c>
      <c r="I33" s="12">
        <f>(F33+G33+H33)*0.07</f>
        <v>5.323836</v>
      </c>
      <c r="J33" s="12">
        <f>E33+F33+I33+G33+H33</f>
        <v>36681.378636</v>
      </c>
    </row>
    <row r="34" s="71" customFormat="1" spans="1:14">
      <c r="A34" s="26">
        <v>45877</v>
      </c>
      <c r="B34" s="9" t="s">
        <v>3</v>
      </c>
      <c r="C34" s="10">
        <f>C33</f>
        <v>6000</v>
      </c>
      <c r="D34" s="31">
        <v>6.7</v>
      </c>
      <c r="E34" s="11">
        <f>C34*D34</f>
        <v>40200</v>
      </c>
      <c r="F34" s="32">
        <f>E34*0.002</f>
        <v>80.4</v>
      </c>
      <c r="G34" s="31">
        <f>E34*0.000068</f>
        <v>2.7336</v>
      </c>
      <c r="H34" s="31">
        <f>E34*0.00001</f>
        <v>0.402</v>
      </c>
      <c r="I34" s="31">
        <f>(F34+G34+H34)*0.07</f>
        <v>5.847492</v>
      </c>
      <c r="J34" s="31">
        <f>E34-F34-G34-H34-I34</f>
        <v>40110.616908</v>
      </c>
      <c r="K34" s="5"/>
      <c r="L34" s="5"/>
      <c r="M34" s="5"/>
      <c r="N34" s="5"/>
    </row>
    <row r="35" s="1" customFormat="1" spans="1:14">
      <c r="A35" s="26" t="s">
        <v>4</v>
      </c>
      <c r="B35" s="16">
        <f>J35/J33</f>
        <v>0.0934871697715979</v>
      </c>
      <c r="C35" s="10"/>
      <c r="D35" s="11"/>
      <c r="E35" s="12">
        <f>E34-E33</f>
        <v>3600</v>
      </c>
      <c r="F35" s="12"/>
      <c r="G35" s="12"/>
      <c r="H35" s="12"/>
      <c r="I35" s="12"/>
      <c r="J35" s="12">
        <f>J34-J33</f>
        <v>3429.238272</v>
      </c>
      <c r="K35" s="5"/>
      <c r="L35" s="5"/>
      <c r="M35" s="5"/>
      <c r="N35" s="5"/>
    </row>
    <row r="36" s="51" customFormat="1" ht="18.6" spans="1:14">
      <c r="A36" s="20">
        <v>45337</v>
      </c>
      <c r="B36" s="1" t="s">
        <v>1</v>
      </c>
      <c r="C36" s="21">
        <v>6000</v>
      </c>
      <c r="D36" s="37">
        <v>6.25</v>
      </c>
      <c r="E36" s="23">
        <f>C36*D36</f>
        <v>37500</v>
      </c>
      <c r="F36" s="23">
        <f>E36*0.002</f>
        <v>75</v>
      </c>
      <c r="G36" s="23">
        <f>E36*0.000068</f>
        <v>2.55</v>
      </c>
      <c r="H36" s="23">
        <f>E36*0.00001</f>
        <v>0.375</v>
      </c>
      <c r="I36" s="23">
        <f>(F36+G36+H36)*0.07</f>
        <v>5.45475</v>
      </c>
      <c r="J36" s="23">
        <f>E36+F36+I36+G36+H36</f>
        <v>37583.37975</v>
      </c>
      <c r="K36" s="5"/>
      <c r="L36" s="5"/>
      <c r="M36" s="5"/>
      <c r="N36" s="5"/>
    </row>
    <row r="37" spans="1:10">
      <c r="A37" s="42">
        <v>45554</v>
      </c>
      <c r="B37" s="1" t="s">
        <v>3</v>
      </c>
      <c r="C37" s="21">
        <f>C36</f>
        <v>6000</v>
      </c>
      <c r="D37" s="45">
        <v>7</v>
      </c>
      <c r="E37" s="37">
        <f>C37*D37</f>
        <v>42000</v>
      </c>
      <c r="F37" s="46">
        <f>E37*0.002</f>
        <v>84</v>
      </c>
      <c r="G37" s="45">
        <f>E37*0.000068</f>
        <v>2.856</v>
      </c>
      <c r="H37" s="45">
        <f>E37*0.00001</f>
        <v>0.42</v>
      </c>
      <c r="I37" s="45">
        <f>(F37+G37+H37)*0.07</f>
        <v>6.10932</v>
      </c>
      <c r="J37" s="45">
        <f>E37-F37-G37-H37-I37</f>
        <v>41906.61468</v>
      </c>
    </row>
    <row r="38" s="1" customFormat="1" spans="1:14">
      <c r="A38" s="42" t="s">
        <v>4</v>
      </c>
      <c r="B38" s="7">
        <f>J38/J36</f>
        <v>0.115030499086501</v>
      </c>
      <c r="C38" s="21"/>
      <c r="D38" s="37"/>
      <c r="E38" s="23">
        <f>E37-E36</f>
        <v>4500</v>
      </c>
      <c r="F38" s="23"/>
      <c r="G38" s="23"/>
      <c r="H38" s="23"/>
      <c r="I38" s="23"/>
      <c r="J38" s="23">
        <f>J37-J36</f>
        <v>4323.23493</v>
      </c>
      <c r="K38" s="5"/>
      <c r="L38" s="5"/>
      <c r="M38" s="5"/>
      <c r="N38" s="5"/>
    </row>
    <row r="39" s="51" customFormat="1" ht="18.6" spans="1:13">
      <c r="A39" s="61"/>
      <c r="B39" s="35"/>
      <c r="C39" s="10"/>
      <c r="D39" s="11"/>
      <c r="E39" s="12"/>
      <c r="F39" s="12"/>
      <c r="G39" s="12"/>
      <c r="H39" s="12"/>
      <c r="I39" s="12"/>
      <c r="J39" s="12"/>
      <c r="K39" s="48"/>
      <c r="L39" s="47"/>
      <c r="M39" s="47"/>
    </row>
  </sheetData>
  <sheetProtection selectLockedCells="1" selectUnlockedCells="1"/>
  <pageMargins left="0.7" right="0.7" top="0.75" bottom="0.75" header="0.511805555555556" footer="0.511805555555556"/>
  <pageSetup paperSize="9" firstPageNumber="0" orientation="portrait" useFirstPageNumber="1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workbookViewId="0">
      <selection activeCell="D8" sqref="D8"/>
    </sheetView>
  </sheetViews>
  <sheetFormatPr defaultColWidth="8.88888888888889" defaultRowHeight="13.8"/>
  <cols>
    <col min="1" max="1" width="10.1111111111111" style="40" customWidth="1"/>
    <col min="2" max="2" width="7.11111111111111" style="5" customWidth="1"/>
    <col min="3" max="3" width="6.66666666666667" style="6" customWidth="1"/>
    <col min="4" max="4" width="7.66666666666667" style="25" customWidth="1"/>
    <col min="5" max="5" width="11.1111111111111" style="5" customWidth="1"/>
    <col min="6" max="6" width="10" style="5" customWidth="1"/>
    <col min="7" max="7" width="6.66666666666667" style="5" customWidth="1"/>
    <col min="8" max="8" width="5.77777777777778" style="5" customWidth="1"/>
    <col min="9" max="9" width="6.66666666666667" style="5" customWidth="1"/>
    <col min="10" max="10" width="11.1111111111111" style="5" customWidth="1"/>
    <col min="11" max="16384" width="8.88888888888889" style="5"/>
  </cols>
  <sheetData>
    <row r="1" spans="2:2">
      <c r="B1" s="40" t="s">
        <v>22</v>
      </c>
    </row>
    <row r="2" s="39" customFormat="1" ht="15.6" spans="1:10">
      <c r="A2" s="26">
        <v>44797</v>
      </c>
      <c r="B2" s="9" t="s">
        <v>1</v>
      </c>
      <c r="C2" s="10">
        <v>2400</v>
      </c>
      <c r="D2" s="14">
        <v>44</v>
      </c>
      <c r="E2" s="12">
        <f>C2*D2</f>
        <v>105600</v>
      </c>
      <c r="F2" s="12">
        <f>E2*0.002</f>
        <v>211.2</v>
      </c>
      <c r="G2" s="12">
        <f>E2*0.00006</f>
        <v>6.336</v>
      </c>
      <c r="H2" s="12">
        <f>E2*0.00001</f>
        <v>1.056</v>
      </c>
      <c r="I2" s="12">
        <f>(F2+G2+H2)*0.07</f>
        <v>15.30144</v>
      </c>
      <c r="J2" s="12">
        <f>E2+F2+I2+G2+H2</f>
        <v>105833.89344</v>
      </c>
    </row>
    <row r="3" s="1" customFormat="1" spans="1:13">
      <c r="A3" s="8">
        <v>44952</v>
      </c>
      <c r="B3" s="9" t="s">
        <v>1</v>
      </c>
      <c r="C3" s="10">
        <v>2400</v>
      </c>
      <c r="D3" s="11">
        <v>40</v>
      </c>
      <c r="E3" s="12">
        <f>C3*D3</f>
        <v>96000</v>
      </c>
      <c r="F3" s="12">
        <f>E3*0.002</f>
        <v>192</v>
      </c>
      <c r="G3" s="12">
        <f>E3*0.00006</f>
        <v>5.76</v>
      </c>
      <c r="H3" s="12">
        <f>E3*0.00001</f>
        <v>0.96</v>
      </c>
      <c r="I3" s="12">
        <f>(F3+G3+H3)*0.07</f>
        <v>13.9104</v>
      </c>
      <c r="J3" s="12">
        <f>E3+F3+I3+G3+H3</f>
        <v>96212.6304</v>
      </c>
      <c r="K3" s="48"/>
      <c r="L3" s="37"/>
      <c r="M3" s="47"/>
    </row>
    <row r="4" s="2" customFormat="1" ht="21" spans="1:14">
      <c r="A4" s="26"/>
      <c r="B4" s="49">
        <f>(D3-D2)/D2</f>
        <v>-0.0909090909090909</v>
      </c>
      <c r="C4" s="10">
        <f>SUM(C2:C3)</f>
        <v>4800</v>
      </c>
      <c r="D4" s="28">
        <f>E4/C4</f>
        <v>42</v>
      </c>
      <c r="E4" s="10">
        <f t="shared" ref="E4:J4" si="0">SUM(E2:E3)</f>
        <v>201600</v>
      </c>
      <c r="F4" s="10">
        <f t="shared" si="0"/>
        <v>403.2</v>
      </c>
      <c r="G4" s="10">
        <f t="shared" si="0"/>
        <v>12.096</v>
      </c>
      <c r="H4" s="10">
        <f t="shared" si="0"/>
        <v>2.016</v>
      </c>
      <c r="I4" s="10">
        <f t="shared" si="0"/>
        <v>29.21184</v>
      </c>
      <c r="J4" s="10">
        <f t="shared" si="0"/>
        <v>202046.52384</v>
      </c>
      <c r="K4" s="37"/>
      <c r="L4" s="1"/>
      <c r="M4" s="37"/>
      <c r="N4" s="37"/>
    </row>
    <row r="5" s="1" customFormat="1" spans="1:13">
      <c r="A5" s="8">
        <v>44993</v>
      </c>
      <c r="B5" s="9" t="s">
        <v>1</v>
      </c>
      <c r="C5" s="10">
        <v>2400</v>
      </c>
      <c r="D5" s="11">
        <v>36</v>
      </c>
      <c r="E5" s="12">
        <f>C5*D5</f>
        <v>86400</v>
      </c>
      <c r="F5" s="12">
        <f>E5*0.002</f>
        <v>172.8</v>
      </c>
      <c r="G5" s="12">
        <f>E5*0.00006</f>
        <v>5.184</v>
      </c>
      <c r="H5" s="12">
        <f>E5*0.00001</f>
        <v>0.864</v>
      </c>
      <c r="I5" s="12">
        <f>(F5+G5+H5)*0.07</f>
        <v>12.51936</v>
      </c>
      <c r="J5" s="12">
        <f>E5+F5+I5+G5+H5</f>
        <v>86591.36736</v>
      </c>
      <c r="K5" s="48"/>
      <c r="L5" s="37"/>
      <c r="M5" s="47"/>
    </row>
    <row r="6" s="2" customFormat="1" ht="21" spans="1:14">
      <c r="A6" s="26"/>
      <c r="B6" s="49">
        <f>(D5-D4)/D4</f>
        <v>-0.142857142857143</v>
      </c>
      <c r="C6" s="10">
        <f>SUM(C4:C5)</f>
        <v>7200</v>
      </c>
      <c r="D6" s="28">
        <f>E6/C6</f>
        <v>40</v>
      </c>
      <c r="E6" s="10">
        <f t="shared" ref="E6:J6" si="1">SUM(E4:E5)</f>
        <v>288000</v>
      </c>
      <c r="F6" s="10">
        <f t="shared" si="1"/>
        <v>576</v>
      </c>
      <c r="G6" s="10">
        <f t="shared" si="1"/>
        <v>17.28</v>
      </c>
      <c r="H6" s="10">
        <f t="shared" si="1"/>
        <v>2.88</v>
      </c>
      <c r="I6" s="10">
        <f t="shared" si="1"/>
        <v>41.7312</v>
      </c>
      <c r="J6" s="10">
        <f t="shared" si="1"/>
        <v>288637.8912</v>
      </c>
      <c r="K6" s="37"/>
      <c r="L6" s="1"/>
      <c r="M6" s="37"/>
      <c r="N6" s="37"/>
    </row>
    <row r="7" spans="1:10">
      <c r="A7" s="41">
        <v>44993</v>
      </c>
      <c r="B7" s="1" t="s">
        <v>1</v>
      </c>
      <c r="C7" s="21">
        <v>1800</v>
      </c>
      <c r="D7" s="37">
        <v>20</v>
      </c>
      <c r="E7" s="23">
        <f>C7*D7</f>
        <v>36000</v>
      </c>
      <c r="F7" s="23">
        <f>E7*0.002</f>
        <v>72</v>
      </c>
      <c r="G7" s="23">
        <f>E7*0.00006</f>
        <v>2.16</v>
      </c>
      <c r="H7" s="23">
        <f>E7*0.00001</f>
        <v>0.36</v>
      </c>
      <c r="I7" s="23">
        <f>(F7+G7+H7)*0.07</f>
        <v>5.2164</v>
      </c>
      <c r="J7" s="23">
        <f>E7+F7+I7+G7+H7</f>
        <v>36079.7364</v>
      </c>
    </row>
    <row r="8" s="2" customFormat="1" ht="21" spans="1:14">
      <c r="A8" s="42"/>
      <c r="B8" s="43">
        <f>(D7-D6)/D6</f>
        <v>-0.5</v>
      </c>
      <c r="C8" s="21">
        <f>SUM(C6:C7)</f>
        <v>9000</v>
      </c>
      <c r="D8" s="22">
        <f>E8/C8</f>
        <v>36</v>
      </c>
      <c r="E8" s="21">
        <f t="shared" ref="E8:J8" si="2">SUM(E6:E7)</f>
        <v>324000</v>
      </c>
      <c r="F8" s="21">
        <f t="shared" si="2"/>
        <v>648</v>
      </c>
      <c r="G8" s="21">
        <f t="shared" si="2"/>
        <v>19.44</v>
      </c>
      <c r="H8" s="21">
        <f t="shared" si="2"/>
        <v>3.24</v>
      </c>
      <c r="I8" s="21">
        <f t="shared" si="2"/>
        <v>46.9476</v>
      </c>
      <c r="J8" s="21">
        <f t="shared" si="2"/>
        <v>324717.6276</v>
      </c>
      <c r="K8" s="5"/>
      <c r="L8" s="5"/>
      <c r="M8" s="5"/>
      <c r="N8" s="5"/>
    </row>
    <row r="9" spans="1:10">
      <c r="A9" s="42"/>
      <c r="B9" s="1"/>
      <c r="C9" s="21"/>
      <c r="D9" s="22"/>
      <c r="E9" s="23"/>
      <c r="F9" s="23"/>
      <c r="G9" s="23"/>
      <c r="H9" s="23"/>
      <c r="I9" s="23"/>
      <c r="J9" s="23"/>
    </row>
    <row r="10" spans="1:10">
      <c r="A10" s="8">
        <v>45455</v>
      </c>
      <c r="B10" s="9" t="s">
        <v>1</v>
      </c>
      <c r="C10" s="10">
        <v>800</v>
      </c>
      <c r="D10" s="11">
        <v>20</v>
      </c>
      <c r="E10" s="12">
        <f>C10*D10</f>
        <v>16000</v>
      </c>
      <c r="F10" s="12">
        <f>E10*0.002</f>
        <v>32</v>
      </c>
      <c r="G10" s="12">
        <f>E10*0.00006</f>
        <v>0.96</v>
      </c>
      <c r="H10" s="12">
        <f>E10*0.00001</f>
        <v>0.16</v>
      </c>
      <c r="I10" s="12">
        <f>(F10+G10+H10)*0.07</f>
        <v>2.3184</v>
      </c>
      <c r="J10" s="12">
        <f>E10+F10+I10+G10+H10</f>
        <v>16035.4384</v>
      </c>
    </row>
    <row r="11" spans="1:10">
      <c r="A11" s="26">
        <v>45551</v>
      </c>
      <c r="B11" s="9" t="s">
        <v>3</v>
      </c>
      <c r="C11" s="10">
        <f>C10</f>
        <v>800</v>
      </c>
      <c r="D11" s="31">
        <v>23.9</v>
      </c>
      <c r="E11" s="11">
        <f>C11*D11</f>
        <v>19120</v>
      </c>
      <c r="F11" s="32">
        <f>E11*0.002</f>
        <v>38.24</v>
      </c>
      <c r="G11" s="31">
        <f>E11*0.000068</f>
        <v>1.30016</v>
      </c>
      <c r="H11" s="31">
        <f>E11*0.00001</f>
        <v>0.1912</v>
      </c>
      <c r="I11" s="31">
        <f>(F11+G11+H11)*0.07</f>
        <v>2.7811952</v>
      </c>
      <c r="J11" s="31">
        <f>E11-F11-G11-H11-I11</f>
        <v>19077.4874448</v>
      </c>
    </row>
    <row r="12" spans="1:10">
      <c r="A12" s="54"/>
      <c r="B12" s="35">
        <f>(D11-D10)/D10</f>
        <v>0.195</v>
      </c>
      <c r="C12" s="10"/>
      <c r="D12" s="11"/>
      <c r="E12" s="12">
        <f>E11-E10</f>
        <v>3120</v>
      </c>
      <c r="F12" s="12"/>
      <c r="G12" s="12"/>
      <c r="H12" s="12"/>
      <c r="I12" s="12"/>
      <c r="J12" s="12">
        <f>J11-J10</f>
        <v>3042.0490448</v>
      </c>
    </row>
    <row r="13" s="71" customFormat="1" spans="1:10">
      <c r="A13" s="72"/>
      <c r="B13" s="73"/>
      <c r="C13" s="74"/>
      <c r="D13" s="75"/>
      <c r="E13" s="76"/>
      <c r="F13" s="76"/>
      <c r="G13" s="76"/>
      <c r="H13" s="76"/>
      <c r="I13" s="76"/>
      <c r="J13" s="76"/>
    </row>
    <row r="14" spans="1:10">
      <c r="A14" s="8">
        <v>45817</v>
      </c>
      <c r="B14" s="9" t="s">
        <v>1</v>
      </c>
      <c r="C14" s="10">
        <v>1800</v>
      </c>
      <c r="D14" s="11">
        <v>20</v>
      </c>
      <c r="E14" s="12">
        <f>C14*D14</f>
        <v>36000</v>
      </c>
      <c r="F14" s="12">
        <f>E14*0.002</f>
        <v>72</v>
      </c>
      <c r="G14" s="12">
        <f>E14*0.00006</f>
        <v>2.16</v>
      </c>
      <c r="H14" s="12">
        <f>E14*0.00001</f>
        <v>0.36</v>
      </c>
      <c r="I14" s="12">
        <f>(F14+G14+H14)*0.07</f>
        <v>5.2164</v>
      </c>
      <c r="J14" s="12">
        <f>E14+F14+I14+G14+H14</f>
        <v>36079.7364</v>
      </c>
    </row>
    <row r="15" spans="1:10">
      <c r="A15" s="26">
        <v>45868</v>
      </c>
      <c r="B15" s="9" t="s">
        <v>3</v>
      </c>
      <c r="C15" s="10">
        <f>C14</f>
        <v>1800</v>
      </c>
      <c r="D15" s="31">
        <v>22.9</v>
      </c>
      <c r="E15" s="11">
        <f>C15*D15</f>
        <v>41220</v>
      </c>
      <c r="F15" s="32">
        <f>E15*0.002</f>
        <v>82.44</v>
      </c>
      <c r="G15" s="31">
        <f>E15*0.000068</f>
        <v>2.80296</v>
      </c>
      <c r="H15" s="31">
        <f>E15*0.00001</f>
        <v>0.4122</v>
      </c>
      <c r="I15" s="31">
        <f>(F15+G15+H15)*0.07</f>
        <v>5.9958612</v>
      </c>
      <c r="J15" s="31">
        <f>E15-F15-G15-H15-I15</f>
        <v>41128.3489788</v>
      </c>
    </row>
    <row r="16" spans="1:10">
      <c r="A16" s="54"/>
      <c r="B16" s="35">
        <f>(D15-D14)/D14</f>
        <v>0.145</v>
      </c>
      <c r="C16" s="10"/>
      <c r="D16" s="11"/>
      <c r="E16" s="12">
        <f>E15-E14</f>
        <v>5220</v>
      </c>
      <c r="F16" s="12"/>
      <c r="G16" s="12"/>
      <c r="H16" s="12"/>
      <c r="I16" s="12"/>
      <c r="J16" s="12">
        <f>J15-J14</f>
        <v>5048.6125788</v>
      </c>
    </row>
    <row r="17" s="1" customFormat="1" spans="1:10">
      <c r="A17" s="26"/>
      <c r="B17" s="9"/>
      <c r="C17" s="10"/>
      <c r="D17" s="31"/>
      <c r="E17" s="11"/>
      <c r="F17" s="32"/>
      <c r="G17" s="31"/>
      <c r="H17" s="31"/>
      <c r="I17" s="31"/>
      <c r="J17" s="31"/>
    </row>
    <row r="18" spans="1:10">
      <c r="A18" s="41">
        <v>45817</v>
      </c>
      <c r="B18" s="1" t="s">
        <v>1</v>
      </c>
      <c r="C18" s="21">
        <v>2400</v>
      </c>
      <c r="D18" s="37">
        <v>22.9</v>
      </c>
      <c r="E18" s="23">
        <f>C18*D18</f>
        <v>54960</v>
      </c>
      <c r="F18" s="23">
        <f>E18*0.002</f>
        <v>109.92</v>
      </c>
      <c r="G18" s="23">
        <f>E18*0.00006</f>
        <v>3.2976</v>
      </c>
      <c r="H18" s="23">
        <f>E18*0.00001</f>
        <v>0.5496</v>
      </c>
      <c r="I18" s="23">
        <f>(F18+G18+H18)*0.07</f>
        <v>7.963704</v>
      </c>
      <c r="J18" s="23">
        <f>E18+F18+I18+G18+H18</f>
        <v>55081.730904</v>
      </c>
    </row>
    <row r="19" spans="1:10">
      <c r="A19" s="42">
        <v>45868</v>
      </c>
      <c r="B19" s="1" t="s">
        <v>3</v>
      </c>
      <c r="C19" s="21">
        <f>C18</f>
        <v>2400</v>
      </c>
      <c r="D19" s="45">
        <v>23.2</v>
      </c>
      <c r="E19" s="37">
        <f>C19*D19</f>
        <v>55680</v>
      </c>
      <c r="F19" s="46">
        <f>E19*0.002</f>
        <v>111.36</v>
      </c>
      <c r="G19" s="45">
        <f>E19*0.000068</f>
        <v>3.78624</v>
      </c>
      <c r="H19" s="45">
        <f>E19*0.00001</f>
        <v>0.5568</v>
      </c>
      <c r="I19" s="45">
        <f>(F19+G19+H19)*0.07</f>
        <v>8.0992128</v>
      </c>
      <c r="J19" s="45">
        <f>E19-F19-G19-H19-I19</f>
        <v>55556.1977472</v>
      </c>
    </row>
    <row r="20" spans="1:10">
      <c r="A20" s="4"/>
      <c r="B20" s="47">
        <f>(D19-D18)/D18</f>
        <v>0.0131004366812227</v>
      </c>
      <c r="C20" s="21"/>
      <c r="D20" s="37"/>
      <c r="E20" s="23">
        <f>E19-E18</f>
        <v>720</v>
      </c>
      <c r="F20" s="23"/>
      <c r="G20" s="23"/>
      <c r="H20" s="23"/>
      <c r="I20" s="23"/>
      <c r="J20" s="23">
        <f>J19-J18</f>
        <v>474.466843200003</v>
      </c>
    </row>
  </sheetData>
  <sheetProtection selectLockedCells="1" selectUnlockedCells="1"/>
  <pageMargins left="0.7" right="0.7" top="0.75" bottom="0.75" header="0.511805555555556" footer="0.511805555555556"/>
  <pageSetup paperSize="9" firstPageNumber="0" orientation="portrait" useFirstPageNumber="1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6"/>
  <sheetViews>
    <sheetView workbookViewId="0">
      <selection activeCell="B6" sqref="B6"/>
    </sheetView>
  </sheetViews>
  <sheetFormatPr defaultColWidth="8.88888888888889" defaultRowHeight="13.8"/>
  <cols>
    <col min="1" max="1" width="10.6666666666667" style="4" customWidth="1"/>
    <col min="2" max="2" width="7.44444444444444" style="5" customWidth="1"/>
    <col min="3" max="3" width="7.66666666666667" style="6" customWidth="1"/>
    <col min="4" max="4" width="7.66666666666667" style="5" customWidth="1"/>
    <col min="5" max="5" width="11.1111111111111" style="5" customWidth="1"/>
    <col min="6" max="6" width="9" style="5"/>
    <col min="7" max="7" width="6.66666666666667" style="5" customWidth="1"/>
    <col min="8" max="8" width="5.77777777777778" style="5" customWidth="1"/>
    <col min="9" max="9" width="7.22222222222222" style="5" customWidth="1"/>
    <col min="10" max="10" width="11.1111111111111" style="62" customWidth="1"/>
    <col min="11" max="11" width="12.7777777777778" style="5" customWidth="1"/>
    <col min="12" max="12" width="8.88888888888889" style="5"/>
    <col min="13" max="13" width="8.88888888888889" style="7"/>
    <col min="14" max="16384" width="8.88888888888889" style="5"/>
  </cols>
  <sheetData>
    <row r="1" spans="2:2">
      <c r="B1" s="5" t="s">
        <v>23</v>
      </c>
    </row>
    <row r="2" s="1" customFormat="1" spans="1:13">
      <c r="A2" s="8">
        <v>44946</v>
      </c>
      <c r="B2" s="9" t="s">
        <v>1</v>
      </c>
      <c r="C2" s="10">
        <v>3600</v>
      </c>
      <c r="D2" s="11">
        <v>39.5</v>
      </c>
      <c r="E2" s="12">
        <f>C2*D2</f>
        <v>142200</v>
      </c>
      <c r="F2" s="12">
        <f>E2*0.002</f>
        <v>284.4</v>
      </c>
      <c r="G2" s="12">
        <f>E2*0.00006</f>
        <v>8.532</v>
      </c>
      <c r="H2" s="12">
        <f>E2*0.00001</f>
        <v>1.422</v>
      </c>
      <c r="I2" s="12">
        <f>(F2+G2+H2)*0.07</f>
        <v>20.60478</v>
      </c>
      <c r="J2" s="31">
        <f>E2+F2+I2+G2+H2</f>
        <v>142514.95878</v>
      </c>
      <c r="K2" s="30"/>
      <c r="L2" s="11"/>
      <c r="M2" s="35"/>
    </row>
    <row r="3" spans="1:13">
      <c r="A3" s="26">
        <v>44972</v>
      </c>
      <c r="B3" s="9" t="s">
        <v>1</v>
      </c>
      <c r="C3" s="10">
        <v>1200</v>
      </c>
      <c r="D3" s="14">
        <v>30.5</v>
      </c>
      <c r="E3" s="12">
        <f>C3*D3</f>
        <v>36600</v>
      </c>
      <c r="F3" s="12">
        <f>E3*0.002</f>
        <v>73.2</v>
      </c>
      <c r="G3" s="12">
        <f>E3*0.00006</f>
        <v>2.196</v>
      </c>
      <c r="H3" s="12">
        <f>E3*0.00001</f>
        <v>0.366</v>
      </c>
      <c r="I3" s="12">
        <f>(F3+G3+H3)*0.07</f>
        <v>5.30334</v>
      </c>
      <c r="J3" s="31">
        <f>E3+F3+I3+G3+H3</f>
        <v>36681.06534</v>
      </c>
      <c r="M3" s="5"/>
    </row>
    <row r="4" spans="1:13">
      <c r="A4" s="26"/>
      <c r="B4" s="35">
        <f>(D3-D2)/D2</f>
        <v>-0.227848101265823</v>
      </c>
      <c r="C4" s="10">
        <f>SUM(C2:C3)</f>
        <v>4800</v>
      </c>
      <c r="D4" s="11">
        <f>E4/C4</f>
        <v>37.25</v>
      </c>
      <c r="E4" s="10">
        <f t="shared" ref="E4:J4" si="0">SUM(E2:E3)</f>
        <v>178800</v>
      </c>
      <c r="F4" s="10">
        <f t="shared" si="0"/>
        <v>357.6</v>
      </c>
      <c r="G4" s="10">
        <f t="shared" si="0"/>
        <v>10.728</v>
      </c>
      <c r="H4" s="10">
        <f t="shared" si="0"/>
        <v>1.788</v>
      </c>
      <c r="I4" s="10">
        <f t="shared" si="0"/>
        <v>25.90812</v>
      </c>
      <c r="J4" s="31">
        <f t="shared" si="0"/>
        <v>179196.02412</v>
      </c>
      <c r="M4" s="5"/>
    </row>
    <row r="5" spans="1:10">
      <c r="A5" s="26">
        <v>45195</v>
      </c>
      <c r="B5" s="9" t="s">
        <v>1</v>
      </c>
      <c r="C5" s="10">
        <v>2000</v>
      </c>
      <c r="D5" s="14">
        <v>22.8</v>
      </c>
      <c r="E5" s="12">
        <f>C5*D5</f>
        <v>45600</v>
      </c>
      <c r="F5" s="12">
        <f>E5*0.002</f>
        <v>91.2</v>
      </c>
      <c r="G5" s="12">
        <f>E5*0.00006</f>
        <v>2.736</v>
      </c>
      <c r="H5" s="12">
        <f>E5*0.00001</f>
        <v>0.456</v>
      </c>
      <c r="I5" s="12">
        <f>(F5+G5+H5)*0.07</f>
        <v>6.60744</v>
      </c>
      <c r="J5" s="31">
        <f>E5+F5+I5+G5+H5</f>
        <v>45700.99944</v>
      </c>
    </row>
    <row r="6" spans="1:10">
      <c r="A6" s="26"/>
      <c r="B6" s="35">
        <f>(D5-D4)/D4</f>
        <v>-0.387919463087248</v>
      </c>
      <c r="C6" s="10">
        <f>SUM(C4:C5)</f>
        <v>6800</v>
      </c>
      <c r="D6" s="28">
        <f>E6/C6</f>
        <v>33</v>
      </c>
      <c r="E6" s="10">
        <f t="shared" ref="E6:J6" si="1">SUM(E4:E5)</f>
        <v>224400</v>
      </c>
      <c r="F6" s="10">
        <f t="shared" si="1"/>
        <v>448.8</v>
      </c>
      <c r="G6" s="10">
        <f t="shared" si="1"/>
        <v>13.464</v>
      </c>
      <c r="H6" s="10">
        <f t="shared" si="1"/>
        <v>2.244</v>
      </c>
      <c r="I6" s="10">
        <f t="shared" si="1"/>
        <v>32.51556</v>
      </c>
      <c r="J6" s="31">
        <f t="shared" si="1"/>
        <v>224897.02356</v>
      </c>
    </row>
    <row r="7" spans="1:10">
      <c r="A7" s="42"/>
      <c r="B7" s="1"/>
      <c r="C7" s="21"/>
      <c r="D7" s="22"/>
      <c r="E7" s="23"/>
      <c r="F7" s="23"/>
      <c r="G7" s="23"/>
      <c r="H7" s="23"/>
      <c r="I7" s="23"/>
      <c r="J7" s="45"/>
    </row>
    <row r="8" spans="1:10">
      <c r="A8" s="42"/>
      <c r="B8" s="47"/>
      <c r="C8" s="21"/>
      <c r="D8" s="44"/>
      <c r="E8" s="21"/>
      <c r="F8" s="21"/>
      <c r="G8" s="21"/>
      <c r="H8" s="21"/>
      <c r="I8" s="21"/>
      <c r="J8" s="45"/>
    </row>
    <row r="10" s="1" customFormat="1" spans="1:10">
      <c r="A10" s="13">
        <v>45112</v>
      </c>
      <c r="B10" s="9" t="s">
        <v>1</v>
      </c>
      <c r="C10" s="10">
        <v>3600</v>
      </c>
      <c r="D10" s="28">
        <v>17</v>
      </c>
      <c r="E10" s="12">
        <v>61200</v>
      </c>
      <c r="F10" s="12">
        <v>122.4</v>
      </c>
      <c r="G10" s="12">
        <v>3.672</v>
      </c>
      <c r="H10" s="12">
        <v>0.612</v>
      </c>
      <c r="I10" s="12">
        <v>8.86788</v>
      </c>
      <c r="J10" s="31">
        <v>61335.55188</v>
      </c>
    </row>
    <row r="11" spans="1:13">
      <c r="A11" s="26">
        <v>45153</v>
      </c>
      <c r="B11" s="9" t="s">
        <v>3</v>
      </c>
      <c r="C11" s="10">
        <f>C10</f>
        <v>3600</v>
      </c>
      <c r="D11" s="31">
        <v>18.3</v>
      </c>
      <c r="E11" s="11">
        <f>C11*D11</f>
        <v>65880</v>
      </c>
      <c r="F11" s="32">
        <f>E11*0.002</f>
        <v>131.76</v>
      </c>
      <c r="G11" s="31">
        <f>E11*0.000068</f>
        <v>4.47984</v>
      </c>
      <c r="H11" s="31">
        <f>E11*0.00001</f>
        <v>0.6588</v>
      </c>
      <c r="I11" s="31">
        <f>(F11+G11+H11)*0.07</f>
        <v>9.5829048</v>
      </c>
      <c r="J11" s="31">
        <f>E11-F11-G11-H11-I11</f>
        <v>65733.5184552</v>
      </c>
      <c r="M11" s="5"/>
    </row>
    <row r="12" spans="1:13">
      <c r="A12" s="61">
        <f>DAYS360(A10,A11)</f>
        <v>40</v>
      </c>
      <c r="B12" s="35">
        <f>(D11-D10)/D10</f>
        <v>0.0764705882352942</v>
      </c>
      <c r="C12" s="10"/>
      <c r="D12" s="11"/>
      <c r="E12" s="12">
        <f>E11-E10</f>
        <v>4680</v>
      </c>
      <c r="F12" s="12"/>
      <c r="G12" s="12"/>
      <c r="H12" s="12"/>
      <c r="I12" s="12"/>
      <c r="J12" s="31">
        <f>J11-J10</f>
        <v>4397.9665752</v>
      </c>
      <c r="M12" s="5"/>
    </row>
    <row r="14" spans="1:10">
      <c r="A14" s="26">
        <v>45035</v>
      </c>
      <c r="B14" s="9" t="s">
        <v>1</v>
      </c>
      <c r="C14" s="10">
        <v>1200</v>
      </c>
      <c r="D14" s="14">
        <v>19.6</v>
      </c>
      <c r="E14" s="12">
        <f>C14*D14</f>
        <v>23520</v>
      </c>
      <c r="F14" s="12">
        <f>E14*0.002</f>
        <v>47.04</v>
      </c>
      <c r="G14" s="12">
        <f>E14*0.00006</f>
        <v>1.4112</v>
      </c>
      <c r="H14" s="12">
        <f>E14*0.00001</f>
        <v>0.2352</v>
      </c>
      <c r="I14" s="12">
        <f>(F14+G14+H14)*0.07</f>
        <v>3.408048</v>
      </c>
      <c r="J14" s="31">
        <f>E14+F14+I14+G14+H14</f>
        <v>23572.094448</v>
      </c>
    </row>
    <row r="15" spans="1:13">
      <c r="A15" s="26">
        <v>45161</v>
      </c>
      <c r="B15" s="9" t="s">
        <v>3</v>
      </c>
      <c r="C15" s="10">
        <f>C14</f>
        <v>1200</v>
      </c>
      <c r="D15" s="31">
        <v>20.6</v>
      </c>
      <c r="E15" s="11">
        <f>C15*D15</f>
        <v>24720</v>
      </c>
      <c r="F15" s="32">
        <f>E15*0.002</f>
        <v>49.44</v>
      </c>
      <c r="G15" s="31">
        <f>E15*0.000068</f>
        <v>1.68096</v>
      </c>
      <c r="H15" s="31">
        <f>E15*0.00001</f>
        <v>0.2472</v>
      </c>
      <c r="I15" s="31">
        <f>(F15+G15+H15)*0.07</f>
        <v>3.5957712</v>
      </c>
      <c r="J15" s="31">
        <f>E15-F15-G15-H15-I15</f>
        <v>24665.0360688</v>
      </c>
      <c r="M15" s="5"/>
    </row>
    <row r="16" spans="1:13">
      <c r="A16" s="61">
        <f>DAYS360(A14,A15)</f>
        <v>124</v>
      </c>
      <c r="B16" s="35">
        <f>(D15-D14)/D14</f>
        <v>0.0510204081632653</v>
      </c>
      <c r="C16" s="10"/>
      <c r="D16" s="11"/>
      <c r="E16" s="12">
        <f>E15-E14</f>
        <v>1200</v>
      </c>
      <c r="F16" s="12"/>
      <c r="G16" s="12"/>
      <c r="H16" s="12"/>
      <c r="I16" s="12"/>
      <c r="J16" s="31">
        <f>J15-J14</f>
        <v>1092.9416208</v>
      </c>
      <c r="M16" s="5"/>
    </row>
    <row r="18" spans="1:13">
      <c r="A18" s="26">
        <v>44998</v>
      </c>
      <c r="B18" s="9" t="s">
        <v>1</v>
      </c>
      <c r="C18" s="10">
        <v>1200</v>
      </c>
      <c r="D18" s="14">
        <v>23.4</v>
      </c>
      <c r="E18" s="12">
        <f>C18*D18</f>
        <v>28080</v>
      </c>
      <c r="F18" s="12">
        <f>E18*0.002</f>
        <v>56.16</v>
      </c>
      <c r="G18" s="12">
        <f>E18*0.00006</f>
        <v>1.6848</v>
      </c>
      <c r="H18" s="12">
        <f>E18*0.00001</f>
        <v>0.2808</v>
      </c>
      <c r="I18" s="12">
        <f>(F18+G18+H18)*0.07</f>
        <v>4.068792</v>
      </c>
      <c r="J18" s="31">
        <f>E18+F18+I18+G18+H18</f>
        <v>28142.194392</v>
      </c>
      <c r="M18" s="5"/>
    </row>
    <row r="19" spans="1:13">
      <c r="A19" s="26">
        <v>45169</v>
      </c>
      <c r="B19" s="9" t="s">
        <v>3</v>
      </c>
      <c r="C19" s="10">
        <f>C18</f>
        <v>1200</v>
      </c>
      <c r="D19" s="31">
        <v>24.6</v>
      </c>
      <c r="E19" s="11">
        <f>C19*D19</f>
        <v>29520</v>
      </c>
      <c r="F19" s="32">
        <f>E19*0.002</f>
        <v>59.04</v>
      </c>
      <c r="G19" s="31">
        <f>E19*0.000068</f>
        <v>2.00736</v>
      </c>
      <c r="H19" s="31">
        <f>E19*0.00001</f>
        <v>0.2952</v>
      </c>
      <c r="I19" s="31">
        <f>(F19+G19+H19)*0.07</f>
        <v>4.2939792</v>
      </c>
      <c r="J19" s="31">
        <f>E19-F19-G19-H19-I19</f>
        <v>29454.3634608</v>
      </c>
      <c r="M19" s="5"/>
    </row>
    <row r="20" spans="1:13">
      <c r="A20" s="61">
        <f>DAYS360(A18,A19)</f>
        <v>168</v>
      </c>
      <c r="B20" s="35">
        <f>(D19-D18)/D18</f>
        <v>0.0512820512820514</v>
      </c>
      <c r="C20" s="10"/>
      <c r="D20" s="11"/>
      <c r="E20" s="12">
        <f>E19-E18</f>
        <v>1440</v>
      </c>
      <c r="F20" s="12"/>
      <c r="G20" s="12"/>
      <c r="H20" s="12"/>
      <c r="I20" s="12"/>
      <c r="J20" s="31">
        <f>J19-J18</f>
        <v>1312.1690688</v>
      </c>
      <c r="M20" s="5"/>
    </row>
    <row r="22" spans="1:10">
      <c r="A22" s="26">
        <v>45170</v>
      </c>
      <c r="B22" s="9" t="s">
        <v>1</v>
      </c>
      <c r="C22" s="10">
        <v>1200</v>
      </c>
      <c r="D22" s="14">
        <v>23.5</v>
      </c>
      <c r="E22" s="12">
        <f>C22*D22</f>
        <v>28200</v>
      </c>
      <c r="F22" s="12">
        <f>E22*0.002</f>
        <v>56.4</v>
      </c>
      <c r="G22" s="12">
        <f>E22*0.00006</f>
        <v>1.692</v>
      </c>
      <c r="H22" s="12">
        <f>E22*0.00001</f>
        <v>0.282</v>
      </c>
      <c r="I22" s="12">
        <f>(F22+G22+H22)*0.07</f>
        <v>4.08618</v>
      </c>
      <c r="J22" s="31">
        <f>E22+F22+I22+G22+H22</f>
        <v>28262.46018</v>
      </c>
    </row>
    <row r="23" spans="1:13">
      <c r="A23" s="26">
        <v>45175</v>
      </c>
      <c r="B23" s="9" t="s">
        <v>3</v>
      </c>
      <c r="C23" s="10">
        <f>C22</f>
        <v>1200</v>
      </c>
      <c r="D23" s="31">
        <v>24.7</v>
      </c>
      <c r="E23" s="11">
        <f>C23*D23</f>
        <v>29640</v>
      </c>
      <c r="F23" s="32">
        <f>E23*0.002</f>
        <v>59.28</v>
      </c>
      <c r="G23" s="31">
        <f>E23*0.000068</f>
        <v>2.01552</v>
      </c>
      <c r="H23" s="31">
        <f>E23*0.00001</f>
        <v>0.2964</v>
      </c>
      <c r="I23" s="31">
        <f>(F23+G23+H23)*0.07</f>
        <v>4.3114344</v>
      </c>
      <c r="J23" s="31">
        <f>E23-F23-G23-H23-I23</f>
        <v>29574.0966456</v>
      </c>
      <c r="M23" s="5"/>
    </row>
    <row r="24" spans="1:13">
      <c r="A24" s="61">
        <f>DAYS360(A22,A23)</f>
        <v>5</v>
      </c>
      <c r="B24" s="35">
        <f>(D23-D22)/D22</f>
        <v>0.051063829787234</v>
      </c>
      <c r="C24" s="10"/>
      <c r="D24" s="11"/>
      <c r="E24" s="12">
        <f>E23-E22</f>
        <v>1440</v>
      </c>
      <c r="F24" s="12"/>
      <c r="G24" s="12"/>
      <c r="H24" s="12"/>
      <c r="I24" s="12"/>
      <c r="J24" s="31">
        <f>J23-J22</f>
        <v>1311.6364656</v>
      </c>
      <c r="M24" s="5"/>
    </row>
    <row r="26" spans="1:10">
      <c r="A26" s="26">
        <v>45170</v>
      </c>
      <c r="B26" s="9" t="s">
        <v>1</v>
      </c>
      <c r="C26" s="10">
        <v>2000</v>
      </c>
      <c r="D26" s="14">
        <v>22.6</v>
      </c>
      <c r="E26" s="12">
        <f>C26*D26</f>
        <v>45200</v>
      </c>
      <c r="F26" s="12">
        <f>E26*0.002</f>
        <v>90.4</v>
      </c>
      <c r="G26" s="12">
        <f>E26*0.00006</f>
        <v>2.712</v>
      </c>
      <c r="H26" s="12">
        <f>E26*0.00001</f>
        <v>0.452</v>
      </c>
      <c r="I26" s="12">
        <f>(F26+G26+H26)*0.07</f>
        <v>6.54948</v>
      </c>
      <c r="J26" s="31">
        <f>E26+F26+I26+G26+H26</f>
        <v>45300.11348</v>
      </c>
    </row>
    <row r="27" spans="1:13">
      <c r="A27" s="26">
        <v>45194</v>
      </c>
      <c r="B27" s="9" t="s">
        <v>3</v>
      </c>
      <c r="C27" s="10">
        <f>C26</f>
        <v>2000</v>
      </c>
      <c r="D27" s="31">
        <v>24.1</v>
      </c>
      <c r="E27" s="11">
        <f>C27*D27</f>
        <v>48200</v>
      </c>
      <c r="F27" s="32">
        <f>E27*0.002</f>
        <v>96.4</v>
      </c>
      <c r="G27" s="31">
        <f>E27*0.000068</f>
        <v>3.2776</v>
      </c>
      <c r="H27" s="31">
        <f>E27*0.00001</f>
        <v>0.482</v>
      </c>
      <c r="I27" s="31">
        <f>(F27+G27+H27)*0.07</f>
        <v>7.011172</v>
      </c>
      <c r="J27" s="31">
        <f>E27-F27-G27-H27-I27</f>
        <v>48092.829228</v>
      </c>
      <c r="M27" s="5"/>
    </row>
    <row r="28" spans="1:13">
      <c r="A28" s="61">
        <f>DAYS360(A26,A27)</f>
        <v>24</v>
      </c>
      <c r="B28" s="35">
        <f>(D27-D26)/D26</f>
        <v>0.0663716814159292</v>
      </c>
      <c r="C28" s="10"/>
      <c r="D28" s="11"/>
      <c r="E28" s="12">
        <f>E27-E26</f>
        <v>3000</v>
      </c>
      <c r="F28" s="12"/>
      <c r="G28" s="12"/>
      <c r="H28" s="12"/>
      <c r="I28" s="12"/>
      <c r="J28" s="31">
        <f>J27-J26</f>
        <v>2792.715748</v>
      </c>
      <c r="M28" s="5"/>
    </row>
    <row r="30" spans="1:10">
      <c r="A30" s="26">
        <v>45876</v>
      </c>
      <c r="B30" s="9" t="s">
        <v>1</v>
      </c>
      <c r="C30" s="10">
        <v>3200</v>
      </c>
      <c r="D30" s="14">
        <v>9.25</v>
      </c>
      <c r="E30" s="12">
        <f>C30*D30</f>
        <v>29600</v>
      </c>
      <c r="F30" s="12">
        <f>E30*0.002</f>
        <v>59.2</v>
      </c>
      <c r="G30" s="12">
        <f>E30*0.00006</f>
        <v>1.776</v>
      </c>
      <c r="H30" s="12">
        <f>E30*0.00001</f>
        <v>0.296</v>
      </c>
      <c r="I30" s="12">
        <f>(F30+G30+H30)*0.07</f>
        <v>4.28904</v>
      </c>
      <c r="J30" s="31">
        <f>E30+F30+I30+G30+H30</f>
        <v>29665.56104</v>
      </c>
    </row>
    <row r="31" spans="1:13">
      <c r="A31" s="26">
        <v>45876</v>
      </c>
      <c r="B31" s="9" t="s">
        <v>3</v>
      </c>
      <c r="C31" s="10">
        <v>3200</v>
      </c>
      <c r="D31" s="31">
        <v>9.4</v>
      </c>
      <c r="E31" s="11">
        <f>C31*D31</f>
        <v>30080</v>
      </c>
      <c r="F31" s="32">
        <f>E31*0.002</f>
        <v>60.16</v>
      </c>
      <c r="G31" s="31">
        <f>E31*0.000068</f>
        <v>2.04544</v>
      </c>
      <c r="H31" s="31">
        <f>E31*0.00001</f>
        <v>0.3008</v>
      </c>
      <c r="I31" s="31">
        <f>(F31+G31+H31)*0.07</f>
        <v>4.3754368</v>
      </c>
      <c r="J31" s="31">
        <f>E31-F31-G31-H31-I31</f>
        <v>30013.1183232</v>
      </c>
      <c r="M31" s="5"/>
    </row>
    <row r="32" spans="1:13">
      <c r="A32" s="58">
        <f>DAYS360(A30,A31)</f>
        <v>0</v>
      </c>
      <c r="B32" s="47">
        <f>(D31-D30)/D30</f>
        <v>0.0162162162162163</v>
      </c>
      <c r="C32" s="21"/>
      <c r="D32" s="37"/>
      <c r="E32" s="23">
        <f>E31-E30</f>
        <v>480</v>
      </c>
      <c r="F32" s="23"/>
      <c r="G32" s="23"/>
      <c r="H32" s="23"/>
      <c r="I32" s="23"/>
      <c r="J32" s="45">
        <f>J31-J30</f>
        <v>347.557283199996</v>
      </c>
      <c r="M32" s="5"/>
    </row>
    <row r="34" spans="1:10">
      <c r="A34" s="42">
        <v>45876</v>
      </c>
      <c r="B34" s="1" t="s">
        <v>1</v>
      </c>
      <c r="C34" s="21">
        <v>6800</v>
      </c>
      <c r="D34" s="22">
        <v>6</v>
      </c>
      <c r="E34" s="23">
        <f>C34*D34</f>
        <v>40800</v>
      </c>
      <c r="F34" s="23">
        <f>E34*0.002</f>
        <v>81.6</v>
      </c>
      <c r="G34" s="23">
        <f>E34*0.00006</f>
        <v>2.448</v>
      </c>
      <c r="H34" s="23">
        <f>E34*0.00001</f>
        <v>0.408</v>
      </c>
      <c r="I34" s="23">
        <f>(F34+G34+H34)*0.07</f>
        <v>5.91192</v>
      </c>
      <c r="J34" s="45">
        <f>E34+F34+I34+G34+H34</f>
        <v>40890.36792</v>
      </c>
    </row>
    <row r="35" spans="1:13">
      <c r="A35" s="42">
        <v>45876</v>
      </c>
      <c r="B35" s="1" t="s">
        <v>3</v>
      </c>
      <c r="C35" s="21">
        <f>C34</f>
        <v>6800</v>
      </c>
      <c r="D35" s="45">
        <v>8.3</v>
      </c>
      <c r="E35" s="37">
        <f>C35*D35</f>
        <v>56440</v>
      </c>
      <c r="F35" s="46">
        <f>E35*0.002</f>
        <v>112.88</v>
      </c>
      <c r="G35" s="45">
        <f>E35*0.000068</f>
        <v>3.83792</v>
      </c>
      <c r="H35" s="45">
        <f>E35*0.00001</f>
        <v>0.5644</v>
      </c>
      <c r="I35" s="45">
        <f>(F35+G35+H35)*0.07</f>
        <v>8.2097624</v>
      </c>
      <c r="J35" s="45">
        <f>E35-F35-G35-H35-I35</f>
        <v>56314.5079176</v>
      </c>
      <c r="M35" s="5"/>
    </row>
    <row r="36" spans="1:13">
      <c r="A36" s="58">
        <f>DAYS360(A34,A35)</f>
        <v>0</v>
      </c>
      <c r="B36" s="47">
        <f>(D35-D34)/D34</f>
        <v>0.383333333333333</v>
      </c>
      <c r="C36" s="21"/>
      <c r="D36" s="37"/>
      <c r="E36" s="23">
        <f>E35-E34</f>
        <v>15640</v>
      </c>
      <c r="F36" s="23"/>
      <c r="G36" s="23"/>
      <c r="H36" s="23"/>
      <c r="I36" s="23"/>
      <c r="J36" s="45">
        <f>J35-J34</f>
        <v>15424.1399976</v>
      </c>
      <c r="M36" s="5"/>
    </row>
  </sheetData>
  <sheetProtection selectLockedCells="1" selectUnlockedCells="1"/>
  <pageMargins left="0.7" right="0.7" top="0.75" bottom="0.75" header="0.511805555555556" footer="0.511805555555556"/>
  <pageSetup paperSize="9" firstPageNumber="0" orientation="portrait" useFirstPageNumber="1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4"/>
  <sheetViews>
    <sheetView topLeftCell="A13" workbookViewId="0">
      <selection activeCell="C22" sqref="C22"/>
    </sheetView>
  </sheetViews>
  <sheetFormatPr defaultColWidth="8.88888888888889" defaultRowHeight="13.8"/>
  <cols>
    <col min="1" max="1" width="10.6666666666667" style="4" customWidth="1"/>
    <col min="2" max="2" width="8.22222222222222" style="5" customWidth="1"/>
    <col min="3" max="3" width="7.66666666666667" style="6" customWidth="1"/>
    <col min="4" max="4" width="7.66666666666667" style="5" customWidth="1"/>
    <col min="5" max="5" width="11.1111111111111" style="70" customWidth="1"/>
    <col min="6" max="6" width="9" style="5"/>
    <col min="7" max="7" width="6.66666666666667" style="5" customWidth="1"/>
    <col min="8" max="8" width="5.77777777777778" style="5" customWidth="1"/>
    <col min="9" max="9" width="7.22222222222222" style="5" customWidth="1"/>
    <col min="10" max="10" width="11.1111111111111" style="70" customWidth="1"/>
    <col min="11" max="11" width="12.7777777777778" style="5" customWidth="1"/>
    <col min="12" max="12" width="8.88888888888889" style="5"/>
    <col min="13" max="13" width="8.88888888888889" style="7"/>
    <col min="14" max="16384" width="8.88888888888889" style="5"/>
  </cols>
  <sheetData>
    <row r="1" spans="2:2">
      <c r="B1" s="5" t="s">
        <v>24</v>
      </c>
    </row>
    <row r="2" s="1" customFormat="1" spans="1:13">
      <c r="A2" s="8">
        <v>44946</v>
      </c>
      <c r="B2" s="9" t="s">
        <v>1</v>
      </c>
      <c r="C2" s="10">
        <v>2400</v>
      </c>
      <c r="D2" s="11">
        <v>58.5</v>
      </c>
      <c r="E2" s="11">
        <f>C2*D2</f>
        <v>140400</v>
      </c>
      <c r="F2" s="12">
        <f>E2*0.002</f>
        <v>280.8</v>
      </c>
      <c r="G2" s="12">
        <f>E2*0.00006</f>
        <v>8.424</v>
      </c>
      <c r="H2" s="12">
        <f>E2*0.00001</f>
        <v>1.404</v>
      </c>
      <c r="I2" s="12">
        <f>(F2+G2+H2)*0.07</f>
        <v>20.34396</v>
      </c>
      <c r="J2" s="11">
        <f>E2+F2+I2+G2+H2</f>
        <v>140710.97196</v>
      </c>
      <c r="K2" s="30"/>
      <c r="L2" s="11"/>
      <c r="M2" s="35"/>
    </row>
    <row r="3" spans="1:13">
      <c r="A3" s="26">
        <v>44956</v>
      </c>
      <c r="B3" s="9" t="s">
        <v>1</v>
      </c>
      <c r="C3" s="10">
        <v>900</v>
      </c>
      <c r="D3" s="14">
        <v>53</v>
      </c>
      <c r="E3" s="11">
        <f>C3*D3</f>
        <v>47700</v>
      </c>
      <c r="F3" s="12">
        <f>E3*0.002</f>
        <v>95.4</v>
      </c>
      <c r="G3" s="12">
        <f>E3*0.00006</f>
        <v>2.862</v>
      </c>
      <c r="H3" s="12">
        <f>E3*0.00001</f>
        <v>0.477</v>
      </c>
      <c r="I3" s="12">
        <f>(F3+G3+H3)*0.07</f>
        <v>6.91173</v>
      </c>
      <c r="J3" s="11">
        <f>E3+F3+I3+G3+H3</f>
        <v>47805.65073</v>
      </c>
      <c r="M3" s="5"/>
    </row>
    <row r="4" spans="1:13">
      <c r="A4" s="26"/>
      <c r="B4" s="35">
        <f>(D3-D2)/D2</f>
        <v>-0.094017094017094</v>
      </c>
      <c r="C4" s="10">
        <f>SUM(C2:C3)</f>
        <v>3300</v>
      </c>
      <c r="D4" s="11">
        <f>E4/C4</f>
        <v>57</v>
      </c>
      <c r="E4" s="11">
        <f t="shared" ref="E4:J4" si="0">SUM(E2:E3)</f>
        <v>188100</v>
      </c>
      <c r="F4" s="10">
        <f t="shared" si="0"/>
        <v>376.2</v>
      </c>
      <c r="G4" s="10">
        <f t="shared" si="0"/>
        <v>11.286</v>
      </c>
      <c r="H4" s="10">
        <f t="shared" si="0"/>
        <v>1.881</v>
      </c>
      <c r="I4" s="10">
        <f t="shared" si="0"/>
        <v>27.25569</v>
      </c>
      <c r="J4" s="11">
        <f t="shared" si="0"/>
        <v>188516.62269</v>
      </c>
      <c r="M4" s="5"/>
    </row>
    <row r="5" spans="1:13">
      <c r="A5" s="26">
        <v>44970</v>
      </c>
      <c r="B5" s="9" t="s">
        <v>1</v>
      </c>
      <c r="C5" s="10">
        <v>900</v>
      </c>
      <c r="D5" s="14">
        <v>50</v>
      </c>
      <c r="E5" s="11">
        <f>C5*D5</f>
        <v>45000</v>
      </c>
      <c r="F5" s="12">
        <f>E5*0.002</f>
        <v>90</v>
      </c>
      <c r="G5" s="12">
        <f>E5*0.00006</f>
        <v>2.7</v>
      </c>
      <c r="H5" s="12">
        <f>E5*0.00001</f>
        <v>0.45</v>
      </c>
      <c r="I5" s="12">
        <f>(F5+G5+H5)*0.07</f>
        <v>6.5205</v>
      </c>
      <c r="J5" s="11">
        <f>E5+F5+I5+G5+H5</f>
        <v>45099.6705</v>
      </c>
      <c r="M5" s="5"/>
    </row>
    <row r="6" spans="1:13">
      <c r="A6" s="26"/>
      <c r="B6" s="35">
        <f>(D5-D4)/D4</f>
        <v>-0.12280701754386</v>
      </c>
      <c r="C6" s="10">
        <f>SUM(C4:C5)</f>
        <v>4200</v>
      </c>
      <c r="D6" s="11">
        <f>E6/C6</f>
        <v>55.5</v>
      </c>
      <c r="E6" s="11">
        <f t="shared" ref="E6:J6" si="1">SUM(E4:E5)</f>
        <v>233100</v>
      </c>
      <c r="F6" s="10">
        <f t="shared" si="1"/>
        <v>466.2</v>
      </c>
      <c r="G6" s="10">
        <f t="shared" si="1"/>
        <v>13.986</v>
      </c>
      <c r="H6" s="10">
        <f t="shared" si="1"/>
        <v>2.331</v>
      </c>
      <c r="I6" s="10">
        <f t="shared" si="1"/>
        <v>33.77619</v>
      </c>
      <c r="J6" s="11">
        <f t="shared" si="1"/>
        <v>233616.29319</v>
      </c>
      <c r="M6" s="5"/>
    </row>
    <row r="7" spans="1:10">
      <c r="A7" s="26">
        <v>45035</v>
      </c>
      <c r="B7" s="9" t="s">
        <v>1</v>
      </c>
      <c r="C7" s="10">
        <v>1200</v>
      </c>
      <c r="D7" s="14">
        <v>39.75</v>
      </c>
      <c r="E7" s="11">
        <f>C7*D7</f>
        <v>47700</v>
      </c>
      <c r="F7" s="12">
        <f>E7*0.002</f>
        <v>95.4</v>
      </c>
      <c r="G7" s="12">
        <f>E7*0.00006</f>
        <v>2.862</v>
      </c>
      <c r="H7" s="12">
        <f>E7*0.00001</f>
        <v>0.477</v>
      </c>
      <c r="I7" s="12">
        <f>(F7+G7+H7)*0.07</f>
        <v>6.91173</v>
      </c>
      <c r="J7" s="11">
        <f>E7+F7+I7+G7+H7</f>
        <v>47805.65073</v>
      </c>
    </row>
    <row r="8" spans="1:13">
      <c r="A8" s="26">
        <v>45077</v>
      </c>
      <c r="B8" s="9" t="s">
        <v>3</v>
      </c>
      <c r="C8" s="10">
        <f>C7</f>
        <v>1200</v>
      </c>
      <c r="D8" s="31">
        <v>43</v>
      </c>
      <c r="E8" s="11">
        <f>C8*D8</f>
        <v>51600</v>
      </c>
      <c r="F8" s="32">
        <f>E8*0.002</f>
        <v>103.2</v>
      </c>
      <c r="G8" s="31">
        <f>E8*0.000068</f>
        <v>3.5088</v>
      </c>
      <c r="H8" s="31">
        <f>E8*0.00001</f>
        <v>0.516</v>
      </c>
      <c r="I8" s="31">
        <f>(F8+G8+H8)*0.07</f>
        <v>7.505736</v>
      </c>
      <c r="J8" s="31">
        <f>E8-F8-G8-H8-I8</f>
        <v>51485.269464</v>
      </c>
      <c r="M8" s="5"/>
    </row>
    <row r="9" spans="1:13">
      <c r="A9" s="26" t="s">
        <v>4</v>
      </c>
      <c r="B9" s="9"/>
      <c r="C9" s="10"/>
      <c r="D9" s="11"/>
      <c r="E9" s="12">
        <f>E8-E7</f>
        <v>3900</v>
      </c>
      <c r="F9" s="12"/>
      <c r="G9" s="12"/>
      <c r="H9" s="12"/>
      <c r="I9" s="12"/>
      <c r="J9" s="12">
        <f>J8-J7</f>
        <v>3679.618734</v>
      </c>
      <c r="M9" s="5"/>
    </row>
    <row r="10" spans="1:13">
      <c r="A10" s="33"/>
      <c r="B10" s="16" t="s">
        <v>8</v>
      </c>
      <c r="C10" s="17">
        <v>4200</v>
      </c>
      <c r="D10" s="18">
        <v>55.5</v>
      </c>
      <c r="E10" s="17">
        <v>233100</v>
      </c>
      <c r="F10" s="17">
        <v>466.2</v>
      </c>
      <c r="G10" s="17">
        <v>13.986</v>
      </c>
      <c r="H10" s="17">
        <v>2.331</v>
      </c>
      <c r="I10" s="17">
        <v>33.77619</v>
      </c>
      <c r="J10" s="17">
        <v>233616.29319</v>
      </c>
      <c r="K10" s="37"/>
      <c r="L10" s="1"/>
      <c r="M10" s="1"/>
    </row>
    <row r="11" spans="1:10">
      <c r="A11" s="26">
        <v>45083</v>
      </c>
      <c r="B11" s="9" t="s">
        <v>1</v>
      </c>
      <c r="C11" s="10">
        <v>600</v>
      </c>
      <c r="D11" s="14">
        <v>39.5</v>
      </c>
      <c r="E11" s="11">
        <f>C11*D11</f>
        <v>23700</v>
      </c>
      <c r="F11" s="12">
        <f>E11*0.002</f>
        <v>47.4</v>
      </c>
      <c r="G11" s="12">
        <f>E11*0.00006</f>
        <v>1.422</v>
      </c>
      <c r="H11" s="12">
        <f>E11*0.00001</f>
        <v>0.237</v>
      </c>
      <c r="I11" s="12">
        <f>(F11+G11+H11)*0.07</f>
        <v>3.43413</v>
      </c>
      <c r="J11" s="11">
        <f>E11+F11+I11+G11+H11</f>
        <v>23752.49313</v>
      </c>
    </row>
    <row r="12" spans="1:13">
      <c r="A12" s="26">
        <v>45086</v>
      </c>
      <c r="B12" s="9" t="s">
        <v>3</v>
      </c>
      <c r="C12" s="10">
        <f>C11</f>
        <v>600</v>
      </c>
      <c r="D12" s="31">
        <v>41.75</v>
      </c>
      <c r="E12" s="11">
        <f>C12*D12</f>
        <v>25050</v>
      </c>
      <c r="F12" s="32">
        <f>E12*0.002</f>
        <v>50.1</v>
      </c>
      <c r="G12" s="31">
        <f>E12*0.000068</f>
        <v>1.7034</v>
      </c>
      <c r="H12" s="31">
        <f>E12*0.00001</f>
        <v>0.2505</v>
      </c>
      <c r="I12" s="31">
        <f>(F12+G12+H12)*0.07</f>
        <v>3.643773</v>
      </c>
      <c r="J12" s="31">
        <f>E12-F12-G12-H12-I12</f>
        <v>24994.302327</v>
      </c>
      <c r="M12" s="5"/>
    </row>
    <row r="13" spans="1:13">
      <c r="A13" s="26" t="s">
        <v>4</v>
      </c>
      <c r="B13" s="9"/>
      <c r="C13" s="10"/>
      <c r="D13" s="11"/>
      <c r="E13" s="12">
        <f>E12-E11</f>
        <v>1350</v>
      </c>
      <c r="F13" s="12"/>
      <c r="G13" s="12"/>
      <c r="H13" s="12"/>
      <c r="I13" s="12"/>
      <c r="J13" s="12">
        <f>J12-J11</f>
        <v>1241.809197</v>
      </c>
      <c r="M13" s="5"/>
    </row>
    <row r="14" spans="1:13">
      <c r="A14" s="33"/>
      <c r="B14" s="16" t="s">
        <v>8</v>
      </c>
      <c r="C14" s="17">
        <v>4200</v>
      </c>
      <c r="D14" s="18">
        <v>55.5</v>
      </c>
      <c r="E14" s="17">
        <v>233100</v>
      </c>
      <c r="F14" s="17">
        <v>466.2</v>
      </c>
      <c r="G14" s="17">
        <v>13.986</v>
      </c>
      <c r="H14" s="17">
        <v>2.331</v>
      </c>
      <c r="I14" s="17">
        <v>33.77619</v>
      </c>
      <c r="J14" s="17">
        <v>233616.29319</v>
      </c>
      <c r="K14" s="37"/>
      <c r="L14" s="1"/>
      <c r="M14" s="1"/>
    </row>
    <row r="15" spans="1:10">
      <c r="A15" s="26">
        <v>45243</v>
      </c>
      <c r="B15" s="9" t="s">
        <v>1</v>
      </c>
      <c r="C15" s="10">
        <v>800</v>
      </c>
      <c r="D15" s="14">
        <v>25.5</v>
      </c>
      <c r="E15" s="11">
        <f>C15*D15</f>
        <v>20400</v>
      </c>
      <c r="F15" s="12">
        <f>E15*0.002</f>
        <v>40.8</v>
      </c>
      <c r="G15" s="12">
        <f>E15*0.00006</f>
        <v>1.224</v>
      </c>
      <c r="H15" s="12">
        <f>E15*0.00001</f>
        <v>0.204</v>
      </c>
      <c r="I15" s="12">
        <f>(F15+G15+H15)*0.07</f>
        <v>2.95596</v>
      </c>
      <c r="J15" s="11">
        <f>E15+F15+I15+G15+H15</f>
        <v>20445.18396</v>
      </c>
    </row>
    <row r="16" spans="1:13">
      <c r="A16" s="26">
        <v>45251</v>
      </c>
      <c r="B16" s="9" t="s">
        <v>3</v>
      </c>
      <c r="C16" s="10">
        <f>C15</f>
        <v>800</v>
      </c>
      <c r="D16" s="31">
        <v>28.25</v>
      </c>
      <c r="E16" s="11">
        <f>C16*D16</f>
        <v>22600</v>
      </c>
      <c r="F16" s="32">
        <f>E16*0.002</f>
        <v>45.2</v>
      </c>
      <c r="G16" s="31">
        <f>E16*0.000068</f>
        <v>1.5368</v>
      </c>
      <c r="H16" s="31">
        <f>E16*0.00001</f>
        <v>0.226</v>
      </c>
      <c r="I16" s="31">
        <f>(F16+G16+H16)*0.07</f>
        <v>3.287396</v>
      </c>
      <c r="J16" s="31">
        <f>E16-F16-G16-H16-I16</f>
        <v>22549.749804</v>
      </c>
      <c r="M16" s="5"/>
    </row>
    <row r="17" spans="1:13">
      <c r="A17" s="54"/>
      <c r="B17" s="35">
        <f>(D16-D15)/D15</f>
        <v>0.107843137254902</v>
      </c>
      <c r="C17" s="10"/>
      <c r="D17" s="11"/>
      <c r="E17" s="12">
        <f>E16-E15</f>
        <v>2200</v>
      </c>
      <c r="F17" s="12"/>
      <c r="G17" s="12"/>
      <c r="H17" s="12"/>
      <c r="I17" s="12"/>
      <c r="J17" s="12">
        <f>J16-J15</f>
        <v>2104.565844</v>
      </c>
      <c r="M17" s="5"/>
    </row>
    <row r="18" spans="1:13">
      <c r="A18" s="33"/>
      <c r="B18" s="16" t="s">
        <v>8</v>
      </c>
      <c r="C18" s="17">
        <v>4200</v>
      </c>
      <c r="D18" s="18">
        <v>55.5</v>
      </c>
      <c r="E18" s="17">
        <v>233100</v>
      </c>
      <c r="F18" s="17">
        <v>466.2</v>
      </c>
      <c r="G18" s="17">
        <v>13.986</v>
      </c>
      <c r="H18" s="17">
        <v>2.331</v>
      </c>
      <c r="I18" s="17">
        <v>33.77619</v>
      </c>
      <c r="J18" s="17">
        <v>233616.29319</v>
      </c>
      <c r="K18" s="37"/>
      <c r="L18" s="1"/>
      <c r="M18" s="1"/>
    </row>
    <row r="19" spans="1:10">
      <c r="A19" s="26">
        <v>45944</v>
      </c>
      <c r="B19" s="9" t="s">
        <v>1</v>
      </c>
      <c r="C19" s="10">
        <v>2800</v>
      </c>
      <c r="D19" s="14">
        <v>11</v>
      </c>
      <c r="E19" s="11">
        <f>C19*D19</f>
        <v>30800</v>
      </c>
      <c r="F19" s="12">
        <f>E19*0.002</f>
        <v>61.6</v>
      </c>
      <c r="G19" s="12">
        <f>E19*0.00006</f>
        <v>1.848</v>
      </c>
      <c r="H19" s="12">
        <f>E19*0.00001</f>
        <v>0.308</v>
      </c>
      <c r="I19" s="12">
        <f>(F19+G19+H19)*0.07</f>
        <v>4.46292</v>
      </c>
      <c r="J19" s="11">
        <f>E19+F19+I19+G19+H19</f>
        <v>30868.21892</v>
      </c>
    </row>
    <row r="20" spans="1:10">
      <c r="A20" s="54"/>
      <c r="B20" s="35">
        <f>(D19-D18)/D18</f>
        <v>-0.801801801801802</v>
      </c>
      <c r="C20" s="10">
        <f>SUM(C18:C19)</f>
        <v>7000</v>
      </c>
      <c r="D20" s="28">
        <f>E20/C20</f>
        <v>37.7</v>
      </c>
      <c r="E20" s="10">
        <f t="shared" ref="E20:J20" si="2">SUM(E18:E19)</f>
        <v>263900</v>
      </c>
      <c r="F20" s="10">
        <f t="shared" si="2"/>
        <v>527.8</v>
      </c>
      <c r="G20" s="10">
        <f t="shared" si="2"/>
        <v>15.834</v>
      </c>
      <c r="H20" s="10">
        <f t="shared" si="2"/>
        <v>2.639</v>
      </c>
      <c r="I20" s="10">
        <f t="shared" si="2"/>
        <v>38.23911</v>
      </c>
      <c r="J20" s="10">
        <f t="shared" si="2"/>
        <v>264484.51211</v>
      </c>
    </row>
    <row r="21" spans="1:10">
      <c r="A21" s="42">
        <v>45944</v>
      </c>
      <c r="B21" s="1" t="s">
        <v>1</v>
      </c>
      <c r="C21" s="21">
        <v>3000</v>
      </c>
      <c r="D21" s="22">
        <v>10</v>
      </c>
      <c r="E21" s="37">
        <f>C21*D21</f>
        <v>30000</v>
      </c>
      <c r="F21" s="23">
        <f>E21*0.002</f>
        <v>60</v>
      </c>
      <c r="G21" s="23">
        <f>E21*0.00006</f>
        <v>1.8</v>
      </c>
      <c r="H21" s="23">
        <f>E21*0.00001</f>
        <v>0.3</v>
      </c>
      <c r="I21" s="23">
        <f>(F21+G21+H21)*0.07</f>
        <v>4.347</v>
      </c>
      <c r="J21" s="37">
        <f>E21+F21+I21+G21+H21</f>
        <v>30066.447</v>
      </c>
    </row>
    <row r="22" spans="2:10">
      <c r="B22" s="47">
        <f>(D21-D20)/D20</f>
        <v>-0.73474801061008</v>
      </c>
      <c r="C22" s="21">
        <f>SUM(C20:C21)</f>
        <v>10000</v>
      </c>
      <c r="D22" s="44">
        <f>E22/C22</f>
        <v>29.39</v>
      </c>
      <c r="E22" s="21">
        <f t="shared" ref="E22:J22" si="3">SUM(E20:E21)</f>
        <v>293900</v>
      </c>
      <c r="F22" s="21">
        <f t="shared" si="3"/>
        <v>587.8</v>
      </c>
      <c r="G22" s="21">
        <f t="shared" si="3"/>
        <v>17.634</v>
      </c>
      <c r="H22" s="21">
        <f t="shared" si="3"/>
        <v>2.939</v>
      </c>
      <c r="I22" s="21">
        <f t="shared" si="3"/>
        <v>42.58611</v>
      </c>
      <c r="J22" s="21">
        <f t="shared" si="3"/>
        <v>294550.95911</v>
      </c>
    </row>
    <row r="23" spans="1:10">
      <c r="A23" s="42"/>
      <c r="B23" s="1"/>
      <c r="C23" s="21"/>
      <c r="D23" s="22"/>
      <c r="E23" s="37"/>
      <c r="F23" s="23"/>
      <c r="G23" s="23"/>
      <c r="H23" s="23"/>
      <c r="I23" s="23"/>
      <c r="J23" s="37"/>
    </row>
    <row r="24" spans="1:10">
      <c r="A24" s="26">
        <v>45243</v>
      </c>
      <c r="B24" s="9" t="s">
        <v>1</v>
      </c>
      <c r="C24" s="10">
        <v>800</v>
      </c>
      <c r="D24" s="14">
        <v>25.5</v>
      </c>
      <c r="E24" s="11">
        <f>C24*D24</f>
        <v>20400</v>
      </c>
      <c r="F24" s="12">
        <f>E24*0.002</f>
        <v>40.8</v>
      </c>
      <c r="G24" s="12">
        <f>E24*0.00006</f>
        <v>1.224</v>
      </c>
      <c r="H24" s="12">
        <f>E24*0.00001</f>
        <v>0.204</v>
      </c>
      <c r="I24" s="12">
        <f>(F24+G24+H24)*0.07</f>
        <v>2.95596</v>
      </c>
      <c r="J24" s="11">
        <f>E24+F24+I24+G24+H24</f>
        <v>20445.18396</v>
      </c>
    </row>
    <row r="25" spans="1:13">
      <c r="A25" s="26">
        <v>45251</v>
      </c>
      <c r="B25" s="9" t="s">
        <v>3</v>
      </c>
      <c r="C25" s="10">
        <f>C24</f>
        <v>800</v>
      </c>
      <c r="D25" s="31">
        <v>28.25</v>
      </c>
      <c r="E25" s="11">
        <f>C25*D25</f>
        <v>22600</v>
      </c>
      <c r="F25" s="32">
        <f>E25*0.002</f>
        <v>45.2</v>
      </c>
      <c r="G25" s="31">
        <f>E25*0.000068</f>
        <v>1.5368</v>
      </c>
      <c r="H25" s="31">
        <f>E25*0.00001</f>
        <v>0.226</v>
      </c>
      <c r="I25" s="31">
        <f>(F25+G25+H25)*0.07</f>
        <v>3.287396</v>
      </c>
      <c r="J25" s="31">
        <f>E25-F25-G25-H25-I25</f>
        <v>22549.749804</v>
      </c>
      <c r="M25" s="5"/>
    </row>
    <row r="26" spans="1:13">
      <c r="A26" s="54"/>
      <c r="B26" s="35">
        <f>(D25-D24)/D24</f>
        <v>0.107843137254902</v>
      </c>
      <c r="C26" s="10"/>
      <c r="D26" s="11"/>
      <c r="E26" s="12">
        <f>E25-E24</f>
        <v>2200</v>
      </c>
      <c r="F26" s="12"/>
      <c r="G26" s="12"/>
      <c r="H26" s="12"/>
      <c r="I26" s="12"/>
      <c r="J26" s="12">
        <f>J25-J24</f>
        <v>2104.565844</v>
      </c>
      <c r="M26" s="5"/>
    </row>
    <row r="27" spans="1:10">
      <c r="A27" s="26">
        <v>45447</v>
      </c>
      <c r="B27" s="9" t="s">
        <v>1</v>
      </c>
      <c r="C27" s="10">
        <v>1800</v>
      </c>
      <c r="D27" s="14">
        <v>13.9</v>
      </c>
      <c r="E27" s="11">
        <f>C27*D27</f>
        <v>25020</v>
      </c>
      <c r="F27" s="12">
        <f>E27*0.002</f>
        <v>50.04</v>
      </c>
      <c r="G27" s="12">
        <f>E27*0.00006</f>
        <v>1.5012</v>
      </c>
      <c r="H27" s="12">
        <f>E27*0.00001</f>
        <v>0.2502</v>
      </c>
      <c r="I27" s="12">
        <f>(F27+G27+H27)*0.07</f>
        <v>3.625398</v>
      </c>
      <c r="J27" s="11">
        <f>E27+F27+I27+G27+H27</f>
        <v>25075.416798</v>
      </c>
    </row>
    <row r="28" spans="1:13">
      <c r="A28" s="26">
        <v>45448</v>
      </c>
      <c r="B28" s="9" t="s">
        <v>3</v>
      </c>
      <c r="C28" s="10">
        <f>C27</f>
        <v>1800</v>
      </c>
      <c r="D28" s="31">
        <v>14.6</v>
      </c>
      <c r="E28" s="11">
        <f>C28*D28</f>
        <v>26280</v>
      </c>
      <c r="F28" s="32">
        <f>E28*0.002</f>
        <v>52.56</v>
      </c>
      <c r="G28" s="31">
        <f>E28*0.000068</f>
        <v>1.78704</v>
      </c>
      <c r="H28" s="31">
        <f>E28*0.00001</f>
        <v>0.2628</v>
      </c>
      <c r="I28" s="31">
        <f>(F28+G28+H28)*0.07</f>
        <v>3.8226888</v>
      </c>
      <c r="J28" s="31">
        <f>E28-F28-G28-H28-I28</f>
        <v>26221.5674712</v>
      </c>
      <c r="M28" s="5"/>
    </row>
    <row r="29" spans="1:13">
      <c r="A29" s="54"/>
      <c r="B29" s="35">
        <f>(D28-D27)/D27</f>
        <v>0.0503597122302158</v>
      </c>
      <c r="C29" s="10"/>
      <c r="D29" s="11"/>
      <c r="E29" s="12">
        <f>E28-E27</f>
        <v>1260</v>
      </c>
      <c r="F29" s="12"/>
      <c r="G29" s="12"/>
      <c r="H29" s="12"/>
      <c r="I29" s="12"/>
      <c r="J29" s="12">
        <f>J28-J27</f>
        <v>1146.1506732</v>
      </c>
      <c r="M29" s="5"/>
    </row>
    <row r="30" spans="1:10">
      <c r="A30" s="26">
        <v>45496</v>
      </c>
      <c r="B30" s="9" t="s">
        <v>1</v>
      </c>
      <c r="C30" s="10">
        <v>1500</v>
      </c>
      <c r="D30" s="34">
        <v>11.5</v>
      </c>
      <c r="E30" s="11">
        <f>C30*D30</f>
        <v>17250</v>
      </c>
      <c r="F30" s="12">
        <f>E30*0.002</f>
        <v>34.5</v>
      </c>
      <c r="G30" s="12">
        <f>E30*0.00006</f>
        <v>1.035</v>
      </c>
      <c r="H30" s="12">
        <f>E30*0.00001</f>
        <v>0.1725</v>
      </c>
      <c r="I30" s="12">
        <f>(F30+G30+H30)*0.07</f>
        <v>2.499525</v>
      </c>
      <c r="J30" s="11">
        <f>E30+F30+I30+G30+H30</f>
        <v>17288.207025</v>
      </c>
    </row>
    <row r="31" spans="1:13">
      <c r="A31" s="26">
        <v>45526</v>
      </c>
      <c r="B31" s="9" t="s">
        <v>3</v>
      </c>
      <c r="C31" s="10">
        <f>C30</f>
        <v>1500</v>
      </c>
      <c r="D31" s="31">
        <v>14.9</v>
      </c>
      <c r="E31" s="11">
        <f>C31*D31</f>
        <v>22350</v>
      </c>
      <c r="F31" s="32">
        <f>E31*0.002</f>
        <v>44.7</v>
      </c>
      <c r="G31" s="31">
        <f>E31*0.000068</f>
        <v>1.5198</v>
      </c>
      <c r="H31" s="31">
        <f>E31*0.00001</f>
        <v>0.2235</v>
      </c>
      <c r="I31" s="31">
        <f>(F31+G31+H31)*0.07</f>
        <v>3.251031</v>
      </c>
      <c r="J31" s="31">
        <f>E31-F31-G31-H31-I31</f>
        <v>22300.305669</v>
      </c>
      <c r="M31" s="5"/>
    </row>
    <row r="32" spans="1:13">
      <c r="A32" s="54"/>
      <c r="B32" s="35">
        <f>(D31-D30)/D30</f>
        <v>0.295652173913043</v>
      </c>
      <c r="C32" s="10"/>
      <c r="D32" s="11"/>
      <c r="E32" s="12">
        <f>E31-E30</f>
        <v>5100</v>
      </c>
      <c r="F32" s="12"/>
      <c r="G32" s="12"/>
      <c r="H32" s="12"/>
      <c r="I32" s="12"/>
      <c r="J32" s="12">
        <f>J31-J30</f>
        <v>5012.098644</v>
      </c>
      <c r="M32" s="5"/>
    </row>
    <row r="33" s="3" customFormat="1" spans="1:13">
      <c r="A33" s="26">
        <v>45471</v>
      </c>
      <c r="B33" s="9" t="s">
        <v>1</v>
      </c>
      <c r="C33" s="10">
        <v>1800</v>
      </c>
      <c r="D33" s="34">
        <v>13</v>
      </c>
      <c r="E33" s="11">
        <f>C33*D33</f>
        <v>23400</v>
      </c>
      <c r="F33" s="12">
        <f>E33*0.002</f>
        <v>46.8</v>
      </c>
      <c r="G33" s="12">
        <f>E33*0.00006</f>
        <v>1.404</v>
      </c>
      <c r="H33" s="12">
        <f>E33*0.00001</f>
        <v>0.234</v>
      </c>
      <c r="I33" s="12">
        <f>(F33+G33+H33)*0.07</f>
        <v>3.39066</v>
      </c>
      <c r="J33" s="11">
        <f>E33+F33+I33+G33+H33</f>
        <v>23451.82866</v>
      </c>
      <c r="M33" s="16"/>
    </row>
    <row r="34" s="3" customFormat="1" spans="1:10">
      <c r="A34" s="26">
        <v>45531</v>
      </c>
      <c r="B34" s="9" t="s">
        <v>3</v>
      </c>
      <c r="C34" s="10">
        <f>C33</f>
        <v>1800</v>
      </c>
      <c r="D34" s="31">
        <v>16.4</v>
      </c>
      <c r="E34" s="11">
        <f>C34*D34</f>
        <v>29520</v>
      </c>
      <c r="F34" s="32">
        <f>E34*0.002</f>
        <v>59.04</v>
      </c>
      <c r="G34" s="31">
        <f>E34*0.000068</f>
        <v>2.00736</v>
      </c>
      <c r="H34" s="31">
        <f>E34*0.00001</f>
        <v>0.2952</v>
      </c>
      <c r="I34" s="31">
        <f>(F34+G34+H34)*0.07</f>
        <v>4.2939792</v>
      </c>
      <c r="J34" s="31">
        <f>E34-F34-G34-H34-I34</f>
        <v>29454.3634608</v>
      </c>
    </row>
    <row r="35" s="3" customFormat="1" spans="1:10">
      <c r="A35" s="54"/>
      <c r="B35" s="35">
        <f>(D34-D33)/D33</f>
        <v>0.261538461538461</v>
      </c>
      <c r="C35" s="10"/>
      <c r="D35" s="11"/>
      <c r="E35" s="12">
        <f>E34-E33</f>
        <v>6120</v>
      </c>
      <c r="F35" s="12"/>
      <c r="G35" s="12"/>
      <c r="H35" s="12"/>
      <c r="I35" s="12"/>
      <c r="J35" s="12">
        <f>J34-J33</f>
        <v>6002.5348008</v>
      </c>
    </row>
    <row r="36" spans="1:10">
      <c r="A36" s="26">
        <v>45812</v>
      </c>
      <c r="B36" s="9" t="s">
        <v>1</v>
      </c>
      <c r="C36" s="10">
        <v>2500</v>
      </c>
      <c r="D36" s="14">
        <v>9</v>
      </c>
      <c r="E36" s="11">
        <f>C36*D36</f>
        <v>22500</v>
      </c>
      <c r="F36" s="12">
        <f>E36*0.002</f>
        <v>45</v>
      </c>
      <c r="G36" s="12">
        <f>E36*0.00006</f>
        <v>1.35</v>
      </c>
      <c r="H36" s="12">
        <f>E36*0.00001</f>
        <v>0.225</v>
      </c>
      <c r="I36" s="12">
        <f>(F36+G36+H36)*0.07</f>
        <v>3.26025</v>
      </c>
      <c r="J36" s="11">
        <f>E36+F36+I36+G36+H36</f>
        <v>22549.83525</v>
      </c>
    </row>
    <row r="37" s="3" customFormat="1" spans="1:10">
      <c r="A37" s="26">
        <v>45841</v>
      </c>
      <c r="B37" s="9" t="s">
        <v>3</v>
      </c>
      <c r="C37" s="10">
        <f>C36</f>
        <v>2500</v>
      </c>
      <c r="D37" s="31">
        <v>10.2</v>
      </c>
      <c r="E37" s="11">
        <f>C37*D37</f>
        <v>25500</v>
      </c>
      <c r="F37" s="32">
        <f>E37*0.002</f>
        <v>51</v>
      </c>
      <c r="G37" s="31">
        <f>E37*0.000068</f>
        <v>1.734</v>
      </c>
      <c r="H37" s="31">
        <f>E37*0.00001</f>
        <v>0.255</v>
      </c>
      <c r="I37" s="31">
        <f>(F37+G37+H37)*0.07</f>
        <v>3.70923</v>
      </c>
      <c r="J37" s="31">
        <f>E37-F37-G37-H37-I37</f>
        <v>25443.30177</v>
      </c>
    </row>
    <row r="38" s="3" customFormat="1" spans="1:10">
      <c r="A38" s="54"/>
      <c r="B38" s="35">
        <f>(D37-D36)/D36</f>
        <v>0.133333333333333</v>
      </c>
      <c r="C38" s="10"/>
      <c r="D38" s="11"/>
      <c r="E38" s="12">
        <f>E37-E36</f>
        <v>3000</v>
      </c>
      <c r="F38" s="12"/>
      <c r="G38" s="12"/>
      <c r="H38" s="12"/>
      <c r="I38" s="12"/>
      <c r="J38" s="12">
        <f>J37-J36</f>
        <v>2893.46652</v>
      </c>
    </row>
    <row r="39" spans="1:10">
      <c r="A39" s="26">
        <v>45796</v>
      </c>
      <c r="B39" s="9" t="s">
        <v>1</v>
      </c>
      <c r="C39" s="10">
        <v>2800</v>
      </c>
      <c r="D39" s="14">
        <v>10.5</v>
      </c>
      <c r="E39" s="11">
        <f>C39*D39</f>
        <v>29400</v>
      </c>
      <c r="F39" s="12">
        <f>E39*0.002</f>
        <v>58.8</v>
      </c>
      <c r="G39" s="12">
        <f>E39*0.00006</f>
        <v>1.764</v>
      </c>
      <c r="H39" s="12">
        <f>E39*0.00001</f>
        <v>0.294</v>
      </c>
      <c r="I39" s="12">
        <f>(F39+G39+H39)*0.07</f>
        <v>4.26006</v>
      </c>
      <c r="J39" s="11">
        <f>E39+F39+I39+G39+H39</f>
        <v>29465.11806</v>
      </c>
    </row>
    <row r="40" s="3" customFormat="1" spans="1:10">
      <c r="A40" s="26">
        <v>45875</v>
      </c>
      <c r="B40" s="9" t="s">
        <v>3</v>
      </c>
      <c r="C40" s="10">
        <f>C39</f>
        <v>2800</v>
      </c>
      <c r="D40" s="31">
        <v>11.6</v>
      </c>
      <c r="E40" s="11">
        <f>C40*D40</f>
        <v>32480</v>
      </c>
      <c r="F40" s="32">
        <f>E40*0.002</f>
        <v>64.96</v>
      </c>
      <c r="G40" s="31">
        <f>E40*0.000068</f>
        <v>2.20864</v>
      </c>
      <c r="H40" s="31">
        <f>E40*0.00001</f>
        <v>0.3248</v>
      </c>
      <c r="I40" s="31">
        <f>(F40+G40+H40)*0.07</f>
        <v>4.7245408</v>
      </c>
      <c r="J40" s="31">
        <f>E40-F40-G40-H40-I40</f>
        <v>32407.7820192</v>
      </c>
    </row>
    <row r="41" s="3" customFormat="1" spans="1:10">
      <c r="A41" s="54"/>
      <c r="B41" s="35">
        <f>(D40-D39)/D39</f>
        <v>0.104761904761905</v>
      </c>
      <c r="C41" s="10"/>
      <c r="D41" s="11"/>
      <c r="E41" s="12">
        <f>E40-E39</f>
        <v>3080</v>
      </c>
      <c r="F41" s="12"/>
      <c r="G41" s="12"/>
      <c r="H41" s="12"/>
      <c r="I41" s="12"/>
      <c r="J41" s="12">
        <f>J40-J39</f>
        <v>2942.6639592</v>
      </c>
    </row>
    <row r="42" spans="1:10">
      <c r="A42" s="26">
        <v>45944</v>
      </c>
      <c r="B42" s="9" t="s">
        <v>1</v>
      </c>
      <c r="C42" s="10">
        <v>2800</v>
      </c>
      <c r="D42" s="14">
        <v>11</v>
      </c>
      <c r="E42" s="11">
        <f>C42*D42</f>
        <v>30800</v>
      </c>
      <c r="F42" s="12">
        <f>E42*0.002</f>
        <v>61.6</v>
      </c>
      <c r="G42" s="12">
        <f>E42*0.00006</f>
        <v>1.848</v>
      </c>
      <c r="H42" s="12">
        <f>E42*0.00001</f>
        <v>0.308</v>
      </c>
      <c r="I42" s="12">
        <f>(F42+G42+H42)*0.07</f>
        <v>4.46292</v>
      </c>
      <c r="J42" s="11">
        <f>E42+F42+I42+G42+H42</f>
        <v>30868.21892</v>
      </c>
    </row>
    <row r="43" s="3" customFormat="1" spans="1:10">
      <c r="A43" s="42">
        <v>45875</v>
      </c>
      <c r="B43" s="1" t="s">
        <v>3</v>
      </c>
      <c r="C43" s="21">
        <f>C42</f>
        <v>2800</v>
      </c>
      <c r="D43" s="45">
        <v>11.2</v>
      </c>
      <c r="E43" s="37">
        <f>C43*D43</f>
        <v>31360</v>
      </c>
      <c r="F43" s="46">
        <f>E43*0.002</f>
        <v>62.72</v>
      </c>
      <c r="G43" s="45">
        <f>E43*0.000068</f>
        <v>2.13248</v>
      </c>
      <c r="H43" s="45">
        <f>E43*0.00001</f>
        <v>0.3136</v>
      </c>
      <c r="I43" s="45">
        <f>(F43+G43+H43)*0.07</f>
        <v>4.5616256</v>
      </c>
      <c r="J43" s="45">
        <f>E43-F43-G43-H43-I43</f>
        <v>31290.2722944</v>
      </c>
    </row>
    <row r="44" s="3" customFormat="1" spans="1:10">
      <c r="A44" s="4"/>
      <c r="B44" s="47">
        <f>(D43-D42)/D42</f>
        <v>0.0181818181818181</v>
      </c>
      <c r="C44" s="21"/>
      <c r="D44" s="37"/>
      <c r="E44" s="23">
        <f>E43-E42</f>
        <v>559.999999999996</v>
      </c>
      <c r="F44" s="23"/>
      <c r="G44" s="23"/>
      <c r="H44" s="23"/>
      <c r="I44" s="23"/>
      <c r="J44" s="23">
        <f>J43-J42</f>
        <v>422.053374399991</v>
      </c>
    </row>
  </sheetData>
  <sheetProtection selectLockedCells="1" selectUnlockedCells="1"/>
  <pageMargins left="0.7" right="0.7" top="0.75" bottom="0.75" header="0.511805555555556" footer="0.511805555555556"/>
  <pageSetup paperSize="9" firstPageNumber="0" orientation="portrait" useFirstPageNumber="1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1"/>
  <sheetViews>
    <sheetView topLeftCell="A46" workbookViewId="0">
      <selection activeCell="D62" sqref="D62"/>
    </sheetView>
  </sheetViews>
  <sheetFormatPr defaultColWidth="8.88888888888889" defaultRowHeight="13.8"/>
  <cols>
    <col min="1" max="1" width="10.1111111111111" style="24" customWidth="1"/>
    <col min="2" max="2" width="7.55555555555556" style="5" customWidth="1"/>
    <col min="3" max="3" width="6.55555555555556" style="6" customWidth="1"/>
    <col min="4" max="4" width="10.1111111111111" style="62" customWidth="1"/>
    <col min="5" max="5" width="11.5555555555556" style="62" customWidth="1"/>
    <col min="6" max="6" width="8.11111111111111" style="62" customWidth="1"/>
    <col min="7" max="7" width="6.44444444444444" style="62" customWidth="1"/>
    <col min="8" max="8" width="5.66666666666667" style="62" customWidth="1"/>
    <col min="9" max="9" width="6.55555555555556" style="62" customWidth="1"/>
    <col min="10" max="10" width="12.1111111111111" style="62" customWidth="1"/>
    <col min="11" max="16384" width="8.88888888888889" style="5"/>
  </cols>
  <sheetData>
    <row r="1" spans="2:2">
      <c r="B1" s="5" t="s">
        <v>25</v>
      </c>
    </row>
    <row r="2" s="9" customFormat="1" spans="1:11">
      <c r="A2" s="13">
        <v>42608</v>
      </c>
      <c r="B2" s="13" t="s">
        <v>1</v>
      </c>
      <c r="C2" s="10">
        <v>20000</v>
      </c>
      <c r="D2" s="31">
        <v>14</v>
      </c>
      <c r="E2" s="31">
        <f>C2*D2</f>
        <v>280000</v>
      </c>
      <c r="F2" s="31">
        <f>E2*0.002</f>
        <v>560</v>
      </c>
      <c r="G2" s="31">
        <f>E2*0.000068</f>
        <v>19.04</v>
      </c>
      <c r="H2" s="31">
        <f>E2*0.00001</f>
        <v>2.8</v>
      </c>
      <c r="I2" s="31">
        <f>(F2+G2+H2)*0.07</f>
        <v>40.7288</v>
      </c>
      <c r="J2" s="31">
        <f>E2+F2+I2+G2+H2</f>
        <v>280622.5688</v>
      </c>
      <c r="K2" s="11"/>
    </row>
    <row r="3" s="1" customFormat="1" spans="1:10">
      <c r="A3" s="63">
        <v>42633</v>
      </c>
      <c r="B3" s="64" t="s">
        <v>1</v>
      </c>
      <c r="C3" s="65">
        <v>10000</v>
      </c>
      <c r="D3" s="31">
        <v>13.1</v>
      </c>
      <c r="E3" s="31">
        <f>C3*D3</f>
        <v>131000</v>
      </c>
      <c r="F3" s="31">
        <f>E3*0.002</f>
        <v>262</v>
      </c>
      <c r="G3" s="31">
        <f>E3*0.000068</f>
        <v>8.908</v>
      </c>
      <c r="H3" s="31">
        <f>E3*0.00001</f>
        <v>1.31</v>
      </c>
      <c r="I3" s="31">
        <f>(F3+G3+H3)*0.07</f>
        <v>19.05526</v>
      </c>
      <c r="J3" s="31">
        <f>E3+F3+I3+G3+H3</f>
        <v>131291.27326</v>
      </c>
    </row>
    <row r="4" spans="3:10">
      <c r="C4" s="17">
        <f>SUM(C2:C3)</f>
        <v>30000</v>
      </c>
      <c r="D4" s="19">
        <f>E4/C4</f>
        <v>13.7</v>
      </c>
      <c r="E4" s="19">
        <f t="shared" ref="E4:J4" si="0">SUM(E2:E3)</f>
        <v>411000</v>
      </c>
      <c r="F4" s="19">
        <f t="shared" si="0"/>
        <v>822</v>
      </c>
      <c r="G4" s="19">
        <f t="shared" si="0"/>
        <v>27.948</v>
      </c>
      <c r="H4" s="19">
        <f t="shared" si="0"/>
        <v>4.11</v>
      </c>
      <c r="I4" s="19">
        <f t="shared" si="0"/>
        <v>59.78406</v>
      </c>
      <c r="J4" s="19">
        <f t="shared" si="0"/>
        <v>411913.84206</v>
      </c>
    </row>
    <row r="5" s="1" customFormat="1" spans="1:10">
      <c r="A5" s="63">
        <v>42656</v>
      </c>
      <c r="B5" s="64" t="s">
        <v>1</v>
      </c>
      <c r="C5" s="65">
        <v>10000</v>
      </c>
      <c r="D5" s="31">
        <v>12.5</v>
      </c>
      <c r="E5" s="31">
        <f>C5*D5</f>
        <v>125000</v>
      </c>
      <c r="F5" s="31">
        <f>E5*0.002</f>
        <v>250</v>
      </c>
      <c r="G5" s="31">
        <f>E5*0.000068</f>
        <v>8.5</v>
      </c>
      <c r="H5" s="31">
        <f>E5*0.00001</f>
        <v>1.25</v>
      </c>
      <c r="I5" s="31">
        <f>(F5+G5+H5)*0.07</f>
        <v>18.1825</v>
      </c>
      <c r="J5" s="31">
        <f>E5+F5+I5+G5+H5</f>
        <v>125277.9325</v>
      </c>
    </row>
    <row r="6" spans="1:10">
      <c r="A6" s="15"/>
      <c r="B6" s="3"/>
      <c r="C6" s="17">
        <f>SUM(C4:C5)</f>
        <v>40000</v>
      </c>
      <c r="D6" s="19">
        <f>E6/C6</f>
        <v>13.4</v>
      </c>
      <c r="E6" s="19">
        <f t="shared" ref="E6:J6" si="1">SUM(E4:E5)</f>
        <v>536000</v>
      </c>
      <c r="F6" s="19">
        <f t="shared" si="1"/>
        <v>1072</v>
      </c>
      <c r="G6" s="19">
        <f t="shared" si="1"/>
        <v>36.448</v>
      </c>
      <c r="H6" s="19">
        <f t="shared" si="1"/>
        <v>5.36</v>
      </c>
      <c r="I6" s="19">
        <f t="shared" si="1"/>
        <v>77.96656</v>
      </c>
      <c r="J6" s="19">
        <f t="shared" si="1"/>
        <v>537191.77456</v>
      </c>
    </row>
    <row r="7" s="1" customFormat="1" ht="18.6" customHeight="1" spans="1:10">
      <c r="A7" s="13">
        <v>42681</v>
      </c>
      <c r="B7" s="9" t="s">
        <v>3</v>
      </c>
      <c r="C7" s="10">
        <v>40000</v>
      </c>
      <c r="D7" s="31">
        <v>15.63</v>
      </c>
      <c r="E7" s="31">
        <f>C7*D7</f>
        <v>625200</v>
      </c>
      <c r="F7" s="31">
        <f>E7*0.002</f>
        <v>1250.4</v>
      </c>
      <c r="G7" s="31">
        <f>E7*0.000068</f>
        <v>42.5136</v>
      </c>
      <c r="H7" s="31">
        <f>E7*0.00001</f>
        <v>6.252</v>
      </c>
      <c r="I7" s="31">
        <f>(F7+G7+H7)*0.07</f>
        <v>90.941592</v>
      </c>
      <c r="J7" s="31">
        <f>E7-F7-G7-H7-I7</f>
        <v>623809.892808</v>
      </c>
    </row>
    <row r="8" spans="5:10">
      <c r="E8" s="62">
        <f>E7-E6</f>
        <v>89200</v>
      </c>
      <c r="J8" s="62">
        <f>J7-J6</f>
        <v>86618.1182480002</v>
      </c>
    </row>
    <row r="9" s="1" customFormat="1" ht="18.6" customHeight="1" spans="1:10">
      <c r="A9" s="13">
        <v>42662</v>
      </c>
      <c r="B9" s="9" t="s">
        <v>3</v>
      </c>
      <c r="C9" s="10">
        <v>10000</v>
      </c>
      <c r="D9" s="31">
        <v>15</v>
      </c>
      <c r="E9" s="31">
        <f>C9*D9</f>
        <v>150000</v>
      </c>
      <c r="F9" s="31">
        <f>E9*0.002</f>
        <v>300</v>
      </c>
      <c r="G9" s="31">
        <f>E9*0.000068</f>
        <v>10.2</v>
      </c>
      <c r="H9" s="31">
        <f>E9*0.00001</f>
        <v>1.5</v>
      </c>
      <c r="I9" s="31">
        <f>(F9+G9+H9)*0.07</f>
        <v>21.819</v>
      </c>
      <c r="J9" s="31">
        <f>E9-F9-G9-H9-I9</f>
        <v>149666.481</v>
      </c>
    </row>
    <row r="10" s="1" customFormat="1" spans="1:13">
      <c r="A10" s="20">
        <v>42572</v>
      </c>
      <c r="B10" s="1" t="s">
        <v>1</v>
      </c>
      <c r="C10" s="21">
        <f>C9</f>
        <v>10000</v>
      </c>
      <c r="D10" s="45">
        <v>14.5</v>
      </c>
      <c r="E10" s="45">
        <f>C10*D10</f>
        <v>145000</v>
      </c>
      <c r="F10" s="45">
        <f>E10*0.002</f>
        <v>290</v>
      </c>
      <c r="G10" s="45">
        <f>E10*0.000068</f>
        <v>9.86</v>
      </c>
      <c r="H10" s="45">
        <f>E10*0.00001</f>
        <v>1.45</v>
      </c>
      <c r="I10" s="45">
        <f>(F10+G10+H10)*0.07</f>
        <v>21.0917</v>
      </c>
      <c r="J10" s="45">
        <f>E10+F10+I10+G10+H10</f>
        <v>145322.4017</v>
      </c>
      <c r="K10" s="48"/>
      <c r="L10" s="48"/>
      <c r="M10" s="48"/>
    </row>
    <row r="11" s="1" customFormat="1" spans="1:10">
      <c r="A11" s="20">
        <f>DAYS360(A10,A9)</f>
        <v>88</v>
      </c>
      <c r="C11" s="21"/>
      <c r="D11" s="45"/>
      <c r="E11" s="45">
        <f>E9-E10</f>
        <v>5000</v>
      </c>
      <c r="F11" s="45"/>
      <c r="G11" s="45"/>
      <c r="H11" s="45"/>
      <c r="I11" s="45"/>
      <c r="J11" s="45">
        <f>J9-J10</f>
        <v>4344.07930000001</v>
      </c>
    </row>
    <row r="12" s="1" customFormat="1" ht="18.6" customHeight="1" spans="1:10">
      <c r="A12" s="13">
        <v>42664</v>
      </c>
      <c r="B12" s="9" t="s">
        <v>3</v>
      </c>
      <c r="C12" s="10">
        <v>10000</v>
      </c>
      <c r="D12" s="31">
        <v>15.4</v>
      </c>
      <c r="E12" s="31">
        <f>C12*D12</f>
        <v>154000</v>
      </c>
      <c r="F12" s="31">
        <f>E12*0.002</f>
        <v>308</v>
      </c>
      <c r="G12" s="31">
        <f>E12*0.000068</f>
        <v>10.472</v>
      </c>
      <c r="H12" s="31">
        <f>E12*0.00001</f>
        <v>1.54</v>
      </c>
      <c r="I12" s="31">
        <f>(F12+G12+H12)*0.07</f>
        <v>22.40084</v>
      </c>
      <c r="J12" s="31">
        <f>E12-F12-G12-H12-I12</f>
        <v>153657.58716</v>
      </c>
    </row>
    <row r="13" s="1" customFormat="1" spans="1:13">
      <c r="A13" s="20">
        <v>42572</v>
      </c>
      <c r="B13" s="1" t="s">
        <v>1</v>
      </c>
      <c r="C13" s="21">
        <f>C12</f>
        <v>10000</v>
      </c>
      <c r="D13" s="45">
        <v>14.9</v>
      </c>
      <c r="E13" s="45">
        <f>C13*D13</f>
        <v>149000</v>
      </c>
      <c r="F13" s="45">
        <f>E13*0.002</f>
        <v>298</v>
      </c>
      <c r="G13" s="45">
        <f>E13*0.000068</f>
        <v>10.132</v>
      </c>
      <c r="H13" s="45">
        <f>E13*0.00001</f>
        <v>1.49</v>
      </c>
      <c r="I13" s="45">
        <f>(F13+G13+H13)*0.07</f>
        <v>21.67354</v>
      </c>
      <c r="J13" s="45">
        <f>E13+F13+I13+G13+H13</f>
        <v>149331.29554</v>
      </c>
      <c r="K13" s="48"/>
      <c r="L13" s="48"/>
      <c r="M13" s="48"/>
    </row>
    <row r="14" s="1" customFormat="1" spans="1:10">
      <c r="A14" s="20">
        <f>DAYS360(A13,A12)</f>
        <v>90</v>
      </c>
      <c r="C14" s="21"/>
      <c r="D14" s="45"/>
      <c r="E14" s="45">
        <f>E12-E13</f>
        <v>5000</v>
      </c>
      <c r="F14" s="45"/>
      <c r="G14" s="45"/>
      <c r="H14" s="45"/>
      <c r="I14" s="45"/>
      <c r="J14" s="45">
        <f>J12-J13</f>
        <v>4326.29162</v>
      </c>
    </row>
    <row r="15" s="1" customFormat="1" ht="18.6" customHeight="1" spans="1:10">
      <c r="A15" s="13">
        <v>42668</v>
      </c>
      <c r="B15" s="9" t="s">
        <v>3</v>
      </c>
      <c r="C15" s="10">
        <v>10000</v>
      </c>
      <c r="D15" s="31">
        <v>15.9</v>
      </c>
      <c r="E15" s="31">
        <f>C15*D15</f>
        <v>159000</v>
      </c>
      <c r="F15" s="31">
        <f>E15*0.002</f>
        <v>318</v>
      </c>
      <c r="G15" s="31">
        <f>E15*0.000068</f>
        <v>10.812</v>
      </c>
      <c r="H15" s="31">
        <f>E15*0.00001</f>
        <v>1.59</v>
      </c>
      <c r="I15" s="31">
        <f>(F15+G15+H15)*0.07</f>
        <v>23.12814</v>
      </c>
      <c r="J15" s="31">
        <f>E15-F15-G15-H15-I15</f>
        <v>158646.46986</v>
      </c>
    </row>
    <row r="16" s="1" customFormat="1" spans="1:13">
      <c r="A16" s="20">
        <v>42674</v>
      </c>
      <c r="B16" s="1" t="s">
        <v>1</v>
      </c>
      <c r="C16" s="21">
        <f>C15</f>
        <v>10000</v>
      </c>
      <c r="D16" s="45">
        <v>15.4</v>
      </c>
      <c r="E16" s="45">
        <f>C16*D16</f>
        <v>154000</v>
      </c>
      <c r="F16" s="45">
        <f>E16*0.002</f>
        <v>308</v>
      </c>
      <c r="G16" s="45">
        <f>E16*0.000068</f>
        <v>10.472</v>
      </c>
      <c r="H16" s="45">
        <f>E16*0.00001</f>
        <v>1.54</v>
      </c>
      <c r="I16" s="45">
        <f>(F16+G16+H16)*0.07</f>
        <v>22.40084</v>
      </c>
      <c r="J16" s="45">
        <f>E16+F16+I16+G16+H16</f>
        <v>154342.41284</v>
      </c>
      <c r="K16" s="48"/>
      <c r="L16" s="48"/>
      <c r="M16" s="48"/>
    </row>
    <row r="17" s="1" customFormat="1" spans="1:10">
      <c r="A17" s="20">
        <f>DAYS360(A15,A16)</f>
        <v>6</v>
      </c>
      <c r="C17" s="21"/>
      <c r="D17" s="45"/>
      <c r="E17" s="45">
        <f>E15-E16</f>
        <v>5000</v>
      </c>
      <c r="F17" s="45"/>
      <c r="G17" s="45"/>
      <c r="H17" s="45"/>
      <c r="I17" s="45"/>
      <c r="J17" s="45">
        <f>J15-J16</f>
        <v>4304.05702000001</v>
      </c>
    </row>
    <row r="18" s="1" customFormat="1" ht="18.6" customHeight="1" spans="1:10">
      <c r="A18" s="13">
        <v>42681</v>
      </c>
      <c r="B18" s="9" t="s">
        <v>3</v>
      </c>
      <c r="C18" s="10">
        <v>10000</v>
      </c>
      <c r="D18" s="31">
        <v>16.2</v>
      </c>
      <c r="E18" s="31">
        <f>C18*D18</f>
        <v>162000</v>
      </c>
      <c r="F18" s="31">
        <f>E18*0.002</f>
        <v>324</v>
      </c>
      <c r="G18" s="31">
        <f>E18*0.000068</f>
        <v>11.016</v>
      </c>
      <c r="H18" s="31">
        <f>E18*0.00001</f>
        <v>1.62</v>
      </c>
      <c r="I18" s="31">
        <f>(F18+G18+H18)*0.07</f>
        <v>23.56452</v>
      </c>
      <c r="J18" s="31">
        <f>E18-F18-G18-H18-I18</f>
        <v>161639.79948</v>
      </c>
    </row>
    <row r="19" s="1" customFormat="1" spans="1:13">
      <c r="A19" s="20">
        <v>42674</v>
      </c>
      <c r="B19" s="1" t="s">
        <v>1</v>
      </c>
      <c r="C19" s="21">
        <f>C18</f>
        <v>10000</v>
      </c>
      <c r="D19" s="45">
        <v>15.7</v>
      </c>
      <c r="E19" s="45">
        <f>C19*D19</f>
        <v>157000</v>
      </c>
      <c r="F19" s="45">
        <f>E19*0.002</f>
        <v>314</v>
      </c>
      <c r="G19" s="45">
        <f>E19*0.000068</f>
        <v>10.676</v>
      </c>
      <c r="H19" s="45">
        <f>E19*0.00001</f>
        <v>1.57</v>
      </c>
      <c r="I19" s="45">
        <f>(F19+G19+H19)*0.07</f>
        <v>22.83722</v>
      </c>
      <c r="J19" s="45">
        <f>E19+F19+I19+G19+H19</f>
        <v>157349.08322</v>
      </c>
      <c r="K19" s="48"/>
      <c r="L19" s="48"/>
      <c r="M19" s="48"/>
    </row>
    <row r="20" s="1" customFormat="1" spans="1:10">
      <c r="A20" s="20">
        <f>DAYS360(A18,A19)</f>
        <v>-6</v>
      </c>
      <c r="C20" s="21"/>
      <c r="D20" s="45"/>
      <c r="E20" s="45">
        <f>E18-E19</f>
        <v>5000</v>
      </c>
      <c r="F20" s="45"/>
      <c r="G20" s="45"/>
      <c r="H20" s="45"/>
      <c r="I20" s="45"/>
      <c r="J20" s="45">
        <f>J18-J19</f>
        <v>4290.71625999999</v>
      </c>
    </row>
    <row r="21" s="1" customFormat="1" spans="1:13">
      <c r="A21" s="63">
        <v>42674</v>
      </c>
      <c r="B21" s="64" t="s">
        <v>1</v>
      </c>
      <c r="C21" s="65">
        <v>10000</v>
      </c>
      <c r="D21" s="31">
        <v>15.4</v>
      </c>
      <c r="E21" s="31">
        <f>C21*D21</f>
        <v>154000</v>
      </c>
      <c r="F21" s="31">
        <f>E21*0.002</f>
        <v>308</v>
      </c>
      <c r="G21" s="31">
        <f>E21*0.000068</f>
        <v>10.472</v>
      </c>
      <c r="H21" s="31">
        <f>E21*0.00001</f>
        <v>1.54</v>
      </c>
      <c r="I21" s="31">
        <f>(F21+G21+H21)*0.07</f>
        <v>22.40084</v>
      </c>
      <c r="J21" s="31">
        <f>E21+F21+I21+G21+H21</f>
        <v>154342.41284</v>
      </c>
      <c r="K21" s="48"/>
      <c r="L21" s="48"/>
      <c r="M21" s="48"/>
    </row>
    <row r="22" s="1" customFormat="1" ht="18.6" customHeight="1" spans="1:10">
      <c r="A22" s="13">
        <v>42677</v>
      </c>
      <c r="B22" s="9" t="s">
        <v>3</v>
      </c>
      <c r="C22" s="10">
        <v>10000</v>
      </c>
      <c r="D22" s="31">
        <v>16.1</v>
      </c>
      <c r="E22" s="31">
        <f>C22*D22</f>
        <v>161000</v>
      </c>
      <c r="F22" s="31">
        <f>E22*0.002</f>
        <v>322</v>
      </c>
      <c r="G22" s="31">
        <f>E22*0.000068</f>
        <v>10.948</v>
      </c>
      <c r="H22" s="31">
        <f>E22*0.00001</f>
        <v>1.61</v>
      </c>
      <c r="I22" s="31">
        <f>(F22+G22+H22)*0.07</f>
        <v>23.41906</v>
      </c>
      <c r="J22" s="31">
        <f>E22-F22-G22-H22-I22</f>
        <v>160642.02294</v>
      </c>
    </row>
    <row r="23" s="1" customFormat="1" spans="1:10">
      <c r="A23" s="13">
        <f>DAYS360(A21,A22)</f>
        <v>3</v>
      </c>
      <c r="B23" s="9"/>
      <c r="C23" s="10"/>
      <c r="D23" s="31"/>
      <c r="E23" s="31">
        <f>E22-E21</f>
        <v>7000</v>
      </c>
      <c r="F23" s="31"/>
      <c r="G23" s="31"/>
      <c r="H23" s="31"/>
      <c r="I23" s="31"/>
      <c r="J23" s="31">
        <f>J22-J21</f>
        <v>6299.61010000002</v>
      </c>
    </row>
    <row r="24" s="9" customFormat="1" spans="1:11">
      <c r="A24" s="13">
        <v>42685</v>
      </c>
      <c r="B24" s="13" t="s">
        <v>1</v>
      </c>
      <c r="C24" s="10">
        <v>20000</v>
      </c>
      <c r="D24" s="31">
        <v>18.2</v>
      </c>
      <c r="E24" s="31">
        <f>C24*D24</f>
        <v>364000</v>
      </c>
      <c r="F24" s="31">
        <f>E24*0.002</f>
        <v>728</v>
      </c>
      <c r="G24" s="31">
        <f>E24*0.000068</f>
        <v>24.752</v>
      </c>
      <c r="H24" s="31">
        <f>E24*0.00001</f>
        <v>3.64</v>
      </c>
      <c r="I24" s="31">
        <f>(F24+G24+H24)*0.07</f>
        <v>52.94744</v>
      </c>
      <c r="J24" s="31">
        <f>E24+F24+I24+G24+H24</f>
        <v>364809.33944</v>
      </c>
      <c r="K24" s="11"/>
    </row>
    <row r="25" s="1" customFormat="1" spans="1:10">
      <c r="A25" s="63">
        <v>42688</v>
      </c>
      <c r="B25" s="64" t="s">
        <v>1</v>
      </c>
      <c r="C25" s="65">
        <v>10000</v>
      </c>
      <c r="D25" s="31">
        <v>17.9</v>
      </c>
      <c r="E25" s="31">
        <f>C25*D25</f>
        <v>179000</v>
      </c>
      <c r="F25" s="31">
        <f>E25*0.002</f>
        <v>358</v>
      </c>
      <c r="G25" s="31">
        <f>E25*0.000068</f>
        <v>12.172</v>
      </c>
      <c r="H25" s="31">
        <f>E25*0.00001</f>
        <v>1.79</v>
      </c>
      <c r="I25" s="31">
        <f>(F25+G25+H25)*0.07</f>
        <v>26.03734</v>
      </c>
      <c r="J25" s="31">
        <f>E25+F25+I25+G25+H25</f>
        <v>179397.99934</v>
      </c>
    </row>
    <row r="26" spans="1:10">
      <c r="A26" s="15"/>
      <c r="B26" s="3"/>
      <c r="C26" s="17">
        <f>SUM(C24:C25)</f>
        <v>30000</v>
      </c>
      <c r="D26" s="19">
        <f>E26/C26</f>
        <v>18.1</v>
      </c>
      <c r="E26" s="19">
        <f t="shared" ref="E26:J26" si="2">SUM(E24:E25)</f>
        <v>543000</v>
      </c>
      <c r="F26" s="19">
        <f t="shared" si="2"/>
        <v>1086</v>
      </c>
      <c r="G26" s="19">
        <f t="shared" si="2"/>
        <v>36.924</v>
      </c>
      <c r="H26" s="19">
        <f t="shared" si="2"/>
        <v>5.43</v>
      </c>
      <c r="I26" s="19">
        <f t="shared" si="2"/>
        <v>78.98478</v>
      </c>
      <c r="J26" s="19">
        <f t="shared" si="2"/>
        <v>544207.33878</v>
      </c>
    </row>
    <row r="27" s="1" customFormat="1" spans="1:10">
      <c r="A27" s="13">
        <v>42688</v>
      </c>
      <c r="B27" s="9" t="s">
        <v>1</v>
      </c>
      <c r="C27" s="10">
        <v>10000</v>
      </c>
      <c r="D27" s="31">
        <v>17.7</v>
      </c>
      <c r="E27" s="31">
        <f>C27*D27</f>
        <v>177000</v>
      </c>
      <c r="F27" s="31">
        <f>E27*0.002</f>
        <v>354</v>
      </c>
      <c r="G27" s="31">
        <f>E27*0.000068</f>
        <v>12.036</v>
      </c>
      <c r="H27" s="31">
        <f>E27*0.00001</f>
        <v>1.77</v>
      </c>
      <c r="I27" s="31">
        <f>(F27+G27+H27)*0.07</f>
        <v>25.74642</v>
      </c>
      <c r="J27" s="31">
        <f>E27+F27+I27+G27+H27</f>
        <v>177393.55242</v>
      </c>
    </row>
    <row r="28" spans="1:10">
      <c r="A28" s="15"/>
      <c r="B28" s="3"/>
      <c r="C28" s="17">
        <f>SUM(C26:C27)</f>
        <v>40000</v>
      </c>
      <c r="D28" s="19">
        <f>E28/C28</f>
        <v>18</v>
      </c>
      <c r="E28" s="19">
        <f t="shared" ref="E28:J28" si="3">SUM(E26:E27)</f>
        <v>720000</v>
      </c>
      <c r="F28" s="19">
        <f t="shared" si="3"/>
        <v>1440</v>
      </c>
      <c r="G28" s="19">
        <f t="shared" si="3"/>
        <v>48.96</v>
      </c>
      <c r="H28" s="19">
        <f t="shared" si="3"/>
        <v>7.2</v>
      </c>
      <c r="I28" s="19">
        <f t="shared" si="3"/>
        <v>104.7312</v>
      </c>
      <c r="J28" s="19">
        <f t="shared" si="3"/>
        <v>721600.8912</v>
      </c>
    </row>
    <row r="29" s="1" customFormat="1" spans="1:10">
      <c r="A29" s="13">
        <v>42688</v>
      </c>
      <c r="B29" s="9" t="s">
        <v>1</v>
      </c>
      <c r="C29" s="10">
        <v>10000</v>
      </c>
      <c r="D29" s="31">
        <v>17.5</v>
      </c>
      <c r="E29" s="31">
        <f>C29*D29</f>
        <v>175000</v>
      </c>
      <c r="F29" s="31">
        <f>E29*0.002</f>
        <v>350</v>
      </c>
      <c r="G29" s="31">
        <f>E29*0.000068</f>
        <v>11.9</v>
      </c>
      <c r="H29" s="31">
        <f>E29*0.00001</f>
        <v>1.75</v>
      </c>
      <c r="I29" s="31">
        <f>(F29+G29+H29)*0.07</f>
        <v>25.4555</v>
      </c>
      <c r="J29" s="31">
        <f>E29+F29+I29+G29+H29</f>
        <v>175389.1055</v>
      </c>
    </row>
    <row r="30" spans="1:10">
      <c r="A30" s="15"/>
      <c r="B30" s="3"/>
      <c r="C30" s="17">
        <f>SUM(C28:C29)</f>
        <v>50000</v>
      </c>
      <c r="D30" s="19">
        <f>E30/C30</f>
        <v>17.9</v>
      </c>
      <c r="E30" s="19">
        <f t="shared" ref="E30:J30" si="4">SUM(E28:E29)</f>
        <v>895000</v>
      </c>
      <c r="F30" s="19">
        <f t="shared" si="4"/>
        <v>1790</v>
      </c>
      <c r="G30" s="19">
        <f t="shared" si="4"/>
        <v>60.86</v>
      </c>
      <c r="H30" s="19">
        <f t="shared" si="4"/>
        <v>8.95</v>
      </c>
      <c r="I30" s="19">
        <f t="shared" si="4"/>
        <v>130.1867</v>
      </c>
      <c r="J30" s="19">
        <f t="shared" si="4"/>
        <v>896989.9967</v>
      </c>
    </row>
    <row r="31" s="1" customFormat="1" spans="1:10">
      <c r="A31" s="13">
        <v>42688</v>
      </c>
      <c r="B31" s="9" t="s">
        <v>1</v>
      </c>
      <c r="C31" s="10">
        <v>10000</v>
      </c>
      <c r="D31" s="31">
        <v>17.3</v>
      </c>
      <c r="E31" s="31">
        <f>C31*D31</f>
        <v>173000</v>
      </c>
      <c r="F31" s="31">
        <f>E31*0.002</f>
        <v>346</v>
      </c>
      <c r="G31" s="31">
        <f>E31*0.000068</f>
        <v>11.764</v>
      </c>
      <c r="H31" s="31">
        <f>E31*0.00001</f>
        <v>1.73</v>
      </c>
      <c r="I31" s="31">
        <f>(F31+G31+H31)*0.07</f>
        <v>25.16458</v>
      </c>
      <c r="J31" s="31">
        <f>E31+F31+I31+G31+H31</f>
        <v>173384.65858</v>
      </c>
    </row>
    <row r="32" spans="1:10">
      <c r="A32" s="15"/>
      <c r="B32" s="3"/>
      <c r="C32" s="17">
        <f>SUM(C30:C31)</f>
        <v>60000</v>
      </c>
      <c r="D32" s="19">
        <f>E32/C32</f>
        <v>17.8</v>
      </c>
      <c r="E32" s="19">
        <f t="shared" ref="E32:J32" si="5">SUM(E30:E31)</f>
        <v>1068000</v>
      </c>
      <c r="F32" s="19">
        <f t="shared" si="5"/>
        <v>2136</v>
      </c>
      <c r="G32" s="19">
        <f t="shared" si="5"/>
        <v>72.624</v>
      </c>
      <c r="H32" s="19">
        <f t="shared" si="5"/>
        <v>10.68</v>
      </c>
      <c r="I32" s="19">
        <f t="shared" si="5"/>
        <v>155.35128</v>
      </c>
      <c r="J32" s="19">
        <f t="shared" si="5"/>
        <v>1070374.65528</v>
      </c>
    </row>
    <row r="33" s="1" customFormat="1" spans="1:10">
      <c r="A33" s="63">
        <v>42691</v>
      </c>
      <c r="B33" s="64" t="s">
        <v>1</v>
      </c>
      <c r="C33" s="65">
        <v>10000</v>
      </c>
      <c r="D33" s="31">
        <v>15.3</v>
      </c>
      <c r="E33" s="31">
        <f>C33*D33</f>
        <v>153000</v>
      </c>
      <c r="F33" s="31">
        <f>E33*0.002</f>
        <v>306</v>
      </c>
      <c r="G33" s="31">
        <f>E33*0.000068</f>
        <v>10.404</v>
      </c>
      <c r="H33" s="31">
        <f>E33*0.00001</f>
        <v>1.53</v>
      </c>
      <c r="I33" s="31">
        <f>(F33+G33+H33)*0.07</f>
        <v>22.25538</v>
      </c>
      <c r="J33" s="31">
        <f>E33+F33+I33+G33+H33</f>
        <v>153340.18938</v>
      </c>
    </row>
    <row r="34" spans="1:10">
      <c r="A34" s="15"/>
      <c r="B34" s="3"/>
      <c r="C34" s="17">
        <f>SUM(C32:C33)</f>
        <v>70000</v>
      </c>
      <c r="D34" s="19">
        <f>E34/C34</f>
        <v>17.4428571428571</v>
      </c>
      <c r="E34" s="19">
        <f t="shared" ref="E34:J34" si="6">SUM(E32:E33)</f>
        <v>1221000</v>
      </c>
      <c r="F34" s="19">
        <f t="shared" si="6"/>
        <v>2442</v>
      </c>
      <c r="G34" s="19">
        <f t="shared" si="6"/>
        <v>83.028</v>
      </c>
      <c r="H34" s="19">
        <f t="shared" si="6"/>
        <v>12.21</v>
      </c>
      <c r="I34" s="19">
        <f t="shared" si="6"/>
        <v>177.60666</v>
      </c>
      <c r="J34" s="19">
        <f t="shared" si="6"/>
        <v>1223714.84466</v>
      </c>
    </row>
    <row r="35" s="1" customFormat="1" spans="1:10">
      <c r="A35" s="13">
        <v>42720</v>
      </c>
      <c r="B35" s="9" t="s">
        <v>1</v>
      </c>
      <c r="C35" s="10">
        <v>10000</v>
      </c>
      <c r="D35" s="31">
        <v>17.1</v>
      </c>
      <c r="E35" s="31">
        <f>C35*D35</f>
        <v>171000</v>
      </c>
      <c r="F35" s="31">
        <f>E35*0.002</f>
        <v>342</v>
      </c>
      <c r="G35" s="31">
        <f>E35*0.000068</f>
        <v>11.628</v>
      </c>
      <c r="H35" s="31">
        <f>E35*0.00001</f>
        <v>1.71</v>
      </c>
      <c r="I35" s="31">
        <f>(F35+G35+H35)*0.07</f>
        <v>24.87366</v>
      </c>
      <c r="J35" s="31">
        <f>E35+F35+I35+G35+H35</f>
        <v>171380.21166</v>
      </c>
    </row>
    <row r="36" spans="1:10">
      <c r="A36" s="15"/>
      <c r="B36" s="3"/>
      <c r="C36" s="17">
        <f>SUM(C34:C35)</f>
        <v>80000</v>
      </c>
      <c r="D36" s="19">
        <f>E36/C36</f>
        <v>17.4</v>
      </c>
      <c r="E36" s="19">
        <f t="shared" ref="E36:J36" si="7">SUM(E34:E35)</f>
        <v>1392000</v>
      </c>
      <c r="F36" s="19">
        <f t="shared" si="7"/>
        <v>2784</v>
      </c>
      <c r="G36" s="19">
        <f t="shared" si="7"/>
        <v>94.656</v>
      </c>
      <c r="H36" s="19">
        <f t="shared" si="7"/>
        <v>13.92</v>
      </c>
      <c r="I36" s="19">
        <f t="shared" si="7"/>
        <v>202.48032</v>
      </c>
      <c r="J36" s="19">
        <f t="shared" si="7"/>
        <v>1395095.05632</v>
      </c>
    </row>
    <row r="38" s="9" customFormat="1" spans="1:11">
      <c r="A38" s="13">
        <v>42685</v>
      </c>
      <c r="B38" s="13" t="s">
        <v>1</v>
      </c>
      <c r="C38" s="10">
        <v>20000</v>
      </c>
      <c r="D38" s="31">
        <v>18.2</v>
      </c>
      <c r="E38" s="31">
        <f t="shared" ref="E38:E44" si="8">C38*D38</f>
        <v>364000</v>
      </c>
      <c r="F38" s="31">
        <f t="shared" ref="F38:F44" si="9">E38*0.002</f>
        <v>728</v>
      </c>
      <c r="G38" s="31">
        <f t="shared" ref="G38:G44" si="10">E38*0.000068</f>
        <v>24.752</v>
      </c>
      <c r="H38" s="31">
        <f t="shared" ref="H38:H44" si="11">E38*0.00001</f>
        <v>3.64</v>
      </c>
      <c r="I38" s="31">
        <f t="shared" ref="I38:I44" si="12">(F38+G38+H38)*0.07</f>
        <v>52.94744</v>
      </c>
      <c r="J38" s="31">
        <f t="shared" ref="J38:J44" si="13">E38+F38+I38+G38+H38</f>
        <v>364809.33944</v>
      </c>
      <c r="K38" s="11"/>
    </row>
    <row r="39" s="1" customFormat="1" spans="1:10">
      <c r="A39" s="13">
        <v>42688</v>
      </c>
      <c r="B39" s="9" t="s">
        <v>1</v>
      </c>
      <c r="C39" s="10">
        <v>10000</v>
      </c>
      <c r="D39" s="31">
        <v>17.9</v>
      </c>
      <c r="E39" s="31">
        <f t="shared" si="8"/>
        <v>179000</v>
      </c>
      <c r="F39" s="31">
        <f t="shared" si="9"/>
        <v>358</v>
      </c>
      <c r="G39" s="31">
        <f t="shared" si="10"/>
        <v>12.172</v>
      </c>
      <c r="H39" s="31">
        <f t="shared" si="11"/>
        <v>1.79</v>
      </c>
      <c r="I39" s="31">
        <f t="shared" si="12"/>
        <v>26.03734</v>
      </c>
      <c r="J39" s="31">
        <f t="shared" si="13"/>
        <v>179397.99934</v>
      </c>
    </row>
    <row r="40" s="1" customFormat="1" spans="1:10">
      <c r="A40" s="13">
        <v>42688</v>
      </c>
      <c r="B40" s="9" t="s">
        <v>1</v>
      </c>
      <c r="C40" s="10">
        <v>10000</v>
      </c>
      <c r="D40" s="31">
        <v>17.7</v>
      </c>
      <c r="E40" s="31">
        <f t="shared" si="8"/>
        <v>177000</v>
      </c>
      <c r="F40" s="31">
        <f t="shared" si="9"/>
        <v>354</v>
      </c>
      <c r="G40" s="31">
        <f t="shared" si="10"/>
        <v>12.036</v>
      </c>
      <c r="H40" s="31">
        <f t="shared" si="11"/>
        <v>1.77</v>
      </c>
      <c r="I40" s="31">
        <f t="shared" si="12"/>
        <v>25.74642</v>
      </c>
      <c r="J40" s="31">
        <f t="shared" si="13"/>
        <v>177393.55242</v>
      </c>
    </row>
    <row r="41" s="1" customFormat="1" spans="1:10">
      <c r="A41" s="13">
        <v>42688</v>
      </c>
      <c r="B41" s="9" t="s">
        <v>1</v>
      </c>
      <c r="C41" s="10">
        <v>10000</v>
      </c>
      <c r="D41" s="31">
        <v>17.5</v>
      </c>
      <c r="E41" s="31">
        <f t="shared" si="8"/>
        <v>175000</v>
      </c>
      <c r="F41" s="31">
        <f t="shared" si="9"/>
        <v>350</v>
      </c>
      <c r="G41" s="31">
        <f t="shared" si="10"/>
        <v>11.9</v>
      </c>
      <c r="H41" s="31">
        <f t="shared" si="11"/>
        <v>1.75</v>
      </c>
      <c r="I41" s="31">
        <f t="shared" si="12"/>
        <v>25.4555</v>
      </c>
      <c r="J41" s="31">
        <f t="shared" si="13"/>
        <v>175389.1055</v>
      </c>
    </row>
    <row r="42" s="1" customFormat="1" spans="1:10">
      <c r="A42" s="13">
        <v>42688</v>
      </c>
      <c r="B42" s="9" t="s">
        <v>1</v>
      </c>
      <c r="C42" s="10">
        <v>10000</v>
      </c>
      <c r="D42" s="31">
        <v>17.3</v>
      </c>
      <c r="E42" s="31">
        <f t="shared" si="8"/>
        <v>173000</v>
      </c>
      <c r="F42" s="31">
        <f t="shared" si="9"/>
        <v>346</v>
      </c>
      <c r="G42" s="31">
        <f t="shared" si="10"/>
        <v>11.764</v>
      </c>
      <c r="H42" s="31">
        <f t="shared" si="11"/>
        <v>1.73</v>
      </c>
      <c r="I42" s="31">
        <f t="shared" si="12"/>
        <v>25.16458</v>
      </c>
      <c r="J42" s="31">
        <f t="shared" si="13"/>
        <v>173384.65858</v>
      </c>
    </row>
    <row r="43" s="1" customFormat="1" spans="1:10">
      <c r="A43" s="13">
        <v>42691</v>
      </c>
      <c r="B43" s="9" t="s">
        <v>1</v>
      </c>
      <c r="C43" s="10">
        <v>10000</v>
      </c>
      <c r="D43" s="31">
        <v>15.3</v>
      </c>
      <c r="E43" s="31">
        <f t="shared" si="8"/>
        <v>153000</v>
      </c>
      <c r="F43" s="31">
        <f t="shared" si="9"/>
        <v>306</v>
      </c>
      <c r="G43" s="31">
        <f t="shared" si="10"/>
        <v>10.404</v>
      </c>
      <c r="H43" s="31">
        <f t="shared" si="11"/>
        <v>1.53</v>
      </c>
      <c r="I43" s="31">
        <f t="shared" si="12"/>
        <v>22.25538</v>
      </c>
      <c r="J43" s="31">
        <f t="shared" si="13"/>
        <v>153340.18938</v>
      </c>
    </row>
    <row r="44" s="1" customFormat="1" spans="1:10">
      <c r="A44" s="13">
        <v>42720</v>
      </c>
      <c r="B44" s="9" t="s">
        <v>1</v>
      </c>
      <c r="C44" s="10">
        <v>10000</v>
      </c>
      <c r="D44" s="31">
        <v>17.1</v>
      </c>
      <c r="E44" s="31">
        <f t="shared" si="8"/>
        <v>171000</v>
      </c>
      <c r="F44" s="31">
        <f t="shared" si="9"/>
        <v>342</v>
      </c>
      <c r="G44" s="31">
        <f t="shared" si="10"/>
        <v>11.628</v>
      </c>
      <c r="H44" s="31">
        <f t="shared" si="11"/>
        <v>1.71</v>
      </c>
      <c r="I44" s="31">
        <f t="shared" si="12"/>
        <v>24.87366</v>
      </c>
      <c r="J44" s="31">
        <f t="shared" si="13"/>
        <v>171380.21166</v>
      </c>
    </row>
    <row r="45" spans="3:10">
      <c r="C45" s="6">
        <f>SUM(C38:C44)</f>
        <v>80000</v>
      </c>
      <c r="D45" s="62">
        <f>E45/C45</f>
        <v>17.4</v>
      </c>
      <c r="E45" s="62">
        <f t="shared" ref="E45:J45" si="14">SUM(E38:E44)</f>
        <v>1392000</v>
      </c>
      <c r="F45" s="62">
        <f t="shared" si="14"/>
        <v>2784</v>
      </c>
      <c r="G45" s="62">
        <f t="shared" si="14"/>
        <v>94.656</v>
      </c>
      <c r="H45" s="62">
        <f t="shared" si="14"/>
        <v>13.92</v>
      </c>
      <c r="I45" s="62">
        <f t="shared" si="14"/>
        <v>202.48032</v>
      </c>
      <c r="J45" s="62">
        <f t="shared" si="14"/>
        <v>1395095.05632</v>
      </c>
    </row>
    <row r="47" s="1" customFormat="1" spans="1:10">
      <c r="A47" s="13">
        <v>42720</v>
      </c>
      <c r="B47" s="9" t="s">
        <v>26</v>
      </c>
      <c r="C47" s="10">
        <v>75000</v>
      </c>
      <c r="D47" s="31">
        <v>16.9</v>
      </c>
      <c r="E47" s="31">
        <f>C47*D47</f>
        <v>1267500</v>
      </c>
      <c r="F47" s="31">
        <f>E47*0.002</f>
        <v>2535</v>
      </c>
      <c r="G47" s="31">
        <f>E47*0.000068</f>
        <v>86.19</v>
      </c>
      <c r="H47" s="31">
        <f>E47*0.00001</f>
        <v>12.675</v>
      </c>
      <c r="I47" s="31">
        <f>(F47+G47+H47)*0.07</f>
        <v>184.37055</v>
      </c>
      <c r="J47" s="31">
        <f>E47+F47+I47+G47+H47</f>
        <v>1270318.23555</v>
      </c>
    </row>
    <row r="48" s="1" customFormat="1" spans="1:10">
      <c r="A48" s="13">
        <v>44271</v>
      </c>
      <c r="B48" s="9" t="s">
        <v>1</v>
      </c>
      <c r="C48" s="10">
        <v>5000</v>
      </c>
      <c r="D48" s="31">
        <v>13.7</v>
      </c>
      <c r="E48" s="31">
        <f>C48*D48</f>
        <v>68500</v>
      </c>
      <c r="F48" s="31">
        <f>E48*0.002</f>
        <v>137</v>
      </c>
      <c r="G48" s="31">
        <f>E48*0.000068</f>
        <v>4.658</v>
      </c>
      <c r="H48" s="31">
        <f>E48*0.00001</f>
        <v>0.685</v>
      </c>
      <c r="I48" s="31">
        <f>(F48+G48+H48)*0.07</f>
        <v>9.96401</v>
      </c>
      <c r="J48" s="31">
        <f>E48+F48+I48+G48+H48</f>
        <v>68652.30701</v>
      </c>
    </row>
    <row r="49" spans="1:10">
      <c r="A49" s="15"/>
      <c r="B49" s="3"/>
      <c r="C49" s="17">
        <f>SUM(C47:C48)</f>
        <v>80000</v>
      </c>
      <c r="D49" s="19">
        <f>E49/C49</f>
        <v>16.7</v>
      </c>
      <c r="E49" s="19">
        <f t="shared" ref="E49:J49" si="15">SUM(E47:E48)</f>
        <v>1336000</v>
      </c>
      <c r="F49" s="19">
        <f t="shared" si="15"/>
        <v>2672</v>
      </c>
      <c r="G49" s="19">
        <f t="shared" si="15"/>
        <v>90.848</v>
      </c>
      <c r="H49" s="19">
        <f t="shared" si="15"/>
        <v>13.36</v>
      </c>
      <c r="I49" s="19">
        <f t="shared" si="15"/>
        <v>194.33456</v>
      </c>
      <c r="J49" s="19">
        <f t="shared" si="15"/>
        <v>1338970.54256</v>
      </c>
    </row>
    <row r="50" s="1" customFormat="1" spans="1:10">
      <c r="A50" s="13">
        <v>44351</v>
      </c>
      <c r="B50" s="9" t="s">
        <v>26</v>
      </c>
      <c r="C50" s="10">
        <v>70000</v>
      </c>
      <c r="D50" s="31">
        <v>16.7</v>
      </c>
      <c r="E50" s="31">
        <f>C50*D50</f>
        <v>1169000</v>
      </c>
      <c r="F50" s="31">
        <f>E50*0.002</f>
        <v>2338</v>
      </c>
      <c r="G50" s="31">
        <f>E50*0.000068</f>
        <v>79.492</v>
      </c>
      <c r="H50" s="31">
        <f>E50*0.00001</f>
        <v>11.69</v>
      </c>
      <c r="I50" s="31">
        <f>(F50+G50+H50)*0.07</f>
        <v>170.04274</v>
      </c>
      <c r="J50" s="31">
        <f>E50+F50+I50+G50+H50</f>
        <v>1171599.22474</v>
      </c>
    </row>
    <row r="51" s="1" customFormat="1" spans="1:10">
      <c r="A51" s="13">
        <v>44557</v>
      </c>
      <c r="B51" s="9" t="s">
        <v>26</v>
      </c>
      <c r="C51" s="10">
        <v>60000</v>
      </c>
      <c r="D51" s="31">
        <v>16.7</v>
      </c>
      <c r="E51" s="31">
        <f>C51*D51</f>
        <v>1002000</v>
      </c>
      <c r="F51" s="31">
        <f>E51*0.002</f>
        <v>2004</v>
      </c>
      <c r="G51" s="31">
        <f>E51*0.000068</f>
        <v>68.136</v>
      </c>
      <c r="H51" s="31">
        <f>E51*0.00001</f>
        <v>10.02</v>
      </c>
      <c r="I51" s="31">
        <f>(F51+G51+H51)*0.07</f>
        <v>145.75092</v>
      </c>
      <c r="J51" s="31">
        <f>E51+F51+I51+G51+H51</f>
        <v>1004227.90692</v>
      </c>
    </row>
    <row r="52" s="1" customFormat="1" spans="1:10">
      <c r="A52" s="13">
        <v>44588</v>
      </c>
      <c r="B52" s="9" t="s">
        <v>26</v>
      </c>
      <c r="C52" s="10">
        <v>55000</v>
      </c>
      <c r="D52" s="31">
        <v>16.7</v>
      </c>
      <c r="E52" s="31">
        <f>C52*D52</f>
        <v>918500</v>
      </c>
      <c r="F52" s="31">
        <f>E52*0.002</f>
        <v>1837</v>
      </c>
      <c r="G52" s="31">
        <f>E52*0.000068</f>
        <v>62.458</v>
      </c>
      <c r="H52" s="31">
        <f>E52*0.00001</f>
        <v>9.185</v>
      </c>
      <c r="I52" s="31">
        <f>(F52+G52+H52)*0.07</f>
        <v>133.60501</v>
      </c>
      <c r="J52" s="31">
        <f>E52+F52+I52+G52+H52</f>
        <v>920542.24801</v>
      </c>
    </row>
    <row r="53" s="1" customFormat="1" spans="1:10">
      <c r="A53" s="13">
        <v>44595</v>
      </c>
      <c r="B53" s="9" t="s">
        <v>26</v>
      </c>
      <c r="C53" s="10">
        <v>50000</v>
      </c>
      <c r="D53" s="31">
        <v>16.7</v>
      </c>
      <c r="E53" s="31">
        <f>C53*D53</f>
        <v>835000</v>
      </c>
      <c r="F53" s="31">
        <f>E53*0.002</f>
        <v>1670</v>
      </c>
      <c r="G53" s="31">
        <f>E53*0.000068</f>
        <v>56.78</v>
      </c>
      <c r="H53" s="31">
        <f>E53*0.00001</f>
        <v>8.35</v>
      </c>
      <c r="I53" s="31">
        <f>(F53+G53+H53)*0.07</f>
        <v>121.4591</v>
      </c>
      <c r="J53" s="31">
        <f>E53+F53+I53+G53+H53</f>
        <v>836856.5891</v>
      </c>
    </row>
    <row r="54" s="1" customFormat="1" spans="1:10">
      <c r="A54" s="63">
        <v>44669</v>
      </c>
      <c r="B54" s="64" t="s">
        <v>1</v>
      </c>
      <c r="C54" s="65">
        <v>25000</v>
      </c>
      <c r="D54" s="31">
        <v>12.8</v>
      </c>
      <c r="E54" s="31">
        <f>C54*D54</f>
        <v>320000</v>
      </c>
      <c r="F54" s="31">
        <f>E54*0.002</f>
        <v>640</v>
      </c>
      <c r="G54" s="31">
        <f>E54*0.000068</f>
        <v>21.76</v>
      </c>
      <c r="H54" s="31">
        <f>E54*0.00001</f>
        <v>3.2</v>
      </c>
      <c r="I54" s="31">
        <f>(F54+G54+H54)*0.07</f>
        <v>46.5472</v>
      </c>
      <c r="J54" s="31">
        <f>E54+F54+I54+G54+H54</f>
        <v>320711.5072</v>
      </c>
    </row>
    <row r="55" spans="1:10">
      <c r="A55" s="15"/>
      <c r="B55" s="47">
        <f>(D54-D53)/D53</f>
        <v>-0.233532934131736</v>
      </c>
      <c r="C55" s="17">
        <f>SUM(C53:C54)</f>
        <v>75000</v>
      </c>
      <c r="D55" s="19">
        <f>E55/C55</f>
        <v>15.4</v>
      </c>
      <c r="E55" s="19">
        <f t="shared" ref="E55:J55" si="16">SUM(E53:E54)</f>
        <v>1155000</v>
      </c>
      <c r="F55" s="19">
        <f t="shared" si="16"/>
        <v>2310</v>
      </c>
      <c r="G55" s="19">
        <f t="shared" si="16"/>
        <v>78.54</v>
      </c>
      <c r="H55" s="19">
        <f t="shared" si="16"/>
        <v>11.55</v>
      </c>
      <c r="I55" s="19">
        <f t="shared" si="16"/>
        <v>168.0063</v>
      </c>
      <c r="J55" s="19">
        <f t="shared" si="16"/>
        <v>1157568.0963</v>
      </c>
    </row>
    <row r="56" s="1" customFormat="1" spans="1:10">
      <c r="A56" s="13">
        <v>45709</v>
      </c>
      <c r="B56" s="9" t="s">
        <v>1</v>
      </c>
      <c r="C56" s="10">
        <v>6000</v>
      </c>
      <c r="D56" s="31">
        <v>7.3</v>
      </c>
      <c r="E56" s="31">
        <f>C56*D56</f>
        <v>43800</v>
      </c>
      <c r="F56" s="31">
        <f>E56*0.002</f>
        <v>87.6</v>
      </c>
      <c r="G56" s="31">
        <f>E56*0.000068</f>
        <v>2.9784</v>
      </c>
      <c r="H56" s="31">
        <f>E56*0.00001</f>
        <v>0.438</v>
      </c>
      <c r="I56" s="31">
        <f>(F56+G56+H56)*0.07</f>
        <v>6.371148</v>
      </c>
      <c r="J56" s="31">
        <f>E56+F56+I56+G56+H56</f>
        <v>43897.387548</v>
      </c>
    </row>
    <row r="57" spans="2:10">
      <c r="B57" s="47">
        <f>(D56-D55)/D55</f>
        <v>-0.525974025974026</v>
      </c>
      <c r="C57" s="6">
        <f>SUM(C55:C56)</f>
        <v>81000</v>
      </c>
      <c r="D57" s="62">
        <f>E57/C57</f>
        <v>14.8</v>
      </c>
      <c r="E57" s="62">
        <f t="shared" ref="E57:J57" si="17">SUM(E55:E56)</f>
        <v>1198800</v>
      </c>
      <c r="F57" s="62">
        <f t="shared" si="17"/>
        <v>2397.6</v>
      </c>
      <c r="G57" s="62">
        <f t="shared" si="17"/>
        <v>81.5184</v>
      </c>
      <c r="H57" s="62">
        <f t="shared" si="17"/>
        <v>11.988</v>
      </c>
      <c r="I57" s="62">
        <f t="shared" si="17"/>
        <v>174.377448</v>
      </c>
      <c r="J57" s="62">
        <f t="shared" si="17"/>
        <v>1201465.483848</v>
      </c>
    </row>
    <row r="58" spans="1:10">
      <c r="A58" s="26">
        <v>45896</v>
      </c>
      <c r="B58" s="9" t="s">
        <v>3</v>
      </c>
      <c r="C58" s="10">
        <v>6000</v>
      </c>
      <c r="D58" s="31">
        <v>8.4</v>
      </c>
      <c r="E58" s="31">
        <f>C58*D58</f>
        <v>50400</v>
      </c>
      <c r="F58" s="31">
        <f>E58*0.002</f>
        <v>100.8</v>
      </c>
      <c r="G58" s="31">
        <f>E58*0.000068</f>
        <v>3.4272</v>
      </c>
      <c r="H58" s="31">
        <f>E58*0.00001</f>
        <v>0.504</v>
      </c>
      <c r="I58" s="31">
        <f>(F58+G58+H58)*0.07</f>
        <v>7.331184</v>
      </c>
      <c r="J58" s="31">
        <f>E58-F58-G58-H58-I58</f>
        <v>50287.937616</v>
      </c>
    </row>
    <row r="59" spans="1:10">
      <c r="A59" s="61">
        <f>DAYS360(A57,A58)</f>
        <v>45237</v>
      </c>
      <c r="B59" s="35">
        <f>(D58-D57)/D57</f>
        <v>-0.432432432432432</v>
      </c>
      <c r="C59" s="10">
        <f>C57-C58</f>
        <v>75000</v>
      </c>
      <c r="D59" s="31">
        <f>E59/C59</f>
        <v>15.312</v>
      </c>
      <c r="E59" s="31">
        <f>E57-E58</f>
        <v>1148400</v>
      </c>
      <c r="F59" s="31"/>
      <c r="G59" s="31"/>
      <c r="H59" s="31"/>
      <c r="I59" s="31"/>
      <c r="J59" s="31">
        <f>J57-J58</f>
        <v>1151177.546232</v>
      </c>
    </row>
    <row r="60" s="1" customFormat="1" spans="1:10">
      <c r="A60" s="13">
        <v>46139</v>
      </c>
      <c r="B60" s="9" t="s">
        <v>1</v>
      </c>
      <c r="C60" s="10">
        <v>5000</v>
      </c>
      <c r="D60" s="31">
        <v>8</v>
      </c>
      <c r="E60" s="31">
        <f>C60*D60</f>
        <v>40000</v>
      </c>
      <c r="F60" s="31">
        <f>E60*0.002</f>
        <v>80</v>
      </c>
      <c r="G60" s="31">
        <f>E60*0.000068</f>
        <v>2.72</v>
      </c>
      <c r="H60" s="31">
        <f>E60*0.00001</f>
        <v>0.4</v>
      </c>
      <c r="I60" s="31">
        <f>(F60+G60+H60)*0.07</f>
        <v>5.8184</v>
      </c>
      <c r="J60" s="31">
        <f>E60+F60+I60+G60+H60</f>
        <v>40088.9384</v>
      </c>
    </row>
    <row r="61" spans="1:10">
      <c r="A61" s="26">
        <v>46153</v>
      </c>
      <c r="B61" s="9" t="s">
        <v>3</v>
      </c>
      <c r="C61" s="10">
        <v>5000</v>
      </c>
      <c r="D61" s="31">
        <v>7.8</v>
      </c>
      <c r="E61" s="31">
        <f>C61*D61</f>
        <v>39000</v>
      </c>
      <c r="F61" s="31">
        <f>E61*0.002</f>
        <v>78</v>
      </c>
      <c r="G61" s="31">
        <f>E61*0.000068</f>
        <v>2.652</v>
      </c>
      <c r="H61" s="31">
        <f>E61*0.00001</f>
        <v>0.39</v>
      </c>
      <c r="I61" s="31">
        <f>(F61+G61+H61)*0.07</f>
        <v>5.67294</v>
      </c>
      <c r="J61" s="31">
        <f>E61-F61-G61-H61-I61</f>
        <v>38913.28506</v>
      </c>
    </row>
    <row r="62" spans="1:10">
      <c r="A62" s="24">
        <v>46153</v>
      </c>
      <c r="B62" s="5" t="s">
        <v>26</v>
      </c>
      <c r="C62" s="6">
        <v>75000</v>
      </c>
      <c r="D62" s="25">
        <f>E62/C62</f>
        <v>15.312</v>
      </c>
      <c r="E62" s="19">
        <v>1148400</v>
      </c>
      <c r="J62" s="62">
        <v>1151177.546232</v>
      </c>
    </row>
    <row r="63" spans="5:5">
      <c r="E63" s="19"/>
    </row>
    <row r="64" spans="5:5">
      <c r="E64" s="19"/>
    </row>
    <row r="66" s="1" customFormat="1" spans="1:10">
      <c r="A66" s="13">
        <v>44672</v>
      </c>
      <c r="B66" s="9" t="s">
        <v>1</v>
      </c>
      <c r="C66" s="10">
        <v>15000</v>
      </c>
      <c r="D66" s="31">
        <v>12.1</v>
      </c>
      <c r="E66" s="31">
        <f>C66*D66</f>
        <v>181500</v>
      </c>
      <c r="F66" s="31">
        <f>E66*0.002</f>
        <v>363</v>
      </c>
      <c r="G66" s="31">
        <f>E66*0.000068</f>
        <v>12.342</v>
      </c>
      <c r="H66" s="31">
        <f>E66*0.00001</f>
        <v>1.815</v>
      </c>
      <c r="I66" s="31">
        <f>(F66+G66+H66)*0.07</f>
        <v>26.40099</v>
      </c>
      <c r="J66" s="31">
        <f>E66+F66+I66+G66+H66</f>
        <v>181903.55799</v>
      </c>
    </row>
    <row r="67" spans="1:10">
      <c r="A67" s="26">
        <v>44679</v>
      </c>
      <c r="B67" s="9" t="s">
        <v>3</v>
      </c>
      <c r="C67" s="10">
        <f>C66</f>
        <v>15000</v>
      </c>
      <c r="D67" s="31">
        <v>12.5</v>
      </c>
      <c r="E67" s="31">
        <f>C67*D67</f>
        <v>187500</v>
      </c>
      <c r="F67" s="31">
        <f>E67*0.002</f>
        <v>375</v>
      </c>
      <c r="G67" s="31">
        <f>E67*0.000068</f>
        <v>12.75</v>
      </c>
      <c r="H67" s="31">
        <f>E67*0.00001</f>
        <v>1.875</v>
      </c>
      <c r="I67" s="31">
        <f>(F67+G67+H67)*0.07</f>
        <v>27.27375</v>
      </c>
      <c r="J67" s="31">
        <f>E67-F67-G67-H67-I67</f>
        <v>187083.10125</v>
      </c>
    </row>
    <row r="68" spans="1:10">
      <c r="A68" s="61">
        <f>DAYS360(A66,A67)</f>
        <v>7</v>
      </c>
      <c r="B68" s="35">
        <f>(D67-D66)/D66</f>
        <v>0.0330578512396695</v>
      </c>
      <c r="C68" s="10"/>
      <c r="D68" s="31"/>
      <c r="E68" s="31">
        <f>E67-E66</f>
        <v>6000</v>
      </c>
      <c r="F68" s="31"/>
      <c r="G68" s="31"/>
      <c r="H68" s="31"/>
      <c r="I68" s="31"/>
      <c r="J68" s="31">
        <f>J67-J66</f>
        <v>5179.54326000001</v>
      </c>
    </row>
    <row r="69" s="1" customFormat="1" spans="1:10">
      <c r="A69" s="13">
        <v>44740</v>
      </c>
      <c r="B69" s="9" t="s">
        <v>1</v>
      </c>
      <c r="C69" s="10">
        <v>3000</v>
      </c>
      <c r="D69" s="31">
        <v>7.6</v>
      </c>
      <c r="E69" s="31">
        <f>C69*D69</f>
        <v>22800</v>
      </c>
      <c r="F69" s="31">
        <f>E69*0.002</f>
        <v>45.6</v>
      </c>
      <c r="G69" s="31">
        <f>E69*0.000068</f>
        <v>1.5504</v>
      </c>
      <c r="H69" s="31">
        <f>E69*0.00001</f>
        <v>0.228</v>
      </c>
      <c r="I69" s="31">
        <f>(F69+G69+H69)*0.07</f>
        <v>3.316488</v>
      </c>
      <c r="J69" s="31">
        <f>E69+F69+I69+G69+H69</f>
        <v>22850.694888</v>
      </c>
    </row>
    <row r="70" spans="1:10">
      <c r="A70" s="26">
        <v>44741</v>
      </c>
      <c r="B70" s="9" t="s">
        <v>3</v>
      </c>
      <c r="C70" s="10">
        <f>C69</f>
        <v>3000</v>
      </c>
      <c r="D70" s="31">
        <v>11.7</v>
      </c>
      <c r="E70" s="31">
        <f>C70*D70</f>
        <v>35100</v>
      </c>
      <c r="F70" s="31">
        <f>E70*0.002</f>
        <v>70.2</v>
      </c>
      <c r="G70" s="31">
        <f>E70*0.000068</f>
        <v>2.3868</v>
      </c>
      <c r="H70" s="31">
        <f>E70*0.00001</f>
        <v>0.351</v>
      </c>
      <c r="I70" s="31">
        <f>(F70+G70+H70)*0.07</f>
        <v>5.105646</v>
      </c>
      <c r="J70" s="31">
        <f>E70-F70-G70-H70-I70</f>
        <v>35021.956554</v>
      </c>
    </row>
    <row r="71" spans="1:10">
      <c r="A71" s="61">
        <f>DAYS360(A69,A70)</f>
        <v>1</v>
      </c>
      <c r="B71" s="35">
        <f>(D70-D69)/D69</f>
        <v>0.539473684210526</v>
      </c>
      <c r="C71" s="10"/>
      <c r="D71" s="31"/>
      <c r="E71" s="31">
        <f>E70-E69</f>
        <v>12300</v>
      </c>
      <c r="F71" s="31"/>
      <c r="G71" s="31"/>
      <c r="H71" s="31"/>
      <c r="I71" s="31"/>
      <c r="J71" s="31">
        <f>J70-J69</f>
        <v>12171.261666</v>
      </c>
    </row>
    <row r="72" s="9" customFormat="1" spans="1:10">
      <c r="A72" s="13">
        <v>45063</v>
      </c>
      <c r="B72" s="9" t="s">
        <v>1</v>
      </c>
      <c r="C72" s="10">
        <v>3000</v>
      </c>
      <c r="D72" s="31">
        <v>7.6</v>
      </c>
      <c r="E72" s="31">
        <f>C72*D72</f>
        <v>22800</v>
      </c>
      <c r="F72" s="31">
        <f>E72*0.002</f>
        <v>45.6</v>
      </c>
      <c r="G72" s="31">
        <f>E72*0.000068</f>
        <v>1.5504</v>
      </c>
      <c r="H72" s="31">
        <f>E72*0.00001</f>
        <v>0.228</v>
      </c>
      <c r="I72" s="31">
        <f>(F72+G72+H72)*0.07</f>
        <v>3.316488</v>
      </c>
      <c r="J72" s="31">
        <f>E72+F72+I72+G72+H72</f>
        <v>22850.694888</v>
      </c>
    </row>
    <row r="73" spans="1:10">
      <c r="A73" s="26">
        <v>45560</v>
      </c>
      <c r="B73" s="9" t="s">
        <v>3</v>
      </c>
      <c r="C73" s="10">
        <f>C72</f>
        <v>3000</v>
      </c>
      <c r="D73" s="31">
        <v>8.05</v>
      </c>
      <c r="E73" s="31">
        <f>C73*D73</f>
        <v>24150</v>
      </c>
      <c r="F73" s="31">
        <f>E73*0.002</f>
        <v>48.3</v>
      </c>
      <c r="G73" s="31">
        <f>E73*0.000068</f>
        <v>1.6422</v>
      </c>
      <c r="H73" s="31">
        <f>E73*0.00001</f>
        <v>0.2415</v>
      </c>
      <c r="I73" s="31">
        <f>(F73+G73+H73)*0.07</f>
        <v>3.512859</v>
      </c>
      <c r="J73" s="31">
        <f>E73-F73-G73-H73-I73</f>
        <v>24096.303441</v>
      </c>
    </row>
    <row r="74" spans="1:10">
      <c r="A74" s="61">
        <f>DAYS360(A72,A73)</f>
        <v>488</v>
      </c>
      <c r="B74" s="35">
        <f>(D73-D72)/D72</f>
        <v>0.0592105263157896</v>
      </c>
      <c r="C74" s="10"/>
      <c r="D74" s="31"/>
      <c r="E74" s="31">
        <f>E73-E72</f>
        <v>1350</v>
      </c>
      <c r="F74" s="31"/>
      <c r="G74" s="31"/>
      <c r="H74" s="31"/>
      <c r="I74" s="31"/>
      <c r="J74" s="31">
        <f>J73-J72</f>
        <v>1245.60855300001</v>
      </c>
    </row>
    <row r="75" s="1" customFormat="1" spans="1:10">
      <c r="A75" s="13">
        <v>45709</v>
      </c>
      <c r="B75" s="9" t="s">
        <v>1</v>
      </c>
      <c r="C75" s="10">
        <v>6000</v>
      </c>
      <c r="D75" s="31">
        <v>7.3</v>
      </c>
      <c r="E75" s="31">
        <f>C75*D75</f>
        <v>43800</v>
      </c>
      <c r="F75" s="31">
        <f>E75*0.002</f>
        <v>87.6</v>
      </c>
      <c r="G75" s="31">
        <f>E75*0.000068</f>
        <v>2.9784</v>
      </c>
      <c r="H75" s="31">
        <f>E75*0.00001</f>
        <v>0.438</v>
      </c>
      <c r="I75" s="31">
        <f>(F75+G75+H75)*0.07</f>
        <v>6.371148</v>
      </c>
      <c r="J75" s="31">
        <f>E75+F75+I75+G75+H75</f>
        <v>43897.387548</v>
      </c>
    </row>
    <row r="76" spans="1:10">
      <c r="A76" s="26">
        <v>45896</v>
      </c>
      <c r="B76" s="9" t="s">
        <v>3</v>
      </c>
      <c r="C76" s="10">
        <f>C75</f>
        <v>6000</v>
      </c>
      <c r="D76" s="31">
        <v>8.4</v>
      </c>
      <c r="E76" s="31">
        <f>C76*D76</f>
        <v>50400</v>
      </c>
      <c r="F76" s="31">
        <f>E76*0.002</f>
        <v>100.8</v>
      </c>
      <c r="G76" s="31">
        <f>E76*0.000068</f>
        <v>3.4272</v>
      </c>
      <c r="H76" s="31">
        <f>E76*0.00001</f>
        <v>0.504</v>
      </c>
      <c r="I76" s="31">
        <f>(F76+G76+H76)*0.07</f>
        <v>7.331184</v>
      </c>
      <c r="J76" s="31">
        <f>E76-F76-G76-H76-I76</f>
        <v>50287.937616</v>
      </c>
    </row>
    <row r="77" spans="1:10">
      <c r="A77" s="61">
        <f>DAYS360(A75,A76)</f>
        <v>186</v>
      </c>
      <c r="B77" s="35">
        <f>(D76-D75)/D75</f>
        <v>0.150684931506849</v>
      </c>
      <c r="C77" s="10"/>
      <c r="D77" s="31"/>
      <c r="E77" s="31">
        <f>E76-E75</f>
        <v>6600</v>
      </c>
      <c r="F77" s="31"/>
      <c r="G77" s="31"/>
      <c r="H77" s="31"/>
      <c r="I77" s="31"/>
      <c r="J77" s="31">
        <f>J76-J75</f>
        <v>6390.550068</v>
      </c>
    </row>
    <row r="79" spans="5:5">
      <c r="E79" s="62">
        <f>E55+E75</f>
        <v>1198800</v>
      </c>
    </row>
    <row r="81" spans="1:12">
      <c r="A81" s="66" t="s">
        <v>25</v>
      </c>
      <c r="B81" s="66">
        <v>901</v>
      </c>
      <c r="C81" s="67">
        <v>43</v>
      </c>
      <c r="D81" s="68">
        <v>42826</v>
      </c>
      <c r="E81" s="67">
        <v>10000</v>
      </c>
      <c r="F81" s="66">
        <v>16.7</v>
      </c>
      <c r="G81" s="66">
        <v>345.69</v>
      </c>
      <c r="H81" s="66">
        <v>24.2</v>
      </c>
      <c r="I81" s="66" t="s">
        <v>27</v>
      </c>
      <c r="J81" s="69">
        <v>167369.89</v>
      </c>
      <c r="K81" s="66" t="s">
        <v>28</v>
      </c>
      <c r="L81" s="66" t="s">
        <v>29</v>
      </c>
    </row>
  </sheetData>
  <sheetProtection selectLockedCells="1" selectUnlockedCells="1"/>
  <pageMargins left="0.7" right="0.7" top="0.75" bottom="0.75" header="0.511805555555556" footer="0.511805555555556"/>
  <pageSetup paperSize="9" firstPageNumber="0" orientation="portrait" useFirstPageNumber="1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workbookViewId="0">
      <selection activeCell="D10" sqref="D10"/>
    </sheetView>
  </sheetViews>
  <sheetFormatPr defaultColWidth="8.88888888888889" defaultRowHeight="13.8"/>
  <cols>
    <col min="1" max="1" width="10.6666666666667" style="4" customWidth="1"/>
    <col min="2" max="2" width="7.44444444444444" style="5" customWidth="1"/>
    <col min="3" max="3" width="6.66666666666667" style="5" customWidth="1"/>
    <col min="4" max="4" width="7.66666666666667" style="5" customWidth="1"/>
    <col min="5" max="5" width="11.1111111111111" style="5" customWidth="1"/>
    <col min="6" max="6" width="9" style="5"/>
    <col min="7" max="7" width="6.66666666666667" style="5" customWidth="1"/>
    <col min="8" max="8" width="5.77777777777778" style="5" customWidth="1"/>
    <col min="9" max="9" width="7.22222222222222" style="5" customWidth="1"/>
    <col min="10" max="10" width="11" style="5" customWidth="1"/>
    <col min="11" max="11" width="5.66666666666667" style="5" customWidth="1"/>
    <col min="12" max="12" width="8.88888888888889" style="5"/>
    <col min="13" max="13" width="8.88888888888889" style="7"/>
    <col min="14" max="16384" width="8.88888888888889" style="5"/>
  </cols>
  <sheetData>
    <row r="1" spans="2:2">
      <c r="B1" s="5" t="s">
        <v>30</v>
      </c>
    </row>
    <row r="2" spans="1:13">
      <c r="A2" s="26">
        <v>44440</v>
      </c>
      <c r="B2" s="9" t="s">
        <v>1</v>
      </c>
      <c r="C2" s="10">
        <v>18000</v>
      </c>
      <c r="D2" s="14">
        <v>7.5</v>
      </c>
      <c r="E2" s="12">
        <f>C2*D2</f>
        <v>135000</v>
      </c>
      <c r="F2" s="12">
        <f>E2*0.002</f>
        <v>270</v>
      </c>
      <c r="G2" s="12">
        <f>E2*0.00006</f>
        <v>8.1</v>
      </c>
      <c r="H2" s="12">
        <f>E2*0.00001</f>
        <v>1.35</v>
      </c>
      <c r="I2" s="12">
        <f>(F2+G2+H2)*0.07</f>
        <v>19.5615</v>
      </c>
      <c r="J2" s="12">
        <f>E2+F2+I2+G2+H2</f>
        <v>135299.0115</v>
      </c>
      <c r="M2" s="5"/>
    </row>
    <row r="3" spans="1:13">
      <c r="A3" s="26">
        <v>44474</v>
      </c>
      <c r="B3" s="9" t="s">
        <v>1</v>
      </c>
      <c r="C3" s="10">
        <v>6000</v>
      </c>
      <c r="D3" s="14">
        <v>7.7</v>
      </c>
      <c r="E3" s="12">
        <f>C3*D3</f>
        <v>46200</v>
      </c>
      <c r="F3" s="12">
        <f>E3*0.002</f>
        <v>92.4</v>
      </c>
      <c r="G3" s="12">
        <f>E3*0.00006</f>
        <v>2.772</v>
      </c>
      <c r="H3" s="12">
        <f>E3*0.00001</f>
        <v>0.462</v>
      </c>
      <c r="I3" s="12">
        <f>(F3+G3+H3)*0.07</f>
        <v>6.69438</v>
      </c>
      <c r="J3" s="12">
        <f>E3+F3+I3+G3+H3</f>
        <v>46302.32838</v>
      </c>
      <c r="M3" s="5"/>
    </row>
    <row r="4" spans="1:13">
      <c r="A4" s="26"/>
      <c r="B4" s="9"/>
      <c r="C4" s="10">
        <f>SUM(C2:C3)</f>
        <v>24000</v>
      </c>
      <c r="D4" s="11">
        <f>E4/C4</f>
        <v>7.55</v>
      </c>
      <c r="E4" s="10">
        <f t="shared" ref="E4:J4" si="0">SUM(E2:E3)</f>
        <v>181200</v>
      </c>
      <c r="F4" s="10">
        <f t="shared" si="0"/>
        <v>362.4</v>
      </c>
      <c r="G4" s="10">
        <f t="shared" si="0"/>
        <v>10.872</v>
      </c>
      <c r="H4" s="10">
        <f t="shared" si="0"/>
        <v>1.812</v>
      </c>
      <c r="I4" s="10">
        <f t="shared" si="0"/>
        <v>26.25588</v>
      </c>
      <c r="J4" s="10">
        <f t="shared" si="0"/>
        <v>181601.33988</v>
      </c>
      <c r="M4" s="5"/>
    </row>
    <row r="5" spans="1:13">
      <c r="A5" s="26">
        <v>44477</v>
      </c>
      <c r="B5" s="9" t="s">
        <v>1</v>
      </c>
      <c r="C5" s="10">
        <v>6000</v>
      </c>
      <c r="D5" s="14">
        <v>7.55</v>
      </c>
      <c r="E5" s="12">
        <f>C5*D5</f>
        <v>45300</v>
      </c>
      <c r="F5" s="12">
        <f>E5*0.002</f>
        <v>90.6</v>
      </c>
      <c r="G5" s="12">
        <f>E5*0.00006</f>
        <v>2.718</v>
      </c>
      <c r="H5" s="12">
        <f>E5*0.00001</f>
        <v>0.453</v>
      </c>
      <c r="I5" s="12">
        <f>(F5+G5+H5)*0.07</f>
        <v>6.56397</v>
      </c>
      <c r="J5" s="12">
        <f>E5+F5+I5+G5+H5</f>
        <v>45400.33497</v>
      </c>
      <c r="M5" s="5"/>
    </row>
    <row r="6" spans="1:13">
      <c r="A6" s="26"/>
      <c r="B6" s="9"/>
      <c r="C6" s="10">
        <f>SUM(C4:C5)</f>
        <v>30000</v>
      </c>
      <c r="D6" s="11">
        <f>E6/C6</f>
        <v>7.55</v>
      </c>
      <c r="E6" s="10">
        <f t="shared" ref="E6:J6" si="1">SUM(E4:E5)</f>
        <v>226500</v>
      </c>
      <c r="F6" s="10">
        <f t="shared" si="1"/>
        <v>453</v>
      </c>
      <c r="G6" s="10">
        <f t="shared" si="1"/>
        <v>13.59</v>
      </c>
      <c r="H6" s="10">
        <f t="shared" si="1"/>
        <v>2.265</v>
      </c>
      <c r="I6" s="10">
        <f t="shared" si="1"/>
        <v>32.81985</v>
      </c>
      <c r="J6" s="10">
        <f t="shared" si="1"/>
        <v>227001.67485</v>
      </c>
      <c r="M6" s="5"/>
    </row>
    <row r="7" spans="1:13">
      <c r="A7" s="26">
        <v>44504</v>
      </c>
      <c r="B7" s="9" t="s">
        <v>1</v>
      </c>
      <c r="C7" s="10">
        <v>6000</v>
      </c>
      <c r="D7" s="14">
        <v>6.95</v>
      </c>
      <c r="E7" s="12">
        <f>C7*D7</f>
        <v>41700</v>
      </c>
      <c r="F7" s="12">
        <f>E7*0.002</f>
        <v>83.4</v>
      </c>
      <c r="G7" s="12">
        <f>E7*0.00006</f>
        <v>2.502</v>
      </c>
      <c r="H7" s="12">
        <f>E7*0.00001</f>
        <v>0.417</v>
      </c>
      <c r="I7" s="12">
        <f>(F7+G7+H7)*0.07</f>
        <v>6.04233</v>
      </c>
      <c r="J7" s="12">
        <f>E7+F7+I7+G7+H7</f>
        <v>41792.36133</v>
      </c>
      <c r="M7" s="5"/>
    </row>
    <row r="8" spans="1:13">
      <c r="A8" s="26"/>
      <c r="B8" s="35">
        <f>(D7-D6)/D6</f>
        <v>-0.0794701986754966</v>
      </c>
      <c r="C8" s="10">
        <f>SUM(C6:C7)</f>
        <v>36000</v>
      </c>
      <c r="D8" s="14">
        <f>E8/C8</f>
        <v>7.45</v>
      </c>
      <c r="E8" s="10">
        <f t="shared" ref="E8:J8" si="2">SUM(E6:E7)</f>
        <v>268200</v>
      </c>
      <c r="F8" s="10">
        <f t="shared" si="2"/>
        <v>536.4</v>
      </c>
      <c r="G8" s="10">
        <f t="shared" si="2"/>
        <v>16.092</v>
      </c>
      <c r="H8" s="10">
        <f t="shared" si="2"/>
        <v>2.682</v>
      </c>
      <c r="I8" s="10">
        <f t="shared" si="2"/>
        <v>38.86218</v>
      </c>
      <c r="J8" s="10">
        <f t="shared" si="2"/>
        <v>268794.03618</v>
      </c>
      <c r="M8" s="5"/>
    </row>
    <row r="9" spans="1:13">
      <c r="A9" s="26">
        <v>44592</v>
      </c>
      <c r="B9" s="35" t="s">
        <v>2</v>
      </c>
      <c r="C9" s="10">
        <v>27000</v>
      </c>
      <c r="D9" s="11">
        <v>7.45</v>
      </c>
      <c r="E9" s="12">
        <f>C9*D9</f>
        <v>201150</v>
      </c>
      <c r="F9" s="12">
        <f>E9*0.002</f>
        <v>402.3</v>
      </c>
      <c r="G9" s="12">
        <f>E9*0.00006</f>
        <v>12.069</v>
      </c>
      <c r="H9" s="12">
        <f>E9*0.00001</f>
        <v>2.0115</v>
      </c>
      <c r="I9" s="12">
        <f>(F9+G9+H9)*0.07</f>
        <v>29.146635</v>
      </c>
      <c r="J9" s="12">
        <f>E9+F9+I9+G9+H9</f>
        <v>201595.527135</v>
      </c>
      <c r="M9" s="5"/>
    </row>
    <row r="10" spans="1:13">
      <c r="A10" s="42">
        <v>45831</v>
      </c>
      <c r="B10" s="1" t="s">
        <v>1</v>
      </c>
      <c r="C10" s="21">
        <v>5000</v>
      </c>
      <c r="D10" s="22">
        <v>4.56</v>
      </c>
      <c r="E10" s="23">
        <f>C10*D10</f>
        <v>22800</v>
      </c>
      <c r="F10" s="23">
        <f>E10*0.002</f>
        <v>45.6</v>
      </c>
      <c r="G10" s="23">
        <f>E10*0.00006</f>
        <v>1.368</v>
      </c>
      <c r="H10" s="23">
        <f>E10*0.00001</f>
        <v>0.228</v>
      </c>
      <c r="I10" s="23">
        <f>(F10+G10+H10)*0.07</f>
        <v>3.30372</v>
      </c>
      <c r="J10" s="23">
        <f>E10+F10+I10+G10+H10</f>
        <v>22850.49972</v>
      </c>
      <c r="M10" s="5"/>
    </row>
    <row r="11" spans="1:13">
      <c r="A11" s="42"/>
      <c r="B11" s="47">
        <f>(D10-D9)/D9</f>
        <v>-0.387919463087248</v>
      </c>
      <c r="C11" s="21">
        <f>SUM(C9:C10)</f>
        <v>32000</v>
      </c>
      <c r="D11" s="44">
        <f>E11/C11</f>
        <v>6.9984375</v>
      </c>
      <c r="E11" s="21">
        <f t="shared" ref="E11:J11" si="3">SUM(E9:E10)</f>
        <v>223950</v>
      </c>
      <c r="F11" s="21">
        <f t="shared" si="3"/>
        <v>447.9</v>
      </c>
      <c r="G11" s="21">
        <f t="shared" si="3"/>
        <v>13.437</v>
      </c>
      <c r="H11" s="21">
        <f t="shared" si="3"/>
        <v>2.2395</v>
      </c>
      <c r="I11" s="21">
        <f t="shared" si="3"/>
        <v>32.450355</v>
      </c>
      <c r="J11" s="21">
        <f t="shared" si="3"/>
        <v>224446.026855</v>
      </c>
      <c r="M11" s="5"/>
    </row>
    <row r="12" spans="10:10">
      <c r="J12" s="50"/>
    </row>
    <row r="13" spans="1:13">
      <c r="A13" s="26">
        <v>44419</v>
      </c>
      <c r="B13" s="9" t="s">
        <v>1</v>
      </c>
      <c r="C13" s="10">
        <v>9000</v>
      </c>
      <c r="D13" s="11">
        <v>7.45</v>
      </c>
      <c r="E13" s="12">
        <f>C13*D13</f>
        <v>67050</v>
      </c>
      <c r="F13" s="12">
        <f>E13*0.002</f>
        <v>134.1</v>
      </c>
      <c r="G13" s="12">
        <f>E13*0.000068</f>
        <v>4.5594</v>
      </c>
      <c r="H13" s="12">
        <f>E13*0.00001</f>
        <v>0.6705</v>
      </c>
      <c r="I13" s="12">
        <f>(F13+G13+H13)*0.07</f>
        <v>9.753093</v>
      </c>
      <c r="J13" s="12">
        <f>E13+F13+I13+G13+H13</f>
        <v>67199.082993</v>
      </c>
      <c r="L13" s="7"/>
      <c r="M13" s="5"/>
    </row>
    <row r="14" s="1" customFormat="1" spans="1:10">
      <c r="A14" s="26">
        <v>44592</v>
      </c>
      <c r="B14" s="9" t="s">
        <v>3</v>
      </c>
      <c r="C14" s="10">
        <f>C13</f>
        <v>9000</v>
      </c>
      <c r="D14" s="31">
        <v>7.3</v>
      </c>
      <c r="E14" s="11">
        <f>C14*D14</f>
        <v>65700</v>
      </c>
      <c r="F14" s="32">
        <f>E14*0.002</f>
        <v>131.4</v>
      </c>
      <c r="G14" s="31">
        <f>E14*0.000068</f>
        <v>4.4676</v>
      </c>
      <c r="H14" s="31">
        <f>E14*0.00001</f>
        <v>0.657</v>
      </c>
      <c r="I14" s="31">
        <f>(F14+G14+H14)*0.07</f>
        <v>9.556722</v>
      </c>
      <c r="J14" s="31">
        <f>E14-F14-G14-H14-I14</f>
        <v>65553.918678</v>
      </c>
    </row>
    <row r="15" s="51" customFormat="1" ht="18.6" spans="1:13">
      <c r="A15" s="61">
        <f>DAYS360(A13,A14)</f>
        <v>170</v>
      </c>
      <c r="B15" s="30" t="s">
        <v>4</v>
      </c>
      <c r="C15" s="10"/>
      <c r="D15" s="11"/>
      <c r="E15" s="12">
        <f>E14-E13</f>
        <v>-1350</v>
      </c>
      <c r="F15" s="12"/>
      <c r="G15" s="12"/>
      <c r="H15" s="12"/>
      <c r="I15" s="12"/>
      <c r="J15" s="12">
        <f>J14-J13</f>
        <v>-1645.164315</v>
      </c>
      <c r="K15" s="48"/>
      <c r="L15" s="47"/>
      <c r="M15" s="47"/>
    </row>
    <row r="16" spans="1:13">
      <c r="A16" s="26">
        <v>45076</v>
      </c>
      <c r="B16" s="9" t="s">
        <v>1</v>
      </c>
      <c r="C16" s="10">
        <v>5000</v>
      </c>
      <c r="D16" s="14">
        <v>4.6</v>
      </c>
      <c r="E16" s="12">
        <f>C16*D16</f>
        <v>23000</v>
      </c>
      <c r="F16" s="12">
        <f>E16*0.002</f>
        <v>46</v>
      </c>
      <c r="G16" s="12">
        <f>E16*0.00006</f>
        <v>1.38</v>
      </c>
      <c r="H16" s="12">
        <f>E16*0.00001</f>
        <v>0.23</v>
      </c>
      <c r="I16" s="12">
        <f>(F16+G16+H16)*0.07</f>
        <v>3.3327</v>
      </c>
      <c r="J16" s="12">
        <f>E16+F16+I16+G16+H16</f>
        <v>23050.9427</v>
      </c>
      <c r="M16" s="5"/>
    </row>
    <row r="17" s="1" customFormat="1" spans="1:10">
      <c r="A17" s="26">
        <v>45091</v>
      </c>
      <c r="B17" s="9" t="s">
        <v>3</v>
      </c>
      <c r="C17" s="10">
        <f>C16</f>
        <v>5000</v>
      </c>
      <c r="D17" s="31">
        <v>4.84</v>
      </c>
      <c r="E17" s="11">
        <f>C17*D17</f>
        <v>24200</v>
      </c>
      <c r="F17" s="32">
        <f>E17*0.002</f>
        <v>48.4</v>
      </c>
      <c r="G17" s="31">
        <f>E17*0.000068</f>
        <v>1.6456</v>
      </c>
      <c r="H17" s="31">
        <f>E17*0.00001</f>
        <v>0.242</v>
      </c>
      <c r="I17" s="31">
        <f>(F17+G17+H17)*0.07</f>
        <v>3.520132</v>
      </c>
      <c r="J17" s="31">
        <f>E17-F17-G17-H17-I17</f>
        <v>24146.192268</v>
      </c>
    </row>
    <row r="18" s="51" customFormat="1" ht="18.6" spans="1:13">
      <c r="A18" s="61">
        <f>DAYS360(A16,A17)</f>
        <v>14</v>
      </c>
      <c r="B18" s="35">
        <f>(D17-D16)/D16</f>
        <v>0.0521739130434783</v>
      </c>
      <c r="C18" s="10"/>
      <c r="D18" s="11"/>
      <c r="E18" s="12">
        <f>E17-E16</f>
        <v>1200</v>
      </c>
      <c r="F18" s="12"/>
      <c r="G18" s="12"/>
      <c r="H18" s="12"/>
      <c r="I18" s="12"/>
      <c r="J18" s="12">
        <f>J17-J16</f>
        <v>1095.249568</v>
      </c>
      <c r="K18" s="48"/>
      <c r="L18" s="47"/>
      <c r="M18" s="47"/>
    </row>
    <row r="20" spans="1:13">
      <c r="A20" s="26">
        <v>45615</v>
      </c>
      <c r="B20" s="9" t="s">
        <v>3</v>
      </c>
      <c r="C20" s="10">
        <v>4500</v>
      </c>
      <c r="D20" s="31">
        <v>0.57</v>
      </c>
      <c r="E20" s="11">
        <f>C20*D20</f>
        <v>2565</v>
      </c>
      <c r="F20" s="32">
        <f>E20*0.002</f>
        <v>5.13</v>
      </c>
      <c r="G20" s="31">
        <f>E20*0.000068</f>
        <v>0.17442</v>
      </c>
      <c r="H20" s="31">
        <f>E20*0.00001</f>
        <v>0.02565</v>
      </c>
      <c r="I20" s="31">
        <f>(F20+G20+H20)*0.07</f>
        <v>0.3731049</v>
      </c>
      <c r="J20" s="31">
        <f>E20-F20-G20-H20-I20</f>
        <v>2559.2968251</v>
      </c>
      <c r="K20" s="1"/>
      <c r="L20" s="1"/>
      <c r="M20" s="1"/>
    </row>
    <row r="22" spans="1:13">
      <c r="A22" s="26">
        <v>45831</v>
      </c>
      <c r="B22" s="9" t="s">
        <v>1</v>
      </c>
      <c r="C22" s="10">
        <v>5000</v>
      </c>
      <c r="D22" s="14">
        <v>3.9</v>
      </c>
      <c r="E22" s="12">
        <f>C22*D22</f>
        <v>19500</v>
      </c>
      <c r="F22" s="12">
        <f>E22*0.002</f>
        <v>39</v>
      </c>
      <c r="G22" s="12">
        <f>E22*0.00006</f>
        <v>1.17</v>
      </c>
      <c r="H22" s="12">
        <f>E22*0.00001</f>
        <v>0.195</v>
      </c>
      <c r="I22" s="12">
        <f>(F22+G22+H22)*0.07</f>
        <v>2.82555</v>
      </c>
      <c r="J22" s="12">
        <f>E22+F22+I22+G22+H22</f>
        <v>19543.19055</v>
      </c>
      <c r="M22" s="5"/>
    </row>
    <row r="23" s="1" customFormat="1" spans="1:10">
      <c r="A23" s="26">
        <v>45875</v>
      </c>
      <c r="B23" s="9" t="s">
        <v>3</v>
      </c>
      <c r="C23" s="10">
        <f>C22</f>
        <v>5000</v>
      </c>
      <c r="D23" s="31">
        <v>4.52</v>
      </c>
      <c r="E23" s="11">
        <f>C23*D23</f>
        <v>22600</v>
      </c>
      <c r="F23" s="32">
        <f>E23*0.002</f>
        <v>45.2</v>
      </c>
      <c r="G23" s="31">
        <f>E23*0.000068</f>
        <v>1.5368</v>
      </c>
      <c r="H23" s="31">
        <f>E23*0.00001</f>
        <v>0.226</v>
      </c>
      <c r="I23" s="31">
        <f>(F23+G23+H23)*0.07</f>
        <v>3.287396</v>
      </c>
      <c r="J23" s="31">
        <f>E23-F23-G23-H23-I23</f>
        <v>22549.749804</v>
      </c>
    </row>
    <row r="24" s="51" customFormat="1" ht="18.6" spans="1:13">
      <c r="A24" s="61">
        <f>DAYS360(A22,A23)</f>
        <v>43</v>
      </c>
      <c r="B24" s="35">
        <f>(D23-D22)/D22</f>
        <v>0.158974358974359</v>
      </c>
      <c r="C24" s="10"/>
      <c r="D24" s="11"/>
      <c r="E24" s="12">
        <f>E23-E22</f>
        <v>3100</v>
      </c>
      <c r="F24" s="12"/>
      <c r="G24" s="12"/>
      <c r="H24" s="12"/>
      <c r="I24" s="12"/>
      <c r="J24" s="12">
        <f>J23-J22</f>
        <v>3006.559254</v>
      </c>
      <c r="K24" s="48"/>
      <c r="L24" s="47"/>
      <c r="M24" s="47"/>
    </row>
  </sheetData>
  <sheetProtection selectLockedCells="1" selectUnlockedCells="1"/>
  <pageMargins left="0.7" right="0.7" top="0.75" bottom="0.75" header="0.511805555555556" footer="0.511805555555556"/>
  <pageSetup paperSize="9" firstPageNumber="0" orientation="portrait" useFirstPageNumber="1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5"/>
  <sheetViews>
    <sheetView topLeftCell="A2" workbookViewId="0">
      <selection activeCell="A33" sqref="A33:J33"/>
    </sheetView>
  </sheetViews>
  <sheetFormatPr defaultColWidth="8.88888888888889" defaultRowHeight="13.8"/>
  <cols>
    <col min="1" max="1" width="10.6666666666667" style="4" customWidth="1"/>
    <col min="2" max="2" width="8.22222222222222" style="5" customWidth="1"/>
    <col min="3" max="3" width="6.66666666666667" style="5" customWidth="1"/>
    <col min="4" max="4" width="9.66666666666667" style="5" customWidth="1"/>
    <col min="5" max="5" width="11.1111111111111" style="5" customWidth="1"/>
    <col min="6" max="6" width="9" style="5"/>
    <col min="7" max="7" width="6.66666666666667" style="5" customWidth="1"/>
    <col min="8" max="8" width="5.77777777777778" style="5" customWidth="1"/>
    <col min="9" max="9" width="7.22222222222222" style="5" customWidth="1"/>
    <col min="10" max="10" width="11.1111111111111" style="5" customWidth="1"/>
    <col min="11" max="11" width="5.66666666666667" style="5" customWidth="1"/>
    <col min="12" max="12" width="8.88888888888889" style="5"/>
    <col min="13" max="13" width="8.88888888888889" style="7"/>
    <col min="14" max="16384" width="8.88888888888889" style="5"/>
  </cols>
  <sheetData>
    <row r="1" spans="2:2">
      <c r="B1" s="5" t="s">
        <v>31</v>
      </c>
    </row>
    <row r="2" spans="1:13">
      <c r="A2" s="26">
        <v>44658</v>
      </c>
      <c r="B2" s="9" t="s">
        <v>1</v>
      </c>
      <c r="C2" s="10">
        <v>15000</v>
      </c>
      <c r="D2" s="14">
        <v>11</v>
      </c>
      <c r="E2" s="12">
        <f>C2*D2</f>
        <v>165000</v>
      </c>
      <c r="F2" s="12">
        <f>E2*0.002</f>
        <v>330</v>
      </c>
      <c r="G2" s="12">
        <f>E2*0.00006</f>
        <v>9.9</v>
      </c>
      <c r="H2" s="12">
        <f>E2*0.00001</f>
        <v>1.65</v>
      </c>
      <c r="I2" s="12">
        <f>(F2+G2+H2)*0.07</f>
        <v>23.9085</v>
      </c>
      <c r="J2" s="12">
        <f>E2+F2+I2+G2+H2</f>
        <v>165365.4585</v>
      </c>
      <c r="M2" s="5"/>
    </row>
    <row r="3" spans="1:13">
      <c r="A3" s="26">
        <v>44659</v>
      </c>
      <c r="B3" s="9" t="s">
        <v>1</v>
      </c>
      <c r="C3" s="10">
        <v>15000</v>
      </c>
      <c r="D3" s="14">
        <v>11</v>
      </c>
      <c r="E3" s="12">
        <f>C3*D3</f>
        <v>165000</v>
      </c>
      <c r="F3" s="12">
        <f>E3*0.002</f>
        <v>330</v>
      </c>
      <c r="G3" s="12">
        <f>E3*0.00006</f>
        <v>9.9</v>
      </c>
      <c r="H3" s="12">
        <f>E3*0.00001</f>
        <v>1.65</v>
      </c>
      <c r="I3" s="12">
        <f>(F3+G3+H3)*0.07</f>
        <v>23.9085</v>
      </c>
      <c r="J3" s="12">
        <f>E3+F3+I3+G3+H3</f>
        <v>165365.4585</v>
      </c>
      <c r="M3" s="5"/>
    </row>
    <row r="4" spans="1:13">
      <c r="A4" s="26"/>
      <c r="B4" s="35">
        <f>(D3-D2)/D2</f>
        <v>0</v>
      </c>
      <c r="C4" s="10">
        <f>SUM(C2:C3)</f>
        <v>30000</v>
      </c>
      <c r="D4" s="11">
        <f>E4/C4</f>
        <v>11</v>
      </c>
      <c r="E4" s="10">
        <f t="shared" ref="E4:J4" si="0">SUM(E2:E3)</f>
        <v>330000</v>
      </c>
      <c r="F4" s="10">
        <f t="shared" si="0"/>
        <v>660</v>
      </c>
      <c r="G4" s="10">
        <f t="shared" si="0"/>
        <v>19.8</v>
      </c>
      <c r="H4" s="10">
        <f t="shared" si="0"/>
        <v>3.3</v>
      </c>
      <c r="I4" s="10">
        <f t="shared" si="0"/>
        <v>47.817</v>
      </c>
      <c r="J4" s="10">
        <f t="shared" si="0"/>
        <v>330730.917</v>
      </c>
      <c r="M4" s="5"/>
    </row>
    <row r="5" spans="1:13">
      <c r="A5" s="26">
        <v>44676</v>
      </c>
      <c r="B5" s="9" t="s">
        <v>1</v>
      </c>
      <c r="C5" s="10">
        <v>15000</v>
      </c>
      <c r="D5" s="14">
        <v>11</v>
      </c>
      <c r="E5" s="12">
        <f>C5*D5</f>
        <v>165000</v>
      </c>
      <c r="F5" s="12">
        <f>E5*0.002</f>
        <v>330</v>
      </c>
      <c r="G5" s="12">
        <f>E5*0.00006</f>
        <v>9.9</v>
      </c>
      <c r="H5" s="12">
        <f>E5*0.00001</f>
        <v>1.65</v>
      </c>
      <c r="I5" s="12">
        <f>(F5+G5+H5)*0.07</f>
        <v>23.9085</v>
      </c>
      <c r="J5" s="12">
        <f>E5+F5+I5+G5+H5</f>
        <v>165365.4585</v>
      </c>
      <c r="M5" s="5"/>
    </row>
    <row r="6" spans="1:13">
      <c r="A6" s="26"/>
      <c r="B6" s="16" t="s">
        <v>8</v>
      </c>
      <c r="C6" s="10">
        <f>SUM(C4:C5)</f>
        <v>45000</v>
      </c>
      <c r="D6" s="11">
        <f>E6/C6</f>
        <v>11</v>
      </c>
      <c r="E6" s="10">
        <f t="shared" ref="E6:J8" si="1">SUM(E4:E5)</f>
        <v>495000</v>
      </c>
      <c r="F6" s="10">
        <f t="shared" si="1"/>
        <v>990</v>
      </c>
      <c r="G6" s="10">
        <f t="shared" si="1"/>
        <v>29.7</v>
      </c>
      <c r="H6" s="10">
        <f t="shared" si="1"/>
        <v>4.95</v>
      </c>
      <c r="I6" s="10">
        <f t="shared" si="1"/>
        <v>71.7255</v>
      </c>
      <c r="J6" s="10">
        <f t="shared" si="1"/>
        <v>496096.3755</v>
      </c>
      <c r="M6" s="5"/>
    </row>
    <row r="7" s="1" customFormat="1" spans="1:15">
      <c r="A7" s="26">
        <v>45561</v>
      </c>
      <c r="B7" s="9" t="s">
        <v>1</v>
      </c>
      <c r="C7" s="10">
        <v>5000</v>
      </c>
      <c r="D7" s="14">
        <v>5</v>
      </c>
      <c r="E7" s="11">
        <f>C7*D7</f>
        <v>25000</v>
      </c>
      <c r="F7" s="12">
        <f>E7*0.002</f>
        <v>50</v>
      </c>
      <c r="G7" s="12">
        <f>E7*0.00006</f>
        <v>1.5</v>
      </c>
      <c r="H7" s="12">
        <f>E7*0.00001</f>
        <v>0.25</v>
      </c>
      <c r="I7" s="12">
        <f>(F7+G7+H7)*0.07</f>
        <v>3.6225</v>
      </c>
      <c r="J7" s="11">
        <f>E7+F7+I7+G7+H7</f>
        <v>25055.3725</v>
      </c>
      <c r="K7" s="5"/>
      <c r="L7" s="5"/>
      <c r="M7" s="7"/>
      <c r="N7" s="5"/>
      <c r="O7" s="5"/>
    </row>
    <row r="8" s="2" customFormat="1" ht="21" spans="1:15">
      <c r="A8" s="26"/>
      <c r="B8" s="35">
        <f>(D7-D6)/D6</f>
        <v>-0.545454545454545</v>
      </c>
      <c r="C8" s="10">
        <f>SUM(C6:C7)</f>
        <v>50000</v>
      </c>
      <c r="D8" s="59">
        <f>E8/C8</f>
        <v>10.4</v>
      </c>
      <c r="E8" s="10">
        <f t="shared" si="1"/>
        <v>520000</v>
      </c>
      <c r="F8" s="10">
        <f t="shared" si="1"/>
        <v>1040</v>
      </c>
      <c r="G8" s="10">
        <f t="shared" si="1"/>
        <v>31.2</v>
      </c>
      <c r="H8" s="10">
        <f t="shared" si="1"/>
        <v>5.2</v>
      </c>
      <c r="I8" s="10">
        <f t="shared" si="1"/>
        <v>75.348</v>
      </c>
      <c r="J8" s="10">
        <f t="shared" si="1"/>
        <v>521151.748</v>
      </c>
      <c r="K8" s="5"/>
      <c r="L8" s="5"/>
      <c r="M8" s="7"/>
      <c r="N8" s="5"/>
      <c r="O8" s="5"/>
    </row>
    <row r="9" s="2" customFormat="1" ht="21" spans="1:15">
      <c r="A9" s="42">
        <v>45705</v>
      </c>
      <c r="B9" s="1" t="s">
        <v>1</v>
      </c>
      <c r="C9" s="21">
        <v>10000</v>
      </c>
      <c r="D9" s="22">
        <v>2</v>
      </c>
      <c r="E9" s="37">
        <f>C9*D9</f>
        <v>20000</v>
      </c>
      <c r="F9" s="23">
        <f>E9*0.002</f>
        <v>40</v>
      </c>
      <c r="G9" s="23">
        <f>E9*0.00006</f>
        <v>1.2</v>
      </c>
      <c r="H9" s="23">
        <f>E9*0.00001</f>
        <v>0.2</v>
      </c>
      <c r="I9" s="23">
        <f>(F9+G9+H9)*0.07</f>
        <v>2.898</v>
      </c>
      <c r="J9" s="37">
        <f>E9+F9+I9+G9+H9</f>
        <v>20044.298</v>
      </c>
      <c r="K9" s="5"/>
      <c r="L9" s="5"/>
      <c r="M9" s="7"/>
      <c r="N9" s="5"/>
      <c r="O9" s="5"/>
    </row>
    <row r="10" s="2" customFormat="1" ht="21" spans="1:15">
      <c r="A10" s="42"/>
      <c r="B10" s="35">
        <f>(D9-D8)/D8</f>
        <v>-0.807692307692308</v>
      </c>
      <c r="C10" s="21">
        <f>C8+C9</f>
        <v>60000</v>
      </c>
      <c r="D10" s="60">
        <f>E10/C10</f>
        <v>9</v>
      </c>
      <c r="E10" s="21">
        <f>E8+E9</f>
        <v>540000</v>
      </c>
      <c r="F10" s="21">
        <f t="shared" ref="F10:J10" si="2">F8+F9</f>
        <v>1080</v>
      </c>
      <c r="G10" s="21">
        <f t="shared" si="2"/>
        <v>32.4</v>
      </c>
      <c r="H10" s="21">
        <f t="shared" si="2"/>
        <v>5.4</v>
      </c>
      <c r="I10" s="21">
        <f t="shared" si="2"/>
        <v>78.246</v>
      </c>
      <c r="J10" s="21">
        <f t="shared" si="2"/>
        <v>541196.046</v>
      </c>
      <c r="K10" s="5"/>
      <c r="L10" s="5"/>
      <c r="M10" s="7"/>
      <c r="N10" s="5"/>
      <c r="O10" s="5"/>
    </row>
    <row r="11" s="2" customFormat="1" ht="21" spans="1:15">
      <c r="A11" s="42"/>
      <c r="B11" s="47"/>
      <c r="C11" s="21"/>
      <c r="D11" s="44"/>
      <c r="E11" s="21"/>
      <c r="F11" s="21"/>
      <c r="G11" s="21"/>
      <c r="H11" s="21"/>
      <c r="I11" s="21"/>
      <c r="J11" s="21"/>
      <c r="K11" s="5"/>
      <c r="L11" s="5"/>
      <c r="M11" s="7"/>
      <c r="N11" s="5"/>
      <c r="O11" s="5"/>
    </row>
    <row r="12" spans="1:13">
      <c r="A12" s="26">
        <v>45063</v>
      </c>
      <c r="B12" s="9" t="s">
        <v>1</v>
      </c>
      <c r="C12" s="10">
        <v>3000</v>
      </c>
      <c r="D12" s="14">
        <v>10.2</v>
      </c>
      <c r="E12" s="12">
        <f>C12*D12</f>
        <v>30600</v>
      </c>
      <c r="F12" s="12">
        <f>E12*0.002</f>
        <v>61.2</v>
      </c>
      <c r="G12" s="12">
        <f>E12*0.00006</f>
        <v>1.836</v>
      </c>
      <c r="H12" s="12">
        <f>E12*0.00001</f>
        <v>0.306</v>
      </c>
      <c r="I12" s="12">
        <f>(F12+G12+H12)*0.07</f>
        <v>4.43394</v>
      </c>
      <c r="J12" s="12">
        <f>E12+F12+I12+G12+H12</f>
        <v>30667.77594</v>
      </c>
      <c r="M12" s="5"/>
    </row>
    <row r="13" spans="1:13">
      <c r="A13" s="26">
        <v>45086</v>
      </c>
      <c r="B13" s="9" t="s">
        <v>3</v>
      </c>
      <c r="C13" s="10">
        <f>C12</f>
        <v>3000</v>
      </c>
      <c r="D13" s="31">
        <v>11.2</v>
      </c>
      <c r="E13" s="11">
        <f>C13*D13</f>
        <v>33600</v>
      </c>
      <c r="F13" s="32">
        <f>E13*0.002</f>
        <v>67.2</v>
      </c>
      <c r="G13" s="31">
        <f>E13*0.000068</f>
        <v>2.2848</v>
      </c>
      <c r="H13" s="31">
        <f>E13*0.00001</f>
        <v>0.336</v>
      </c>
      <c r="I13" s="31">
        <f>(F13+G13+H13)*0.07</f>
        <v>4.887456</v>
      </c>
      <c r="J13" s="31">
        <f>E13-F13-G13-H13-I13</f>
        <v>33525.291744</v>
      </c>
      <c r="M13" s="5"/>
    </row>
    <row r="14" spans="1:13">
      <c r="A14" s="26" t="s">
        <v>4</v>
      </c>
      <c r="B14" s="47">
        <f>(D13-D12)/D12</f>
        <v>0.0980392156862745</v>
      </c>
      <c r="C14" s="10"/>
      <c r="D14" s="11"/>
      <c r="E14" s="12">
        <f>E13-E12</f>
        <v>3000</v>
      </c>
      <c r="F14" s="12"/>
      <c r="G14" s="12"/>
      <c r="H14" s="12"/>
      <c r="I14" s="12"/>
      <c r="J14" s="12">
        <f>J13-J12</f>
        <v>2857.51580400001</v>
      </c>
      <c r="M14" s="5"/>
    </row>
    <row r="15" spans="1:10">
      <c r="A15" s="26">
        <v>45489</v>
      </c>
      <c r="B15" s="9" t="s">
        <v>1</v>
      </c>
      <c r="C15" s="10">
        <v>3000</v>
      </c>
      <c r="D15" s="14">
        <v>4.6</v>
      </c>
      <c r="E15" s="11">
        <f>C15*D15</f>
        <v>13800</v>
      </c>
      <c r="F15" s="12">
        <f>E15*0.002</f>
        <v>27.6</v>
      </c>
      <c r="G15" s="12">
        <f>E15*0.00006</f>
        <v>0.828</v>
      </c>
      <c r="H15" s="12">
        <f>E15*0.00001</f>
        <v>0.138</v>
      </c>
      <c r="I15" s="12">
        <f>(F15+G15+H15)*0.07</f>
        <v>1.99962</v>
      </c>
      <c r="J15" s="11">
        <f>E15+F15+I15+G15+H15</f>
        <v>13830.56562</v>
      </c>
    </row>
    <row r="16" ht="12.6" customHeight="1" spans="1:13">
      <c r="A16" s="26">
        <v>45541</v>
      </c>
      <c r="B16" s="9" t="s">
        <v>3</v>
      </c>
      <c r="C16" s="10">
        <f>C15</f>
        <v>3000</v>
      </c>
      <c r="D16" s="31">
        <v>5.6</v>
      </c>
      <c r="E16" s="11">
        <f>C16*D16</f>
        <v>16800</v>
      </c>
      <c r="F16" s="32">
        <f>E16*0.002</f>
        <v>33.6</v>
      </c>
      <c r="G16" s="31">
        <f>E16*0.000068</f>
        <v>1.1424</v>
      </c>
      <c r="H16" s="31">
        <f>E16*0.00001</f>
        <v>0.168</v>
      </c>
      <c r="I16" s="31">
        <f>(F16+G16+H16)*0.07</f>
        <v>2.443728</v>
      </c>
      <c r="J16" s="31">
        <f>E16-F16-G16-H16-I16</f>
        <v>16762.645872</v>
      </c>
      <c r="M16" s="5"/>
    </row>
    <row r="17" s="51" customFormat="1" ht="18.6" spans="1:15">
      <c r="A17" s="26" t="s">
        <v>4</v>
      </c>
      <c r="B17" s="35">
        <f>(D16-D15)/D15</f>
        <v>0.217391304347826</v>
      </c>
      <c r="C17" s="10"/>
      <c r="D17" s="11"/>
      <c r="E17" s="12">
        <f>E16-E15</f>
        <v>3000</v>
      </c>
      <c r="F17" s="12"/>
      <c r="G17" s="12"/>
      <c r="H17" s="12"/>
      <c r="I17" s="12"/>
      <c r="J17" s="12">
        <f>J16-J15</f>
        <v>2932.080252</v>
      </c>
      <c r="K17" s="5"/>
      <c r="L17" s="5"/>
      <c r="M17" s="5"/>
      <c r="N17" s="5"/>
      <c r="O17" s="5"/>
    </row>
    <row r="18" s="2" customFormat="1" ht="21" spans="1:15">
      <c r="A18" s="26">
        <v>45705</v>
      </c>
      <c r="B18" s="9" t="s">
        <v>1</v>
      </c>
      <c r="C18" s="10">
        <v>10000</v>
      </c>
      <c r="D18" s="14">
        <v>2.9</v>
      </c>
      <c r="E18" s="11">
        <f>C18*D18</f>
        <v>29000</v>
      </c>
      <c r="F18" s="12">
        <f>E18*0.002</f>
        <v>58</v>
      </c>
      <c r="G18" s="12">
        <f>E18*0.00006</f>
        <v>1.74</v>
      </c>
      <c r="H18" s="12">
        <f>E18*0.00001</f>
        <v>0.29</v>
      </c>
      <c r="I18" s="12">
        <f>(F18+G18+H18)*0.07</f>
        <v>4.2021</v>
      </c>
      <c r="J18" s="11">
        <f>E18+F18+I18+G18+H18</f>
        <v>29064.2321</v>
      </c>
      <c r="K18" s="5"/>
      <c r="L18" s="5"/>
      <c r="M18" s="7"/>
      <c r="N18" s="5"/>
      <c r="O18" s="5"/>
    </row>
    <row r="19" spans="1:13">
      <c r="A19" s="26">
        <v>45719</v>
      </c>
      <c r="B19" s="9" t="s">
        <v>3</v>
      </c>
      <c r="C19" s="10">
        <f>C18</f>
        <v>10000</v>
      </c>
      <c r="D19" s="31">
        <v>2.82</v>
      </c>
      <c r="E19" s="11">
        <f>C19*D19</f>
        <v>28200</v>
      </c>
      <c r="F19" s="32">
        <f>E19*0.002</f>
        <v>56.4</v>
      </c>
      <c r="G19" s="31">
        <f>E19*0.000068</f>
        <v>1.9176</v>
      </c>
      <c r="H19" s="31">
        <f>E19*0.00001</f>
        <v>0.282</v>
      </c>
      <c r="I19" s="31">
        <f>(F19+G19+H19)*0.07</f>
        <v>4.101972</v>
      </c>
      <c r="J19" s="31">
        <f>E19-F19-G19-H19-I19</f>
        <v>28137.298428</v>
      </c>
      <c r="M19" s="5"/>
    </row>
    <row r="20" spans="1:13">
      <c r="A20" s="26" t="s">
        <v>4</v>
      </c>
      <c r="B20" s="35">
        <f>(D19-D18)/D18</f>
        <v>-0.0275862068965517</v>
      </c>
      <c r="C20" s="10"/>
      <c r="D20" s="11"/>
      <c r="E20" s="12">
        <f>E19-E18</f>
        <v>-800</v>
      </c>
      <c r="F20" s="12"/>
      <c r="G20" s="12"/>
      <c r="H20" s="12"/>
      <c r="I20" s="12"/>
      <c r="J20" s="12">
        <f>J19-J18</f>
        <v>-926.933672000003</v>
      </c>
      <c r="M20" s="5"/>
    </row>
    <row r="21" s="2" customFormat="1" ht="21" spans="1:15">
      <c r="A21" s="26">
        <v>45874</v>
      </c>
      <c r="B21" s="9" t="s">
        <v>1</v>
      </c>
      <c r="C21" s="10">
        <v>10000</v>
      </c>
      <c r="D21" s="14">
        <v>1.88</v>
      </c>
      <c r="E21" s="11">
        <f>C21*D21</f>
        <v>18800</v>
      </c>
      <c r="F21" s="12">
        <f>E21*0.002</f>
        <v>37.6</v>
      </c>
      <c r="G21" s="12">
        <f>E21*0.00006</f>
        <v>1.128</v>
      </c>
      <c r="H21" s="12">
        <f>E21*0.00001</f>
        <v>0.188</v>
      </c>
      <c r="I21" s="12">
        <f>(F21+G21+H21)*0.07</f>
        <v>2.72412</v>
      </c>
      <c r="J21" s="11">
        <f>E21+F21+I21+G21+H21</f>
        <v>18841.64012</v>
      </c>
      <c r="K21" s="5"/>
      <c r="L21" s="5"/>
      <c r="M21" s="7"/>
      <c r="N21" s="5"/>
      <c r="O21" s="5"/>
    </row>
    <row r="22" spans="1:13">
      <c r="A22" s="26">
        <v>45874</v>
      </c>
      <c r="B22" s="9" t="s">
        <v>3</v>
      </c>
      <c r="C22" s="10">
        <f>C21</f>
        <v>10000</v>
      </c>
      <c r="D22" s="31">
        <v>1.9</v>
      </c>
      <c r="E22" s="11">
        <f>C22*D22</f>
        <v>19000</v>
      </c>
      <c r="F22" s="32">
        <f>E22*0.002</f>
        <v>38</v>
      </c>
      <c r="G22" s="31">
        <f>E22*0.000068</f>
        <v>1.292</v>
      </c>
      <c r="H22" s="31">
        <f>E22*0.00001</f>
        <v>0.19</v>
      </c>
      <c r="I22" s="31">
        <f>(F22+G22+H22)*0.07</f>
        <v>2.76374</v>
      </c>
      <c r="J22" s="31">
        <f>E22-F22-G22-H22-I22</f>
        <v>18957.75426</v>
      </c>
      <c r="M22" s="5"/>
    </row>
    <row r="23" spans="1:13">
      <c r="A23" s="26" t="s">
        <v>4</v>
      </c>
      <c r="B23" s="35">
        <f>(D22-D21)/D21</f>
        <v>0.0106382978723404</v>
      </c>
      <c r="C23" s="10"/>
      <c r="D23" s="11"/>
      <c r="E23" s="12">
        <f>E22-E21</f>
        <v>200</v>
      </c>
      <c r="F23" s="12"/>
      <c r="G23" s="12"/>
      <c r="H23" s="12"/>
      <c r="I23" s="12"/>
      <c r="J23" s="12">
        <f>J22-J21</f>
        <v>116.114140000005</v>
      </c>
      <c r="M23" s="5"/>
    </row>
    <row r="24" s="2" customFormat="1" ht="21" spans="1:15">
      <c r="A24" s="26">
        <v>45747</v>
      </c>
      <c r="B24" s="9" t="s">
        <v>1</v>
      </c>
      <c r="C24" s="10">
        <v>10000</v>
      </c>
      <c r="D24" s="14">
        <v>1.85</v>
      </c>
      <c r="E24" s="11">
        <f>C24*D24</f>
        <v>18500</v>
      </c>
      <c r="F24" s="12">
        <f>E24*0.002</f>
        <v>37</v>
      </c>
      <c r="G24" s="12">
        <f>E24*0.00006</f>
        <v>1.11</v>
      </c>
      <c r="H24" s="12">
        <f>E24*0.00001</f>
        <v>0.185</v>
      </c>
      <c r="I24" s="12">
        <f>(F24+G24+H24)*0.07</f>
        <v>2.68065</v>
      </c>
      <c r="J24" s="11">
        <f>E24+F24+I24+G24+H24</f>
        <v>18540.97565</v>
      </c>
      <c r="K24" s="5"/>
      <c r="L24" s="5"/>
      <c r="M24" s="7"/>
      <c r="N24" s="5"/>
      <c r="O24" s="5"/>
    </row>
    <row r="25" spans="1:13">
      <c r="A25" s="26">
        <v>45876</v>
      </c>
      <c r="B25" s="9" t="s">
        <v>3</v>
      </c>
      <c r="C25" s="10">
        <f>C24</f>
        <v>10000</v>
      </c>
      <c r="D25" s="31">
        <v>2.06</v>
      </c>
      <c r="E25" s="11">
        <f>C25*D25</f>
        <v>20600</v>
      </c>
      <c r="F25" s="32">
        <f>E25*0.002</f>
        <v>41.2</v>
      </c>
      <c r="G25" s="31">
        <f>E25*0.000068</f>
        <v>1.4008</v>
      </c>
      <c r="H25" s="31">
        <f>E25*0.00001</f>
        <v>0.206</v>
      </c>
      <c r="I25" s="31">
        <f>(F25+G25+H25)*0.07</f>
        <v>2.996476</v>
      </c>
      <c r="J25" s="31">
        <f>E25-F25-G25-H25-I25</f>
        <v>20554.196724</v>
      </c>
      <c r="M25" s="5"/>
    </row>
    <row r="26" spans="1:13">
      <c r="A26" s="26" t="s">
        <v>4</v>
      </c>
      <c r="B26" s="35">
        <f>(D25-D24)/D24</f>
        <v>0.113513513513513</v>
      </c>
      <c r="C26" s="10"/>
      <c r="D26" s="11"/>
      <c r="E26" s="12">
        <f>E25-E24</f>
        <v>2100</v>
      </c>
      <c r="F26" s="12"/>
      <c r="G26" s="12"/>
      <c r="H26" s="12"/>
      <c r="I26" s="12"/>
      <c r="J26" s="12">
        <f>J25-J24</f>
        <v>2013.221074</v>
      </c>
      <c r="M26" s="5"/>
    </row>
    <row r="27" s="2" customFormat="1" ht="21" spans="1:15">
      <c r="A27" s="26">
        <v>45887</v>
      </c>
      <c r="B27" s="9" t="s">
        <v>1</v>
      </c>
      <c r="C27" s="10">
        <v>5000</v>
      </c>
      <c r="D27" s="14">
        <v>2.2</v>
      </c>
      <c r="E27" s="11">
        <f>C27*D27</f>
        <v>11000</v>
      </c>
      <c r="F27" s="12">
        <f>E27*0.002</f>
        <v>22</v>
      </c>
      <c r="G27" s="12">
        <f>E27*0.00006</f>
        <v>0.66</v>
      </c>
      <c r="H27" s="12">
        <f>E27*0.00001</f>
        <v>0.11</v>
      </c>
      <c r="I27" s="12">
        <f>(F27+G27+H27)*0.07</f>
        <v>1.5939</v>
      </c>
      <c r="J27" s="11">
        <f>E27+F27+I27+G27+H27</f>
        <v>11024.3639</v>
      </c>
      <c r="K27" s="5"/>
      <c r="L27" s="5"/>
      <c r="M27" s="7"/>
      <c r="N27" s="5"/>
      <c r="O27" s="5"/>
    </row>
    <row r="28" spans="1:13">
      <c r="A28" s="26">
        <v>45897</v>
      </c>
      <c r="B28" s="9" t="s">
        <v>3</v>
      </c>
      <c r="C28" s="10">
        <f>C27</f>
        <v>5000</v>
      </c>
      <c r="D28" s="31">
        <v>2.3</v>
      </c>
      <c r="E28" s="11">
        <f>C28*D28</f>
        <v>11500</v>
      </c>
      <c r="F28" s="32">
        <f>E28*0.002</f>
        <v>23</v>
      </c>
      <c r="G28" s="31">
        <f>E28*0.000068</f>
        <v>0.782</v>
      </c>
      <c r="H28" s="31">
        <f>E28*0.00001</f>
        <v>0.115</v>
      </c>
      <c r="I28" s="31">
        <f>(F28+G28+H28)*0.07</f>
        <v>1.67279</v>
      </c>
      <c r="J28" s="31">
        <f>E28-F28-G28-H28-I28</f>
        <v>11474.43021</v>
      </c>
      <c r="M28" s="5"/>
    </row>
    <row r="29" spans="1:13">
      <c r="A29" s="42" t="s">
        <v>4</v>
      </c>
      <c r="B29" s="35">
        <f>(D28-D27)/D27</f>
        <v>0.0454545454545453</v>
      </c>
      <c r="C29" s="10"/>
      <c r="D29" s="11"/>
      <c r="E29" s="12">
        <f>E28-E27</f>
        <v>500</v>
      </c>
      <c r="F29" s="12"/>
      <c r="G29" s="12"/>
      <c r="H29" s="12"/>
      <c r="I29" s="12"/>
      <c r="J29" s="12">
        <f>J28-J27</f>
        <v>450.06631</v>
      </c>
      <c r="M29" s="5"/>
    </row>
    <row r="30" spans="1:1">
      <c r="A30" s="4" t="s">
        <v>32</v>
      </c>
    </row>
    <row r="31" spans="1:13">
      <c r="A31" s="26">
        <v>45887</v>
      </c>
      <c r="B31" s="9" t="s">
        <v>3</v>
      </c>
      <c r="C31" s="10">
        <v>15000</v>
      </c>
      <c r="D31" s="31">
        <v>0.38</v>
      </c>
      <c r="E31" s="11">
        <f>C31*D31</f>
        <v>5700</v>
      </c>
      <c r="F31" s="32">
        <f>E31*0.002</f>
        <v>11.4</v>
      </c>
      <c r="G31" s="31">
        <f>E31*0.000068</f>
        <v>0.3876</v>
      </c>
      <c r="H31" s="31">
        <f>E31*0.00001</f>
        <v>0.057</v>
      </c>
      <c r="I31" s="31">
        <f>(F31+G31+H31)*0.07</f>
        <v>0.829122</v>
      </c>
      <c r="J31" s="31">
        <f>E31-F31-G31-H31-I31</f>
        <v>5687.326278</v>
      </c>
      <c r="M31" s="5"/>
    </row>
    <row r="33" s="2" customFormat="1" ht="21" spans="1:15">
      <c r="A33" s="26">
        <v>45908</v>
      </c>
      <c r="B33" s="9" t="s">
        <v>1</v>
      </c>
      <c r="C33" s="10">
        <f>C34</f>
        <v>10000</v>
      </c>
      <c r="D33" s="14">
        <v>2.62</v>
      </c>
      <c r="E33" s="11">
        <f>C33*D33</f>
        <v>26200</v>
      </c>
      <c r="F33" s="12">
        <f>E33*0.002</f>
        <v>52.4</v>
      </c>
      <c r="G33" s="12">
        <f>E33*0.00006</f>
        <v>1.572</v>
      </c>
      <c r="H33" s="12">
        <f>E33*0.00001</f>
        <v>0.262</v>
      </c>
      <c r="I33" s="12">
        <f>(F33+G33+H33)*0.07</f>
        <v>3.79638</v>
      </c>
      <c r="J33" s="11">
        <f>E33+F33+I33+G33+H33</f>
        <v>26258.03038</v>
      </c>
      <c r="K33" s="5"/>
      <c r="L33" s="5"/>
      <c r="M33" s="7"/>
      <c r="N33" s="5"/>
      <c r="O33" s="5"/>
    </row>
    <row r="34" spans="1:13">
      <c r="A34" s="26">
        <v>45931</v>
      </c>
      <c r="B34" s="9" t="s">
        <v>3</v>
      </c>
      <c r="C34" s="10">
        <v>10000</v>
      </c>
      <c r="D34" s="31">
        <v>2.72</v>
      </c>
      <c r="E34" s="11">
        <f>C34*D34</f>
        <v>27200</v>
      </c>
      <c r="F34" s="32">
        <f>E34*0.002</f>
        <v>54.4</v>
      </c>
      <c r="G34" s="31">
        <f>E34*0.000068</f>
        <v>1.8496</v>
      </c>
      <c r="H34" s="31">
        <f>E34*0.00001</f>
        <v>0.272</v>
      </c>
      <c r="I34" s="31">
        <f>(F34+G34+H34)*0.07</f>
        <v>3.956512</v>
      </c>
      <c r="J34" s="31">
        <f>E34-F34-G34-H34-I34</f>
        <v>27139.521888</v>
      </c>
      <c r="M34" s="5"/>
    </row>
    <row r="35" spans="1:13">
      <c r="A35" s="42" t="s">
        <v>4</v>
      </c>
      <c r="B35" s="47">
        <f>(D34-D33)/D33</f>
        <v>0.0381679389312977</v>
      </c>
      <c r="C35" s="21"/>
      <c r="D35" s="37"/>
      <c r="E35" s="23">
        <f>E34-E33</f>
        <v>1000</v>
      </c>
      <c r="F35" s="23"/>
      <c r="G35" s="23"/>
      <c r="H35" s="23"/>
      <c r="I35" s="23"/>
      <c r="J35" s="23">
        <f>J34-J33</f>
        <v>881.491507999999</v>
      </c>
      <c r="M35" s="5"/>
    </row>
  </sheetData>
  <sheetProtection selectLockedCells="1" selectUnlockedCells="1"/>
  <pageMargins left="0.7" right="0.7" top="0.75" bottom="0.75" header="0.511805555555556" footer="0.511805555555556"/>
  <pageSetup paperSize="9" firstPageNumber="0" orientation="portrait" useFirstPageNumber="1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workbookViewId="0">
      <selection activeCell="A5" sqref="$A5:$XFD5"/>
    </sheetView>
  </sheetViews>
  <sheetFormatPr defaultColWidth="8.88888888888889" defaultRowHeight="13.8"/>
  <cols>
    <col min="1" max="1" width="10.1111111111111" style="4" customWidth="1"/>
    <col min="2" max="2" width="7.11111111111111" style="5" customWidth="1"/>
    <col min="3" max="3" width="6.66666666666667" style="5" customWidth="1"/>
    <col min="4" max="4" width="7.66666666666667" style="5" customWidth="1"/>
    <col min="5" max="5" width="11.1111111111111" style="5" customWidth="1"/>
    <col min="6" max="6" width="8.88888888888889" style="5"/>
    <col min="7" max="7" width="6.66666666666667" style="5" customWidth="1"/>
    <col min="8" max="8" width="5.77777777777778" style="5" customWidth="1"/>
    <col min="9" max="9" width="7.22222222222222" style="5" customWidth="1"/>
    <col min="10" max="10" width="11.1111111111111" style="5" customWidth="1"/>
    <col min="11" max="11" width="5.66666666666667" style="5" customWidth="1"/>
    <col min="12" max="12" width="8.88888888888889" style="5"/>
    <col min="13" max="13" width="8.88888888888889" style="7"/>
    <col min="14" max="16384" width="8.88888888888889" style="5"/>
  </cols>
  <sheetData>
    <row r="1" spans="2:2">
      <c r="B1" s="5" t="s">
        <v>33</v>
      </c>
    </row>
    <row r="2" spans="1:13">
      <c r="A2" s="26">
        <v>46183</v>
      </c>
      <c r="B2" s="9" t="s">
        <v>1</v>
      </c>
      <c r="C2" s="10">
        <v>20000</v>
      </c>
      <c r="D2" s="14">
        <v>9.4</v>
      </c>
      <c r="E2" s="12">
        <f t="shared" ref="E2:E7" si="0">C2*D2</f>
        <v>188000</v>
      </c>
      <c r="F2" s="12">
        <f t="shared" ref="F2:F7" si="1">E2*0.002</f>
        <v>376</v>
      </c>
      <c r="G2" s="12">
        <f t="shared" ref="G2:G7" si="2">E2*0.00006</f>
        <v>11.28</v>
      </c>
      <c r="H2" s="12">
        <f t="shared" ref="H2:H7" si="3">E2*0.00001</f>
        <v>1.88</v>
      </c>
      <c r="I2" s="12">
        <f t="shared" ref="I2:I7" si="4">(F2+G2+H2)*0.07</f>
        <v>27.2412</v>
      </c>
      <c r="J2" s="12">
        <f t="shared" ref="J2:J7" si="5">E2+F2+I2+G2+H2</f>
        <v>188416.4012</v>
      </c>
      <c r="M2" s="5"/>
    </row>
    <row r="3" spans="1:13">
      <c r="A3" s="26">
        <v>46255</v>
      </c>
      <c r="B3" s="9" t="s">
        <v>1</v>
      </c>
      <c r="C3" s="10">
        <v>10000</v>
      </c>
      <c r="D3" s="14">
        <v>10.3</v>
      </c>
      <c r="E3" s="12">
        <f t="shared" si="0"/>
        <v>103000</v>
      </c>
      <c r="F3" s="12">
        <f t="shared" si="1"/>
        <v>206</v>
      </c>
      <c r="G3" s="12">
        <f t="shared" si="2"/>
        <v>6.18</v>
      </c>
      <c r="H3" s="12">
        <f t="shared" si="3"/>
        <v>1.03</v>
      </c>
      <c r="I3" s="12">
        <f t="shared" si="4"/>
        <v>14.9247</v>
      </c>
      <c r="J3" s="12">
        <f t="shared" si="5"/>
        <v>103228.1347</v>
      </c>
      <c r="M3" s="5"/>
    </row>
    <row r="4" spans="1:13">
      <c r="A4" s="26"/>
      <c r="B4" s="35">
        <f t="shared" ref="B4:B8" si="6">(D3-D2)/D2</f>
        <v>0.0957446808510639</v>
      </c>
      <c r="C4" s="10">
        <f t="shared" ref="C4:C8" si="7">SUM(C2:C3)</f>
        <v>30000</v>
      </c>
      <c r="D4" s="28">
        <f t="shared" ref="D4:D8" si="8">E4/C4</f>
        <v>9.7</v>
      </c>
      <c r="E4" s="10">
        <f t="shared" ref="E4:J4" si="9">SUM(E2:E3)</f>
        <v>291000</v>
      </c>
      <c r="F4" s="10">
        <f t="shared" si="9"/>
        <v>582</v>
      </c>
      <c r="G4" s="10">
        <f t="shared" si="9"/>
        <v>17.46</v>
      </c>
      <c r="H4" s="10">
        <f t="shared" si="9"/>
        <v>2.91</v>
      </c>
      <c r="I4" s="10">
        <f t="shared" si="9"/>
        <v>42.1659</v>
      </c>
      <c r="J4" s="10">
        <f t="shared" si="9"/>
        <v>291644.5359</v>
      </c>
      <c r="M4" s="5"/>
    </row>
    <row r="5" s="3" customFormat="1" spans="1:10">
      <c r="A5" s="26">
        <v>46295</v>
      </c>
      <c r="B5" s="9" t="s">
        <v>1</v>
      </c>
      <c r="C5" s="10">
        <v>5000</v>
      </c>
      <c r="D5" s="14">
        <v>9.25</v>
      </c>
      <c r="E5" s="12">
        <f t="shared" si="0"/>
        <v>46250</v>
      </c>
      <c r="F5" s="12">
        <f t="shared" si="1"/>
        <v>92.5</v>
      </c>
      <c r="G5" s="12">
        <f t="shared" si="2"/>
        <v>2.775</v>
      </c>
      <c r="H5" s="12">
        <f t="shared" si="3"/>
        <v>0.4625</v>
      </c>
      <c r="I5" s="12">
        <f t="shared" si="4"/>
        <v>6.701625</v>
      </c>
      <c r="J5" s="12">
        <f t="shared" si="5"/>
        <v>46352.439125</v>
      </c>
    </row>
    <row r="6" s="3" customFormat="1" spans="1:10">
      <c r="A6" s="26"/>
      <c r="B6" s="35">
        <f t="shared" si="6"/>
        <v>-0.0463917525773195</v>
      </c>
      <c r="C6" s="10">
        <f t="shared" si="7"/>
        <v>35000</v>
      </c>
      <c r="D6" s="28">
        <f t="shared" si="8"/>
        <v>9.63571428571429</v>
      </c>
      <c r="E6" s="10">
        <f t="shared" ref="E6:J6" si="10">SUM(E4:E5)</f>
        <v>337250</v>
      </c>
      <c r="F6" s="10">
        <f t="shared" si="10"/>
        <v>674.5</v>
      </c>
      <c r="G6" s="10">
        <f t="shared" si="10"/>
        <v>20.235</v>
      </c>
      <c r="H6" s="10">
        <f t="shared" si="10"/>
        <v>3.3725</v>
      </c>
      <c r="I6" s="10">
        <f t="shared" si="10"/>
        <v>48.867525</v>
      </c>
      <c r="J6" s="10">
        <f t="shared" si="10"/>
        <v>337996.975025</v>
      </c>
    </row>
    <row r="7" spans="1:13">
      <c r="A7" s="26">
        <v>46295</v>
      </c>
      <c r="B7" s="9" t="s">
        <v>1</v>
      </c>
      <c r="C7" s="10">
        <v>2500</v>
      </c>
      <c r="D7" s="14">
        <v>9.1</v>
      </c>
      <c r="E7" s="12">
        <f t="shared" si="0"/>
        <v>22750</v>
      </c>
      <c r="F7" s="12">
        <f t="shared" si="1"/>
        <v>45.5</v>
      </c>
      <c r="G7" s="12">
        <f t="shared" si="2"/>
        <v>1.365</v>
      </c>
      <c r="H7" s="12">
        <f t="shared" si="3"/>
        <v>0.2275</v>
      </c>
      <c r="I7" s="12">
        <f t="shared" si="4"/>
        <v>3.296475</v>
      </c>
      <c r="J7" s="12">
        <f t="shared" si="5"/>
        <v>22800.388975</v>
      </c>
      <c r="M7" s="5"/>
    </row>
    <row r="8" spans="1:13">
      <c r="A8" s="26"/>
      <c r="B8" s="35">
        <f t="shared" si="6"/>
        <v>-0.055596738324685</v>
      </c>
      <c r="C8" s="10">
        <f t="shared" si="7"/>
        <v>37500</v>
      </c>
      <c r="D8" s="28">
        <f t="shared" si="8"/>
        <v>9.6</v>
      </c>
      <c r="E8" s="10">
        <f t="shared" ref="E8:J8" si="11">SUM(E6:E7)</f>
        <v>360000</v>
      </c>
      <c r="F8" s="10">
        <f t="shared" si="11"/>
        <v>720</v>
      </c>
      <c r="G8" s="10">
        <f t="shared" si="11"/>
        <v>21.6</v>
      </c>
      <c r="H8" s="10">
        <f t="shared" si="11"/>
        <v>3.6</v>
      </c>
      <c r="I8" s="10">
        <f t="shared" si="11"/>
        <v>52.164</v>
      </c>
      <c r="J8" s="10">
        <f t="shared" si="11"/>
        <v>360797.364</v>
      </c>
      <c r="M8" s="5"/>
    </row>
    <row r="9" s="1" customFormat="1" spans="1:13">
      <c r="A9" s="42">
        <v>46295</v>
      </c>
      <c r="B9" s="1" t="s">
        <v>1</v>
      </c>
      <c r="C9" s="21">
        <v>2500</v>
      </c>
      <c r="D9" s="22">
        <v>8.8</v>
      </c>
      <c r="E9" s="23">
        <f>C9*D9</f>
        <v>22000</v>
      </c>
      <c r="F9" s="23">
        <f>E9*0.002</f>
        <v>44</v>
      </c>
      <c r="G9" s="23">
        <f>E9*0.00006</f>
        <v>1.32</v>
      </c>
      <c r="H9" s="23">
        <f>E9*0.00001</f>
        <v>0.22</v>
      </c>
      <c r="I9" s="23">
        <f>(F9+G9+H9)*0.07</f>
        <v>3.1878</v>
      </c>
      <c r="J9" s="23">
        <f>E9+F9+I9+G9+H9</f>
        <v>22048.7278</v>
      </c>
      <c r="M9" s="5"/>
    </row>
    <row r="10" s="51" customFormat="1" ht="18.6" spans="1:13">
      <c r="A10" s="42"/>
      <c r="B10" s="47">
        <f>(D9-D8)/D8</f>
        <v>-0.0833333333333332</v>
      </c>
      <c r="C10" s="21">
        <f t="shared" ref="C10:J10" si="12">SUM(C8:C9)</f>
        <v>40000</v>
      </c>
      <c r="D10" s="44">
        <f>E10/C10</f>
        <v>9.55</v>
      </c>
      <c r="E10" s="21">
        <f t="shared" si="12"/>
        <v>382000</v>
      </c>
      <c r="F10" s="21">
        <f t="shared" si="12"/>
        <v>764</v>
      </c>
      <c r="G10" s="21">
        <f t="shared" si="12"/>
        <v>22.92</v>
      </c>
      <c r="H10" s="21">
        <f t="shared" si="12"/>
        <v>3.82</v>
      </c>
      <c r="I10" s="21">
        <f t="shared" si="12"/>
        <v>55.3518</v>
      </c>
      <c r="J10" s="21">
        <f t="shared" si="12"/>
        <v>382846.0918</v>
      </c>
      <c r="K10" s="5"/>
      <c r="L10" s="5"/>
      <c r="M10" s="5"/>
    </row>
    <row r="11" s="1" customFormat="1" spans="1:10">
      <c r="A11" s="42"/>
      <c r="C11" s="21"/>
      <c r="D11" s="45"/>
      <c r="E11" s="37"/>
      <c r="F11" s="46"/>
      <c r="G11" s="45"/>
      <c r="H11" s="45"/>
      <c r="I11" s="45"/>
      <c r="J11" s="45"/>
    </row>
  </sheetData>
  <sheetProtection selectLockedCells="1" selectUnlockedCells="1"/>
  <pageMargins left="0.7" right="0.7" top="0.75" bottom="0.75" header="0.511805555555556" footer="0.511805555555556"/>
  <pageSetup paperSize="9" firstPageNumber="0" orientation="portrait" useFirstPageNumber="1" horizontalDpi="300" verticalDpi="3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workbookViewId="0">
      <selection activeCell="A6" sqref="$A6:$XFD8"/>
    </sheetView>
  </sheetViews>
  <sheetFormatPr defaultColWidth="8.88888888888889" defaultRowHeight="13.8"/>
  <cols>
    <col min="1" max="1" width="10.1111111111111" style="4" customWidth="1"/>
    <col min="2" max="2" width="7.11111111111111" style="5" customWidth="1"/>
    <col min="3" max="3" width="6.66666666666667" style="5" customWidth="1"/>
    <col min="4" max="4" width="7.66666666666667" style="5" customWidth="1"/>
    <col min="5" max="5" width="11.1111111111111" style="5" customWidth="1"/>
    <col min="6" max="6" width="9" style="5"/>
    <col min="7" max="7" width="6.66666666666667" style="5" customWidth="1"/>
    <col min="8" max="8" width="5.77777777777778" style="5" customWidth="1"/>
    <col min="9" max="9" width="7.22222222222222" style="5" customWidth="1"/>
    <col min="10" max="10" width="11.1111111111111" style="5" customWidth="1"/>
    <col min="11" max="11" width="5.66666666666667" style="5" customWidth="1"/>
    <col min="12" max="12" width="8.88888888888889" style="5"/>
    <col min="13" max="13" width="8.88888888888889" style="7"/>
    <col min="14" max="16384" width="8.88888888888889" style="5"/>
  </cols>
  <sheetData>
    <row r="1" spans="2:2">
      <c r="B1" s="5" t="s">
        <v>34</v>
      </c>
    </row>
    <row r="2" spans="1:13">
      <c r="A2" s="26">
        <v>45119</v>
      </c>
      <c r="B2" s="9" t="s">
        <v>1</v>
      </c>
      <c r="C2" s="10">
        <v>3600</v>
      </c>
      <c r="D2" s="14">
        <v>11.4</v>
      </c>
      <c r="E2" s="12">
        <f>C2*D2</f>
        <v>41040</v>
      </c>
      <c r="F2" s="12">
        <f>E2*0.002</f>
        <v>82.08</v>
      </c>
      <c r="G2" s="12">
        <f>E2*0.00006</f>
        <v>2.4624</v>
      </c>
      <c r="H2" s="12">
        <f>E2*0.00001</f>
        <v>0.4104</v>
      </c>
      <c r="I2" s="12">
        <f>(F2+G2+H2)*0.07</f>
        <v>5.946696</v>
      </c>
      <c r="J2" s="12">
        <f>E2+F2+I2+G2+H2</f>
        <v>41130.899496</v>
      </c>
      <c r="M2" s="5"/>
    </row>
    <row r="3" spans="1:13">
      <c r="A3" s="42">
        <v>44676</v>
      </c>
      <c r="B3" s="1" t="s">
        <v>1</v>
      </c>
      <c r="C3" s="21">
        <v>1800</v>
      </c>
      <c r="D3" s="22">
        <v>6</v>
      </c>
      <c r="E3" s="23">
        <f>C3*D3</f>
        <v>10800</v>
      </c>
      <c r="F3" s="23">
        <f>E3*0.002</f>
        <v>21.6</v>
      </c>
      <c r="G3" s="23">
        <f>E3*0.00006</f>
        <v>0.648</v>
      </c>
      <c r="H3" s="23">
        <f>E3*0.00001</f>
        <v>0.108</v>
      </c>
      <c r="I3" s="23">
        <f>(F3+G3+H3)*0.07</f>
        <v>1.56492</v>
      </c>
      <c r="J3" s="23">
        <f>E3+F3+I3+G3+H3</f>
        <v>10823.92092</v>
      </c>
      <c r="M3" s="5"/>
    </row>
    <row r="4" spans="1:13">
      <c r="A4" s="42"/>
      <c r="B4" s="47">
        <f>(D3-D2)/D2</f>
        <v>-0.473684210526316</v>
      </c>
      <c r="C4" s="21">
        <f>SUM(C2:C3)</f>
        <v>5400</v>
      </c>
      <c r="D4" s="44">
        <f>E4/C4</f>
        <v>9.6</v>
      </c>
      <c r="E4" s="21">
        <f t="shared" ref="E4:J4" si="0">SUM(E2:E3)</f>
        <v>51840</v>
      </c>
      <c r="F4" s="21">
        <f t="shared" si="0"/>
        <v>103.68</v>
      </c>
      <c r="G4" s="21">
        <f t="shared" si="0"/>
        <v>3.1104</v>
      </c>
      <c r="H4" s="21">
        <f t="shared" si="0"/>
        <v>0.5184</v>
      </c>
      <c r="I4" s="21">
        <f t="shared" si="0"/>
        <v>7.511616</v>
      </c>
      <c r="J4" s="21">
        <f t="shared" si="0"/>
        <v>51954.820416</v>
      </c>
      <c r="M4" s="5"/>
    </row>
    <row r="5" s="1" customFormat="1" spans="1:10">
      <c r="A5" s="42"/>
      <c r="C5" s="21"/>
      <c r="D5" s="45"/>
      <c r="E5" s="37"/>
      <c r="F5" s="46"/>
      <c r="G5" s="45"/>
      <c r="H5" s="45"/>
      <c r="I5" s="45"/>
      <c r="J5" s="45"/>
    </row>
    <row r="6" spans="1:13">
      <c r="A6" s="42">
        <v>45119</v>
      </c>
      <c r="B6" s="1" t="s">
        <v>1</v>
      </c>
      <c r="C6" s="21">
        <v>3600</v>
      </c>
      <c r="D6" s="22">
        <v>11.4</v>
      </c>
      <c r="E6" s="23">
        <f>C6*D6</f>
        <v>41040</v>
      </c>
      <c r="F6" s="23">
        <f>E6*0.002</f>
        <v>82.08</v>
      </c>
      <c r="G6" s="23">
        <f>E6*0.00006</f>
        <v>2.4624</v>
      </c>
      <c r="H6" s="23">
        <f>E6*0.00001</f>
        <v>0.4104</v>
      </c>
      <c r="I6" s="23">
        <f>(F6+G6+H6)*0.07</f>
        <v>5.946696</v>
      </c>
      <c r="J6" s="23">
        <f>E6+F6+I6+G6+H6</f>
        <v>41130.899496</v>
      </c>
      <c r="M6" s="5"/>
    </row>
    <row r="7" spans="1:10">
      <c r="A7" s="42">
        <v>44853</v>
      </c>
      <c r="B7" s="1" t="s">
        <v>3</v>
      </c>
      <c r="C7" s="21">
        <f>C6</f>
        <v>3600</v>
      </c>
      <c r="D7" s="45">
        <v>7</v>
      </c>
      <c r="E7" s="37">
        <f>C7*D7</f>
        <v>25200</v>
      </c>
      <c r="F7" s="46">
        <f>E7*0.002</f>
        <v>50.4</v>
      </c>
      <c r="G7" s="45">
        <f>E7*0.000068</f>
        <v>1.7136</v>
      </c>
      <c r="H7" s="45">
        <f>E7*0.00001</f>
        <v>0.252</v>
      </c>
      <c r="I7" s="45">
        <f>(F7+G7+H7)*0.07</f>
        <v>3.665592</v>
      </c>
      <c r="J7" s="45">
        <f>E7-F7-G7-H7-I7</f>
        <v>25143.968808</v>
      </c>
    </row>
    <row r="8" spans="1:10">
      <c r="A8" s="42"/>
      <c r="B8" s="47">
        <f>(D7-D6)/D6</f>
        <v>-0.385964912280702</v>
      </c>
      <c r="C8" s="21"/>
      <c r="D8" s="37"/>
      <c r="E8" s="23">
        <f>E7-E6</f>
        <v>-15840</v>
      </c>
      <c r="F8" s="23"/>
      <c r="G8" s="23"/>
      <c r="H8" s="23"/>
      <c r="I8" s="23"/>
      <c r="J8" s="23">
        <f>J7-J6</f>
        <v>-15986.930688</v>
      </c>
    </row>
    <row r="9" s="1" customFormat="1" spans="1:10">
      <c r="A9" s="42"/>
      <c r="B9" s="9"/>
      <c r="C9" s="21"/>
      <c r="D9" s="45"/>
      <c r="E9" s="37"/>
      <c r="F9" s="46"/>
      <c r="G9" s="45"/>
      <c r="H9" s="45"/>
      <c r="I9" s="45"/>
      <c r="J9" s="45"/>
    </row>
    <row r="10" s="51" customFormat="1" ht="18.6" spans="1:13">
      <c r="A10" s="58"/>
      <c r="B10" s="47"/>
      <c r="C10" s="21"/>
      <c r="D10" s="37"/>
      <c r="E10" s="23"/>
      <c r="F10" s="23"/>
      <c r="G10" s="23"/>
      <c r="H10" s="23"/>
      <c r="I10" s="23"/>
      <c r="J10" s="23"/>
      <c r="K10" s="48"/>
      <c r="L10" s="47"/>
      <c r="M10" s="47"/>
    </row>
  </sheetData>
  <sheetProtection selectLockedCells="1" selectUnlockedCells="1"/>
  <pageMargins left="0.7" right="0.7" top="0.75" bottom="0.75" header="0.511805555555556" footer="0.511805555555556"/>
  <pageSetup paperSize="9" firstPageNumber="0" orientation="portrait" useFirstPageNumber="1" horizontalDpi="300" verticalDpi="3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"/>
  <sheetViews>
    <sheetView workbookViewId="0">
      <selection activeCell="C10" sqref="C10"/>
    </sheetView>
  </sheetViews>
  <sheetFormatPr defaultColWidth="8.88888888888889" defaultRowHeight="13.8"/>
  <cols>
    <col min="1" max="1" width="10.1111111111111" style="4" customWidth="1"/>
    <col min="2" max="2" width="7.11111111111111" style="5" customWidth="1"/>
    <col min="3" max="3" width="6.66666666666667" style="5" customWidth="1"/>
    <col min="4" max="4" width="7.66666666666667" style="5" customWidth="1"/>
    <col min="5" max="5" width="11.1111111111111" style="5" customWidth="1"/>
    <col min="6" max="6" width="8.88888888888889" style="5"/>
    <col min="7" max="7" width="6.66666666666667" style="5" customWidth="1"/>
    <col min="8" max="8" width="5.77777777777778" style="5" customWidth="1"/>
    <col min="9" max="9" width="7.22222222222222" style="5" customWidth="1"/>
    <col min="10" max="10" width="11.1111111111111" style="5" customWidth="1"/>
    <col min="11" max="11" width="5.66666666666667" style="5" customWidth="1"/>
    <col min="12" max="12" width="8.88888888888889" style="5"/>
    <col min="13" max="13" width="8.88888888888889" style="7"/>
    <col min="14" max="16384" width="8.88888888888889" style="5"/>
  </cols>
  <sheetData>
    <row r="1" spans="2:2">
      <c r="B1" s="5" t="s">
        <v>35</v>
      </c>
    </row>
    <row r="2" spans="1:13">
      <c r="A2" s="26">
        <v>45877</v>
      </c>
      <c r="B2" s="9" t="s">
        <v>1</v>
      </c>
      <c r="C2" s="10">
        <v>2500</v>
      </c>
      <c r="D2" s="14">
        <v>32</v>
      </c>
      <c r="E2" s="12">
        <f>C2*D2</f>
        <v>80000</v>
      </c>
      <c r="F2" s="12">
        <f>E2*0.002</f>
        <v>160</v>
      </c>
      <c r="G2" s="12">
        <f>E2*0.00006</f>
        <v>4.8</v>
      </c>
      <c r="H2" s="12">
        <f>E2*0.00001</f>
        <v>0.8</v>
      </c>
      <c r="I2" s="12">
        <f>(F2+G2+H2)*0.07</f>
        <v>11.592</v>
      </c>
      <c r="J2" s="12">
        <f>E2+F2+I2+G2+H2</f>
        <v>80177.192</v>
      </c>
      <c r="M2" s="5"/>
    </row>
    <row r="3" spans="1:13">
      <c r="A3" s="26">
        <v>45901</v>
      </c>
      <c r="B3" s="9" t="s">
        <v>1</v>
      </c>
      <c r="C3" s="10">
        <v>2500</v>
      </c>
      <c r="D3" s="14">
        <v>31</v>
      </c>
      <c r="E3" s="12">
        <f>C3*D3</f>
        <v>77500</v>
      </c>
      <c r="F3" s="12">
        <f>E3*0.002</f>
        <v>155</v>
      </c>
      <c r="G3" s="12">
        <f>E3*0.00006</f>
        <v>4.65</v>
      </c>
      <c r="H3" s="12">
        <f>E3*0.00001</f>
        <v>0.775</v>
      </c>
      <c r="I3" s="12">
        <f>(F3+G3+H3)*0.07</f>
        <v>11.22975</v>
      </c>
      <c r="J3" s="12">
        <f>E3+F3+I3+G3+H3</f>
        <v>77671.65475</v>
      </c>
      <c r="M3" s="5"/>
    </row>
    <row r="4" spans="1:13">
      <c r="A4" s="26"/>
      <c r="B4" s="35">
        <f>(D3-D2)/D2</f>
        <v>-0.03125</v>
      </c>
      <c r="C4" s="10">
        <f>SUM(C2:C3)</f>
        <v>5000</v>
      </c>
      <c r="D4" s="28">
        <f>E4/C4</f>
        <v>31.5</v>
      </c>
      <c r="E4" s="10">
        <f t="shared" ref="E4:J4" si="0">SUM(E2:E3)</f>
        <v>157500</v>
      </c>
      <c r="F4" s="10">
        <f t="shared" si="0"/>
        <v>315</v>
      </c>
      <c r="G4" s="10">
        <f t="shared" si="0"/>
        <v>9.45</v>
      </c>
      <c r="H4" s="10">
        <f t="shared" si="0"/>
        <v>1.575</v>
      </c>
      <c r="I4" s="10">
        <f t="shared" si="0"/>
        <v>22.82175</v>
      </c>
      <c r="J4" s="10">
        <f t="shared" si="0"/>
        <v>157848.84675</v>
      </c>
      <c r="M4" s="5"/>
    </row>
    <row r="5" spans="1:13">
      <c r="A5" s="26">
        <v>45919</v>
      </c>
      <c r="B5" s="9" t="s">
        <v>1</v>
      </c>
      <c r="C5" s="10">
        <v>2500</v>
      </c>
      <c r="D5" s="14">
        <v>33</v>
      </c>
      <c r="E5" s="12">
        <f>C5*D5</f>
        <v>82500</v>
      </c>
      <c r="F5" s="12">
        <f>E5*0.002</f>
        <v>165</v>
      </c>
      <c r="G5" s="12">
        <f>E5*0.00006</f>
        <v>4.95</v>
      </c>
      <c r="H5" s="12">
        <f>E5*0.00001</f>
        <v>0.825</v>
      </c>
      <c r="I5" s="12">
        <f>(F5+G5+H5)*0.07</f>
        <v>11.95425</v>
      </c>
      <c r="J5" s="12">
        <f>E5+F5+I5+G5+H5</f>
        <v>82682.72925</v>
      </c>
      <c r="M5" s="5"/>
    </row>
    <row r="6" spans="1:13">
      <c r="A6" s="26"/>
      <c r="B6" s="35">
        <f>(D5-D4)/D4</f>
        <v>0.0476190476190476</v>
      </c>
      <c r="C6" s="10">
        <f>SUM(C4:C5)</f>
        <v>7500</v>
      </c>
      <c r="D6" s="28">
        <f>E6/C6</f>
        <v>32</v>
      </c>
      <c r="E6" s="10">
        <f t="shared" ref="E6:J6" si="1">SUM(E4:E5)</f>
        <v>240000</v>
      </c>
      <c r="F6" s="10">
        <f t="shared" si="1"/>
        <v>480</v>
      </c>
      <c r="G6" s="10">
        <f t="shared" si="1"/>
        <v>14.4</v>
      </c>
      <c r="H6" s="10">
        <f t="shared" si="1"/>
        <v>2.4</v>
      </c>
      <c r="I6" s="10">
        <f t="shared" si="1"/>
        <v>34.776</v>
      </c>
      <c r="J6" s="10">
        <f t="shared" si="1"/>
        <v>240531.576</v>
      </c>
      <c r="M6" s="5"/>
    </row>
    <row r="7" spans="1:13">
      <c r="A7" s="26">
        <v>45946</v>
      </c>
      <c r="B7" s="9" t="s">
        <v>1</v>
      </c>
      <c r="C7" s="10">
        <v>2500</v>
      </c>
      <c r="D7" s="14">
        <v>31</v>
      </c>
      <c r="E7" s="12">
        <f>C7*D7</f>
        <v>77500</v>
      </c>
      <c r="F7" s="12">
        <f>E7*0.002</f>
        <v>155</v>
      </c>
      <c r="G7" s="12">
        <f>E7*0.00006</f>
        <v>4.65</v>
      </c>
      <c r="H7" s="12">
        <f>E7*0.00001</f>
        <v>0.775</v>
      </c>
      <c r="I7" s="12">
        <f>(F7+G7+H7)*0.07</f>
        <v>11.22975</v>
      </c>
      <c r="J7" s="12">
        <f>E7+F7+I7+G7+H7</f>
        <v>77671.65475</v>
      </c>
      <c r="M7" s="5"/>
    </row>
    <row r="8" spans="1:13">
      <c r="A8" s="26"/>
      <c r="B8" s="35">
        <f>(D7-D6)/D6</f>
        <v>-0.03125</v>
      </c>
      <c r="C8" s="10">
        <f>SUM(C6:C7)</f>
        <v>10000</v>
      </c>
      <c r="D8" s="28">
        <f>E8/C8</f>
        <v>31.75</v>
      </c>
      <c r="E8" s="10">
        <f t="shared" ref="E8:J8" si="2">SUM(E6:E7)</f>
        <v>317500</v>
      </c>
      <c r="F8" s="10">
        <f t="shared" si="2"/>
        <v>635</v>
      </c>
      <c r="G8" s="10">
        <f t="shared" si="2"/>
        <v>19.05</v>
      </c>
      <c r="H8" s="10">
        <f t="shared" si="2"/>
        <v>3.175</v>
      </c>
      <c r="I8" s="10">
        <f t="shared" si="2"/>
        <v>46.00575</v>
      </c>
      <c r="J8" s="10">
        <f t="shared" si="2"/>
        <v>318203.23075</v>
      </c>
      <c r="M8" s="5"/>
    </row>
    <row r="9" spans="1:13">
      <c r="A9" s="42">
        <v>45946</v>
      </c>
      <c r="B9" s="1" t="s">
        <v>1</v>
      </c>
      <c r="C9" s="21">
        <v>3000</v>
      </c>
      <c r="D9" s="22">
        <v>41.5</v>
      </c>
      <c r="E9" s="23">
        <f>C9*D9</f>
        <v>124500</v>
      </c>
      <c r="F9" s="23">
        <f>E9*0.002</f>
        <v>249</v>
      </c>
      <c r="G9" s="23">
        <f>E9*0.00006</f>
        <v>7.47</v>
      </c>
      <c r="H9" s="23">
        <f>E9*0.00001</f>
        <v>1.245</v>
      </c>
      <c r="I9" s="23">
        <f>(F9+G9+H9)*0.07</f>
        <v>18.04005</v>
      </c>
      <c r="J9" s="23">
        <f>E9+F9+I9+G9+H9</f>
        <v>124775.75505</v>
      </c>
      <c r="M9" s="5"/>
    </row>
    <row r="10" spans="1:13">
      <c r="A10" s="42"/>
      <c r="B10" s="47">
        <f>(D9-D8)/D8</f>
        <v>0.307086614173228</v>
      </c>
      <c r="C10" s="21">
        <f>SUM(C8:C9)</f>
        <v>13000</v>
      </c>
      <c r="D10" s="44">
        <f>E10/C10</f>
        <v>34</v>
      </c>
      <c r="E10" s="21">
        <f t="shared" ref="E10:J10" si="3">SUM(E8:E9)</f>
        <v>442000</v>
      </c>
      <c r="F10" s="21">
        <f t="shared" si="3"/>
        <v>884</v>
      </c>
      <c r="G10" s="21">
        <f t="shared" si="3"/>
        <v>26.52</v>
      </c>
      <c r="H10" s="21">
        <f t="shared" si="3"/>
        <v>4.42</v>
      </c>
      <c r="I10" s="21">
        <f t="shared" si="3"/>
        <v>64.0458</v>
      </c>
      <c r="J10" s="21">
        <f t="shared" si="3"/>
        <v>442978.9858</v>
      </c>
      <c r="M10" s="5"/>
    </row>
    <row r="11" s="1" customFormat="1" spans="1:10">
      <c r="A11" s="42"/>
      <c r="B11" s="9"/>
      <c r="C11" s="21"/>
      <c r="D11" s="45"/>
      <c r="E11" s="37"/>
      <c r="F11" s="46"/>
      <c r="G11" s="45"/>
      <c r="H11" s="45"/>
      <c r="I11" s="45"/>
      <c r="J11" s="45"/>
    </row>
    <row r="12" spans="1:13">
      <c r="A12" s="26">
        <v>45946</v>
      </c>
      <c r="B12" s="9" t="s">
        <v>1</v>
      </c>
      <c r="C12" s="10">
        <v>2500</v>
      </c>
      <c r="D12" s="14">
        <v>31</v>
      </c>
      <c r="E12" s="12">
        <f>C12*D12</f>
        <v>77500</v>
      </c>
      <c r="F12" s="12">
        <f>E12*0.002</f>
        <v>155</v>
      </c>
      <c r="G12" s="12">
        <f>E12*0.00006</f>
        <v>4.65</v>
      </c>
      <c r="H12" s="12">
        <f>E12*0.00001</f>
        <v>0.775</v>
      </c>
      <c r="I12" s="12">
        <f>(F12+G12+H12)*0.07</f>
        <v>11.22975</v>
      </c>
      <c r="J12" s="12">
        <f>E12+F12+I12+G12+H12</f>
        <v>77671.65475</v>
      </c>
      <c r="M12" s="5"/>
    </row>
    <row r="13" spans="1:10">
      <c r="A13" s="42">
        <v>44853</v>
      </c>
      <c r="B13" s="1" t="s">
        <v>3</v>
      </c>
      <c r="C13" s="21">
        <f>C12</f>
        <v>2500</v>
      </c>
      <c r="D13" s="45">
        <v>31.25</v>
      </c>
      <c r="E13" s="37">
        <f>C13*D13</f>
        <v>78125</v>
      </c>
      <c r="F13" s="46">
        <f>E13*0.002</f>
        <v>156.25</v>
      </c>
      <c r="G13" s="45">
        <f>E13*0.000068</f>
        <v>5.3125</v>
      </c>
      <c r="H13" s="45">
        <f>E13*0.00001</f>
        <v>0.78125</v>
      </c>
      <c r="I13" s="45">
        <f>(F13+G13+H13)*0.07</f>
        <v>11.3640625</v>
      </c>
      <c r="J13" s="45">
        <f>E13-F13-G13-H13-I13</f>
        <v>77951.2921875</v>
      </c>
    </row>
    <row r="14" spans="1:10">
      <c r="A14" s="42"/>
      <c r="B14" s="47">
        <f>(D13-D12)/D12</f>
        <v>0.00806451612903226</v>
      </c>
      <c r="C14" s="21"/>
      <c r="D14" s="37"/>
      <c r="E14" s="23">
        <f>E13-E12</f>
        <v>625</v>
      </c>
      <c r="F14" s="23"/>
      <c r="G14" s="23"/>
      <c r="H14" s="23"/>
      <c r="I14" s="23"/>
      <c r="J14" s="23">
        <f>J13-J12</f>
        <v>279.637437500016</v>
      </c>
    </row>
  </sheetData>
  <sheetProtection selectLockedCells="1" selectUnlockedCells="1"/>
  <pageMargins left="0.7" right="0.7" top="0.75" bottom="0.75" header="0.511805555555556" footer="0.511805555555556"/>
  <pageSetup paperSize="9" firstPageNumber="0" orientation="portrait" useFirstPageNumber="1" horizontalDpi="300" verticalDpi="30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8"/>
  <sheetViews>
    <sheetView topLeftCell="A22" workbookViewId="0">
      <selection activeCell="D32" sqref="D32"/>
    </sheetView>
  </sheetViews>
  <sheetFormatPr defaultColWidth="8.88888888888889" defaultRowHeight="13.8"/>
  <cols>
    <col min="1" max="1" width="16.5555555555556" style="40" customWidth="1"/>
    <col min="2" max="2" width="8.22222222222222" style="5" customWidth="1"/>
    <col min="3" max="3" width="6.66666666666667" style="5" customWidth="1"/>
    <col min="4" max="4" width="9.22222222222222" style="5" customWidth="1"/>
    <col min="5" max="5" width="11.1111111111111" style="5" customWidth="1"/>
    <col min="6" max="6" width="9.22222222222222" style="5"/>
    <col min="7" max="7" width="6.66666666666667" style="5" customWidth="1"/>
    <col min="8" max="8" width="5.77777777777778" style="5" customWidth="1"/>
    <col min="9" max="9" width="7.22222222222222" style="5" customWidth="1"/>
    <col min="10" max="10" width="11.1111111111111" style="5" customWidth="1"/>
    <col min="11" max="11" width="18" style="5" customWidth="1"/>
    <col min="12" max="12" width="8.88888888888889" style="5"/>
    <col min="13" max="13" width="8.88888888888889" style="7"/>
    <col min="14" max="16384" width="8.88888888888889" style="5"/>
  </cols>
  <sheetData>
    <row r="1" spans="2:2">
      <c r="B1" s="5" t="s">
        <v>36</v>
      </c>
    </row>
    <row r="2" s="1" customFormat="1" spans="1:13">
      <c r="A2" s="42">
        <v>44508</v>
      </c>
      <c r="B2" s="1" t="s">
        <v>1</v>
      </c>
      <c r="C2" s="21">
        <v>3000</v>
      </c>
      <c r="D2" s="37">
        <v>44</v>
      </c>
      <c r="E2" s="23">
        <f>C2*D2</f>
        <v>132000</v>
      </c>
      <c r="F2" s="23">
        <f>E2*0.002</f>
        <v>264</v>
      </c>
      <c r="G2" s="23">
        <f>E2*0.00006</f>
        <v>7.92</v>
      </c>
      <c r="H2" s="23">
        <f>E2*0.00001</f>
        <v>1.32</v>
      </c>
      <c r="I2" s="23">
        <f>(F2+G2+H2)*0.07</f>
        <v>19.1268</v>
      </c>
      <c r="J2" s="23">
        <f>E2+F2+I2+G2+H2</f>
        <v>132292.3668</v>
      </c>
      <c r="K2" s="48"/>
      <c r="L2" s="37"/>
      <c r="M2" s="47"/>
    </row>
    <row r="3" spans="1:13">
      <c r="A3" s="42">
        <v>44517</v>
      </c>
      <c r="B3" s="1" t="s">
        <v>1</v>
      </c>
      <c r="C3" s="21">
        <v>1500</v>
      </c>
      <c r="D3" s="37">
        <v>41</v>
      </c>
      <c r="E3" s="23">
        <f>C3*D3</f>
        <v>61500</v>
      </c>
      <c r="F3" s="23">
        <f>E3*0.002</f>
        <v>123</v>
      </c>
      <c r="G3" s="23">
        <f>E3*0.000068</f>
        <v>4.182</v>
      </c>
      <c r="H3" s="23">
        <f>E3*0.00001</f>
        <v>0.615</v>
      </c>
      <c r="I3" s="23">
        <f>(F3+G3+H3)*0.07</f>
        <v>8.94579</v>
      </c>
      <c r="J3" s="23">
        <f>E3+F3+I3+G3+H3</f>
        <v>61636.74279</v>
      </c>
      <c r="M3" s="5"/>
    </row>
    <row r="4" spans="2:13">
      <c r="B4" s="7">
        <f>(D3-D2)/D2</f>
        <v>-0.0681818181818182</v>
      </c>
      <c r="C4" s="6">
        <f>SUM(C2:C3)</f>
        <v>4500</v>
      </c>
      <c r="D4" s="53">
        <f>E4/C4</f>
        <v>43</v>
      </c>
      <c r="E4" s="6">
        <f t="shared" ref="E4:J4" si="0">SUM(E2:E3)</f>
        <v>193500</v>
      </c>
      <c r="F4" s="6">
        <f t="shared" si="0"/>
        <v>387</v>
      </c>
      <c r="G4" s="6">
        <f t="shared" si="0"/>
        <v>12.102</v>
      </c>
      <c r="H4" s="6">
        <f t="shared" si="0"/>
        <v>1.935</v>
      </c>
      <c r="I4" s="6">
        <f t="shared" si="0"/>
        <v>28.07259</v>
      </c>
      <c r="J4" s="6">
        <f t="shared" si="0"/>
        <v>193929.10959</v>
      </c>
      <c r="K4" s="50"/>
      <c r="L4" s="7"/>
      <c r="M4" s="5"/>
    </row>
    <row r="5" s="1" customFormat="1" ht="18.6" customHeight="1" spans="1:10">
      <c r="A5" s="42">
        <v>44543</v>
      </c>
      <c r="B5" s="55" t="s">
        <v>3</v>
      </c>
      <c r="C5" s="21">
        <v>900</v>
      </c>
      <c r="D5" s="45">
        <v>46</v>
      </c>
      <c r="E5" s="37">
        <f>C5*D5</f>
        <v>41400</v>
      </c>
      <c r="F5" s="46">
        <f>E5*0.002</f>
        <v>82.8</v>
      </c>
      <c r="G5" s="45">
        <f>E5*0.000068</f>
        <v>2.8152</v>
      </c>
      <c r="H5" s="45">
        <f>E5*0.00001</f>
        <v>0.414</v>
      </c>
      <c r="I5" s="45">
        <f>(F5+G5+H5)*0.07</f>
        <v>6.022044</v>
      </c>
      <c r="J5" s="45">
        <f>E5-F5-G5-H5-I5</f>
        <v>41307.948756</v>
      </c>
    </row>
    <row r="6" spans="1:13">
      <c r="A6" s="42"/>
      <c r="B6" s="47" t="s">
        <v>8</v>
      </c>
      <c r="C6" s="21">
        <f>C4-C5</f>
        <v>3600</v>
      </c>
      <c r="D6" s="37">
        <v>43</v>
      </c>
      <c r="E6" s="23">
        <f>C6*D6</f>
        <v>154800</v>
      </c>
      <c r="F6" s="23">
        <f>E6*0.002</f>
        <v>309.6</v>
      </c>
      <c r="G6" s="23">
        <f>E6*0.000068</f>
        <v>10.5264</v>
      </c>
      <c r="H6" s="23">
        <f>E6*0.00001</f>
        <v>1.548</v>
      </c>
      <c r="I6" s="23">
        <f>(F6+G6+H6)*0.07</f>
        <v>22.517208</v>
      </c>
      <c r="J6" s="23">
        <f>E6+F6+I6+G6+H6</f>
        <v>155144.191608</v>
      </c>
      <c r="M6" s="5"/>
    </row>
    <row r="7" spans="1:13">
      <c r="A7" s="42">
        <v>44545</v>
      </c>
      <c r="B7" s="1" t="s">
        <v>1</v>
      </c>
      <c r="C7" s="21">
        <v>2400</v>
      </c>
      <c r="D7" s="37">
        <v>43</v>
      </c>
      <c r="E7" s="23">
        <f>C7*D7</f>
        <v>103200</v>
      </c>
      <c r="F7" s="23">
        <f>E7*0.002</f>
        <v>206.4</v>
      </c>
      <c r="G7" s="23">
        <f>E7*0.000068</f>
        <v>7.0176</v>
      </c>
      <c r="H7" s="23">
        <f>E7*0.00001</f>
        <v>1.032</v>
      </c>
      <c r="I7" s="23">
        <f>(F7+G7+H7)*0.07</f>
        <v>15.011472</v>
      </c>
      <c r="J7" s="23">
        <f>E7+F7+I7+G7+H7</f>
        <v>103429.461072</v>
      </c>
      <c r="M7" s="5"/>
    </row>
    <row r="8" spans="2:13">
      <c r="B8" s="7">
        <f>(D7-D6)/D6</f>
        <v>0</v>
      </c>
      <c r="C8" s="6">
        <f>SUM(C6:C7)</f>
        <v>6000</v>
      </c>
      <c r="D8" s="53">
        <f>E8/C8</f>
        <v>43</v>
      </c>
      <c r="E8" s="6">
        <f t="shared" ref="E8:J8" si="1">SUM(E6:E7)</f>
        <v>258000</v>
      </c>
      <c r="F8" s="6">
        <f t="shared" si="1"/>
        <v>516</v>
      </c>
      <c r="G8" s="6">
        <f t="shared" si="1"/>
        <v>17.544</v>
      </c>
      <c r="H8" s="6">
        <f t="shared" si="1"/>
        <v>2.58</v>
      </c>
      <c r="I8" s="6">
        <f t="shared" si="1"/>
        <v>37.52868</v>
      </c>
      <c r="J8" s="6">
        <f t="shared" si="1"/>
        <v>258573.65268</v>
      </c>
      <c r="K8" s="50"/>
      <c r="L8" s="7"/>
      <c r="M8" s="5"/>
    </row>
    <row r="9" s="1" customFormat="1" ht="18.6" customHeight="1" spans="1:10">
      <c r="A9" s="42">
        <v>44551</v>
      </c>
      <c r="B9" s="55" t="s">
        <v>3</v>
      </c>
      <c r="C9" s="21">
        <v>1500</v>
      </c>
      <c r="D9" s="45">
        <v>48.5</v>
      </c>
      <c r="E9" s="37">
        <f>C9*D9</f>
        <v>72750</v>
      </c>
      <c r="F9" s="46">
        <f>E9*0.002</f>
        <v>145.5</v>
      </c>
      <c r="G9" s="45">
        <f>E9*0.000068</f>
        <v>4.947</v>
      </c>
      <c r="H9" s="45">
        <f>E9*0.00001</f>
        <v>0.7275</v>
      </c>
      <c r="I9" s="45">
        <f>(F9+G9+H9)*0.07</f>
        <v>10.582215</v>
      </c>
      <c r="J9" s="45">
        <f>E9-F9-G9-H9-I9</f>
        <v>72588.243285</v>
      </c>
    </row>
    <row r="10" spans="1:13">
      <c r="A10" s="42">
        <v>44551</v>
      </c>
      <c r="B10" s="47" t="s">
        <v>8</v>
      </c>
      <c r="C10" s="21">
        <f>C8-C9</f>
        <v>4500</v>
      </c>
      <c r="D10" s="37">
        <v>43</v>
      </c>
      <c r="E10" s="23">
        <f>C10*D10</f>
        <v>193500</v>
      </c>
      <c r="F10" s="23">
        <f>E10*0.002</f>
        <v>387</v>
      </c>
      <c r="G10" s="23">
        <f>E10*0.000068</f>
        <v>13.158</v>
      </c>
      <c r="H10" s="23">
        <f>E10*0.00001</f>
        <v>1.935</v>
      </c>
      <c r="I10" s="23">
        <f>(F10+G10+H10)*0.07</f>
        <v>28.14651</v>
      </c>
      <c r="J10" s="23">
        <f>E10+F10+I10+G10+H10</f>
        <v>193930.23951</v>
      </c>
      <c r="M10" s="5"/>
    </row>
    <row r="11" spans="1:13">
      <c r="A11" s="42">
        <v>44578</v>
      </c>
      <c r="B11" s="1" t="s">
        <v>1</v>
      </c>
      <c r="C11" s="21">
        <v>1500</v>
      </c>
      <c r="D11" s="37">
        <v>49</v>
      </c>
      <c r="E11" s="23">
        <f>C11*D11</f>
        <v>73500</v>
      </c>
      <c r="F11" s="23">
        <f>E11*0.002</f>
        <v>147</v>
      </c>
      <c r="G11" s="23">
        <f>E11*0.000068</f>
        <v>4.998</v>
      </c>
      <c r="H11" s="23">
        <f>E11*0.00001</f>
        <v>0.735</v>
      </c>
      <c r="I11" s="23">
        <f>(F11+G11+H11)*0.07</f>
        <v>10.69131</v>
      </c>
      <c r="J11" s="23">
        <f>E11+F11+I11+G11+H11</f>
        <v>73663.42431</v>
      </c>
      <c r="M11" s="5"/>
    </row>
    <row r="12" spans="2:13">
      <c r="B12" s="7">
        <f>(D11-D10)/D10</f>
        <v>0.13953488372093</v>
      </c>
      <c r="C12" s="6">
        <f>SUM(C10:C11)</f>
        <v>6000</v>
      </c>
      <c r="D12" s="53">
        <f>E12/C12</f>
        <v>44.5</v>
      </c>
      <c r="E12" s="6">
        <f t="shared" ref="E12:J12" si="2">SUM(E10:E11)</f>
        <v>267000</v>
      </c>
      <c r="F12" s="6">
        <f t="shared" si="2"/>
        <v>534</v>
      </c>
      <c r="G12" s="6">
        <f t="shared" si="2"/>
        <v>18.156</v>
      </c>
      <c r="H12" s="6">
        <f t="shared" si="2"/>
        <v>2.67</v>
      </c>
      <c r="I12" s="6">
        <f t="shared" si="2"/>
        <v>38.83782</v>
      </c>
      <c r="J12" s="6">
        <f t="shared" si="2"/>
        <v>267593.66382</v>
      </c>
      <c r="K12" s="50"/>
      <c r="L12" s="7"/>
      <c r="M12" s="5"/>
    </row>
    <row r="13" s="1" customFormat="1" ht="18.6" customHeight="1" spans="1:10">
      <c r="A13" s="42">
        <v>44580</v>
      </c>
      <c r="B13" s="55" t="s">
        <v>3</v>
      </c>
      <c r="C13" s="21">
        <v>1500</v>
      </c>
      <c r="D13" s="45">
        <v>49.5</v>
      </c>
      <c r="E13" s="37">
        <f>C13*D13</f>
        <v>74250</v>
      </c>
      <c r="F13" s="46">
        <f>E13*0.002</f>
        <v>148.5</v>
      </c>
      <c r="G13" s="45">
        <f>E13*0.000068</f>
        <v>5.049</v>
      </c>
      <c r="H13" s="45">
        <f>E13*0.00001</f>
        <v>0.7425</v>
      </c>
      <c r="I13" s="45">
        <f>(F13+G13+H13)*0.07</f>
        <v>10.800405</v>
      </c>
      <c r="J13" s="45">
        <f>E13-F13-G13-H13-I13</f>
        <v>74084.908095</v>
      </c>
    </row>
    <row r="14" spans="1:13">
      <c r="A14" s="26">
        <v>44580</v>
      </c>
      <c r="B14" s="35" t="s">
        <v>8</v>
      </c>
      <c r="C14" s="10">
        <f>C12-C13</f>
        <v>4500</v>
      </c>
      <c r="D14" s="11">
        <v>44.5</v>
      </c>
      <c r="E14" s="12">
        <f>C14*D14</f>
        <v>200250</v>
      </c>
      <c r="F14" s="12">
        <f>E14*0.002</f>
        <v>400.5</v>
      </c>
      <c r="G14" s="12">
        <f>E14*0.000068</f>
        <v>13.617</v>
      </c>
      <c r="H14" s="12">
        <f>E14*0.00001</f>
        <v>2.0025</v>
      </c>
      <c r="I14" s="12">
        <f>(F14+G14+H14)*0.07</f>
        <v>29.128365</v>
      </c>
      <c r="J14" s="12">
        <f>E14+F14+I14+G14+H14</f>
        <v>200695.247865</v>
      </c>
      <c r="M14" s="5"/>
    </row>
    <row r="15" spans="1:13">
      <c r="A15" s="26">
        <v>44617</v>
      </c>
      <c r="B15" s="9" t="s">
        <v>1</v>
      </c>
      <c r="C15" s="10">
        <v>1500</v>
      </c>
      <c r="D15" s="11">
        <v>48.5</v>
      </c>
      <c r="E15" s="12">
        <f>C15*D15</f>
        <v>72750</v>
      </c>
      <c r="F15" s="12">
        <f>E15*0.002</f>
        <v>145.5</v>
      </c>
      <c r="G15" s="12">
        <f>E15*0.000068</f>
        <v>4.947</v>
      </c>
      <c r="H15" s="12">
        <f>E15*0.00001</f>
        <v>0.7275</v>
      </c>
      <c r="I15" s="12">
        <f>(F15+G15+H15)*0.07</f>
        <v>10.582215</v>
      </c>
      <c r="J15" s="12">
        <f>E15+F15+I15+G15+H15</f>
        <v>72911.756715</v>
      </c>
      <c r="M15" s="5"/>
    </row>
    <row r="16" spans="1:13">
      <c r="A16" s="33"/>
      <c r="B16" s="16">
        <f>(D15-D12)/D12</f>
        <v>0.0898876404494382</v>
      </c>
      <c r="C16" s="17">
        <f>SUM(C14:C15)</f>
        <v>6000</v>
      </c>
      <c r="D16" s="52">
        <f>E16/C16</f>
        <v>45.5</v>
      </c>
      <c r="E16" s="17">
        <f t="shared" ref="E16:J16" si="3">SUM(E14:E15)</f>
        <v>273000</v>
      </c>
      <c r="F16" s="17">
        <f t="shared" si="3"/>
        <v>546</v>
      </c>
      <c r="G16" s="17">
        <f t="shared" si="3"/>
        <v>18.564</v>
      </c>
      <c r="H16" s="17">
        <f t="shared" si="3"/>
        <v>2.73</v>
      </c>
      <c r="I16" s="17">
        <f t="shared" si="3"/>
        <v>39.71058</v>
      </c>
      <c r="J16" s="17">
        <f t="shared" si="3"/>
        <v>273607.00458</v>
      </c>
      <c r="K16" s="50"/>
      <c r="L16" s="7"/>
      <c r="M16" s="5"/>
    </row>
    <row r="17" spans="1:13">
      <c r="A17" s="26">
        <v>44617</v>
      </c>
      <c r="B17" s="9" t="s">
        <v>1</v>
      </c>
      <c r="C17" s="10">
        <v>1500</v>
      </c>
      <c r="D17" s="11">
        <v>48</v>
      </c>
      <c r="E17" s="12">
        <f>C17*D17</f>
        <v>72000</v>
      </c>
      <c r="F17" s="12">
        <f>E17*0.002</f>
        <v>144</v>
      </c>
      <c r="G17" s="12">
        <f>E17*0.000068</f>
        <v>4.896</v>
      </c>
      <c r="H17" s="12">
        <f>E17*0.00001</f>
        <v>0.72</v>
      </c>
      <c r="I17" s="12">
        <f>(F17+G17+H17)*0.07</f>
        <v>10.47312</v>
      </c>
      <c r="J17" s="12">
        <f>E17+F17+I17+G17+H17</f>
        <v>72160.08912</v>
      </c>
      <c r="M17" s="5"/>
    </row>
    <row r="18" spans="1:13">
      <c r="A18" s="33"/>
      <c r="B18" s="16">
        <f>(D17-D15)/D15</f>
        <v>-0.0103092783505155</v>
      </c>
      <c r="C18" s="17">
        <f>SUM(C16:C17)</f>
        <v>7500</v>
      </c>
      <c r="D18" s="52">
        <f>E18/C18</f>
        <v>46</v>
      </c>
      <c r="E18" s="17">
        <f t="shared" ref="E18:J18" si="4">SUM(E16:E17)</f>
        <v>345000</v>
      </c>
      <c r="F18" s="17">
        <f t="shared" si="4"/>
        <v>690</v>
      </c>
      <c r="G18" s="17">
        <f t="shared" si="4"/>
        <v>23.46</v>
      </c>
      <c r="H18" s="17">
        <f t="shared" si="4"/>
        <v>3.45</v>
      </c>
      <c r="I18" s="17">
        <f t="shared" si="4"/>
        <v>50.1837</v>
      </c>
      <c r="J18" s="17">
        <f t="shared" si="4"/>
        <v>345767.0937</v>
      </c>
      <c r="K18" s="50"/>
      <c r="L18" s="7"/>
      <c r="M18" s="5"/>
    </row>
    <row r="19" spans="1:13">
      <c r="A19" s="26">
        <v>44617</v>
      </c>
      <c r="B19" s="9" t="s">
        <v>1</v>
      </c>
      <c r="C19" s="10">
        <v>1500</v>
      </c>
      <c r="D19" s="11">
        <v>47.5</v>
      </c>
      <c r="E19" s="12">
        <f>C19*D19</f>
        <v>71250</v>
      </c>
      <c r="F19" s="12">
        <f>E19*0.002</f>
        <v>142.5</v>
      </c>
      <c r="G19" s="12">
        <f>E19*0.000068</f>
        <v>4.845</v>
      </c>
      <c r="H19" s="12">
        <f>E19*0.00001</f>
        <v>0.7125</v>
      </c>
      <c r="I19" s="12">
        <f>(F19+G19+H19)*0.07</f>
        <v>10.364025</v>
      </c>
      <c r="J19" s="12">
        <f>E19+F19+I19+G19+H19</f>
        <v>71408.421525</v>
      </c>
      <c r="M19" s="5"/>
    </row>
    <row r="20" spans="1:13">
      <c r="A20" s="33"/>
      <c r="B20" s="16">
        <f>(D19-D17)/D17</f>
        <v>-0.0104166666666667</v>
      </c>
      <c r="C20" s="17">
        <f>SUM(C18:C19)</f>
        <v>9000</v>
      </c>
      <c r="D20" s="52">
        <f>E20/C20</f>
        <v>46.25</v>
      </c>
      <c r="E20" s="17">
        <f t="shared" ref="E20:J20" si="5">SUM(E18:E19)</f>
        <v>416250</v>
      </c>
      <c r="F20" s="17">
        <f t="shared" si="5"/>
        <v>832.5</v>
      </c>
      <c r="G20" s="17">
        <f t="shared" si="5"/>
        <v>28.305</v>
      </c>
      <c r="H20" s="17">
        <f t="shared" si="5"/>
        <v>4.1625</v>
      </c>
      <c r="I20" s="17">
        <f t="shared" si="5"/>
        <v>60.547725</v>
      </c>
      <c r="J20" s="17">
        <f t="shared" si="5"/>
        <v>417175.515225</v>
      </c>
      <c r="K20" s="50"/>
      <c r="L20" s="7"/>
      <c r="M20" s="5"/>
    </row>
    <row r="21" spans="1:13">
      <c r="A21" s="26">
        <v>44642</v>
      </c>
      <c r="B21" s="9" t="s">
        <v>1</v>
      </c>
      <c r="C21" s="10">
        <v>3000</v>
      </c>
      <c r="D21" s="11">
        <v>50.25</v>
      </c>
      <c r="E21" s="12">
        <f>C21*D21</f>
        <v>150750</v>
      </c>
      <c r="F21" s="12">
        <f>E21*0.002</f>
        <v>301.5</v>
      </c>
      <c r="G21" s="12">
        <f>E21*0.000068</f>
        <v>10.251</v>
      </c>
      <c r="H21" s="12">
        <f>E21*0.00001</f>
        <v>1.5075</v>
      </c>
      <c r="I21" s="12">
        <f>(F21+G21+H21)*0.07</f>
        <v>21.928095</v>
      </c>
      <c r="J21" s="12">
        <f>E21+F21+I21+G21+H21</f>
        <v>151085.186595</v>
      </c>
      <c r="M21" s="5"/>
    </row>
    <row r="22" spans="1:13">
      <c r="A22" s="33"/>
      <c r="B22" s="16">
        <f>(D21-D19)/D19</f>
        <v>0.0578947368421053</v>
      </c>
      <c r="C22" s="17">
        <f>SUM(C20:C21)</f>
        <v>12000</v>
      </c>
      <c r="D22" s="52">
        <f>E22/C22</f>
        <v>47.25</v>
      </c>
      <c r="E22" s="17">
        <f t="shared" ref="E22:J22" si="6">SUM(E20:E21)</f>
        <v>567000</v>
      </c>
      <c r="F22" s="17">
        <f t="shared" si="6"/>
        <v>1134</v>
      </c>
      <c r="G22" s="17">
        <f t="shared" si="6"/>
        <v>38.556</v>
      </c>
      <c r="H22" s="17">
        <f t="shared" si="6"/>
        <v>5.67</v>
      </c>
      <c r="I22" s="17">
        <f t="shared" si="6"/>
        <v>82.47582</v>
      </c>
      <c r="J22" s="17">
        <f t="shared" si="6"/>
        <v>568260.70182</v>
      </c>
      <c r="K22" s="50"/>
      <c r="L22" s="7"/>
      <c r="M22" s="5"/>
    </row>
    <row r="23" spans="1:13">
      <c r="A23" s="26">
        <v>44741</v>
      </c>
      <c r="B23" s="9" t="s">
        <v>1</v>
      </c>
      <c r="C23" s="10">
        <v>3000</v>
      </c>
      <c r="D23" s="11">
        <v>39.75</v>
      </c>
      <c r="E23" s="12">
        <f>C23*D23</f>
        <v>119250</v>
      </c>
      <c r="F23" s="12">
        <f>E23*0.002</f>
        <v>238.5</v>
      </c>
      <c r="G23" s="12">
        <f>E23*0.000068</f>
        <v>8.109</v>
      </c>
      <c r="H23" s="12">
        <f>E23*0.00001</f>
        <v>1.1925</v>
      </c>
      <c r="I23" s="12">
        <f>(F23+G23+H23)*0.07</f>
        <v>17.346105</v>
      </c>
      <c r="J23" s="12">
        <f>E23+F23+I23+G23+H23</f>
        <v>119515.147605</v>
      </c>
      <c r="M23" s="5"/>
    </row>
    <row r="24" spans="1:13">
      <c r="A24" s="33"/>
      <c r="B24" s="16">
        <f>(D23-D21)/D21</f>
        <v>-0.208955223880597</v>
      </c>
      <c r="C24" s="17">
        <f>SUM(C22:C23)</f>
        <v>15000</v>
      </c>
      <c r="D24" s="52">
        <f>E24/C24</f>
        <v>45.75</v>
      </c>
      <c r="E24" s="17">
        <f t="shared" ref="E24:J24" si="7">SUM(E22:E23)</f>
        <v>686250</v>
      </c>
      <c r="F24" s="17">
        <f t="shared" si="7"/>
        <v>1372.5</v>
      </c>
      <c r="G24" s="17">
        <f t="shared" si="7"/>
        <v>46.665</v>
      </c>
      <c r="H24" s="17">
        <f t="shared" si="7"/>
        <v>6.8625</v>
      </c>
      <c r="I24" s="17">
        <f t="shared" si="7"/>
        <v>99.821925</v>
      </c>
      <c r="J24" s="17">
        <f t="shared" si="7"/>
        <v>687775.849425</v>
      </c>
      <c r="K24" s="50"/>
      <c r="L24" s="7"/>
      <c r="M24" s="5"/>
    </row>
    <row r="25" spans="1:13">
      <c r="A25" s="26">
        <v>44876</v>
      </c>
      <c r="B25" s="9" t="s">
        <v>1</v>
      </c>
      <c r="C25" s="10">
        <v>3000</v>
      </c>
      <c r="D25" s="11">
        <v>30.5</v>
      </c>
      <c r="E25" s="12">
        <f>C25*D25</f>
        <v>91500</v>
      </c>
      <c r="F25" s="12">
        <f>E25*0.002</f>
        <v>183</v>
      </c>
      <c r="G25" s="12">
        <f>E25*0.000068</f>
        <v>6.222</v>
      </c>
      <c r="H25" s="12">
        <f>E25*0.00001</f>
        <v>0.915</v>
      </c>
      <c r="I25" s="12">
        <f>(F25+G25+H25)*0.07</f>
        <v>13.30959</v>
      </c>
      <c r="J25" s="12">
        <f>E25+F25+I25+G25+H25</f>
        <v>91703.44659</v>
      </c>
      <c r="M25" s="5"/>
    </row>
    <row r="26" spans="1:13">
      <c r="A26" s="33"/>
      <c r="B26" s="16">
        <f>(D25-D23)/D23</f>
        <v>-0.232704402515723</v>
      </c>
      <c r="C26" s="17">
        <f>C24+C25</f>
        <v>18000</v>
      </c>
      <c r="D26" s="52">
        <f t="shared" ref="D26:D28" si="8">E26/C26</f>
        <v>43.2083333333333</v>
      </c>
      <c r="E26" s="17">
        <f t="shared" ref="E26:J26" si="9">E24+E25</f>
        <v>777750</v>
      </c>
      <c r="F26" s="17">
        <f t="shared" si="9"/>
        <v>1555.5</v>
      </c>
      <c r="G26" s="17">
        <f t="shared" si="9"/>
        <v>52.887</v>
      </c>
      <c r="H26" s="17">
        <f t="shared" si="9"/>
        <v>7.7775</v>
      </c>
      <c r="I26" s="17">
        <f t="shared" si="9"/>
        <v>113.131515</v>
      </c>
      <c r="J26" s="17">
        <f t="shared" si="9"/>
        <v>779479.296015</v>
      </c>
      <c r="K26" s="50"/>
      <c r="L26" s="7"/>
      <c r="M26" s="5"/>
    </row>
    <row r="27" spans="1:10">
      <c r="A27" s="26">
        <v>44887</v>
      </c>
      <c r="B27" s="9" t="s">
        <v>1</v>
      </c>
      <c r="C27" s="10">
        <v>3000</v>
      </c>
      <c r="D27" s="11">
        <v>31.5</v>
      </c>
      <c r="E27" s="12">
        <f>C27*D27</f>
        <v>94500</v>
      </c>
      <c r="F27" s="12">
        <f>E27*0.002</f>
        <v>189</v>
      </c>
      <c r="G27" s="12">
        <f>E27*0.000068</f>
        <v>6.426</v>
      </c>
      <c r="H27" s="12">
        <f>E27*0.00001</f>
        <v>0.945</v>
      </c>
      <c r="I27" s="12">
        <f>(F27+G27+H27)*0.07</f>
        <v>13.74597</v>
      </c>
      <c r="J27" s="12">
        <f>E27+F27+I27+G27+H27</f>
        <v>94710.11697</v>
      </c>
    </row>
    <row r="28" spans="1:13">
      <c r="A28" s="33"/>
      <c r="B28" s="16">
        <f>(D27-D26)/D26</f>
        <v>-0.270973963355834</v>
      </c>
      <c r="C28" s="17">
        <f>SUM(C26:C27)</f>
        <v>21000</v>
      </c>
      <c r="D28" s="52">
        <f t="shared" si="8"/>
        <v>41.5357142857143</v>
      </c>
      <c r="E28" s="17">
        <f t="shared" ref="E28:J28" si="10">SUM(E26:E27)</f>
        <v>872250</v>
      </c>
      <c r="F28" s="17">
        <f t="shared" si="10"/>
        <v>1744.5</v>
      </c>
      <c r="G28" s="17">
        <f t="shared" si="10"/>
        <v>59.313</v>
      </c>
      <c r="H28" s="17">
        <f t="shared" si="10"/>
        <v>8.7225</v>
      </c>
      <c r="I28" s="17">
        <f t="shared" si="10"/>
        <v>126.877485</v>
      </c>
      <c r="J28" s="17">
        <f t="shared" si="10"/>
        <v>874189.412985</v>
      </c>
      <c r="M28" s="5"/>
    </row>
    <row r="29" spans="1:10">
      <c r="A29" s="26">
        <v>46295</v>
      </c>
      <c r="B29" s="9" t="s">
        <v>1</v>
      </c>
      <c r="C29" s="10">
        <v>3000</v>
      </c>
      <c r="D29" s="11">
        <v>45.25</v>
      </c>
      <c r="E29" s="12">
        <f>C29*D29</f>
        <v>135750</v>
      </c>
      <c r="F29" s="12">
        <f>E29*0.002</f>
        <v>271.5</v>
      </c>
      <c r="G29" s="12">
        <f>E29*0.000068</f>
        <v>9.231</v>
      </c>
      <c r="H29" s="12">
        <f>E29*0.00001</f>
        <v>1.3575</v>
      </c>
      <c r="I29" s="12">
        <f>(F29+G29+H29)*0.07</f>
        <v>19.746195</v>
      </c>
      <c r="J29" s="12">
        <f>E29+F29+I29+G29+H29</f>
        <v>136051.834695</v>
      </c>
    </row>
    <row r="30" spans="2:13">
      <c r="B30" s="16">
        <f>(D29-D28)/D28</f>
        <v>0.0894239036973345</v>
      </c>
      <c r="C30" s="17">
        <f>SUM(C28:C29)</f>
        <v>24000</v>
      </c>
      <c r="D30" s="52">
        <f>E30/C30</f>
        <v>42</v>
      </c>
      <c r="E30" s="17">
        <f t="shared" ref="E30:J30" si="11">SUM(E28:E29)</f>
        <v>1008000</v>
      </c>
      <c r="F30" s="17">
        <f t="shared" si="11"/>
        <v>2016</v>
      </c>
      <c r="G30" s="17">
        <f t="shared" si="11"/>
        <v>68.544</v>
      </c>
      <c r="H30" s="17">
        <f t="shared" si="11"/>
        <v>10.08</v>
      </c>
      <c r="I30" s="17">
        <f t="shared" si="11"/>
        <v>146.62368</v>
      </c>
      <c r="J30" s="17">
        <f t="shared" si="11"/>
        <v>1010241.24768</v>
      </c>
      <c r="K30" s="7"/>
      <c r="M30" s="5"/>
    </row>
    <row r="31" s="5" customFormat="1" spans="1:13">
      <c r="A31" s="42">
        <v>46295</v>
      </c>
      <c r="B31" s="1" t="s">
        <v>1</v>
      </c>
      <c r="C31" s="21">
        <v>3000</v>
      </c>
      <c r="D31" s="37">
        <v>42</v>
      </c>
      <c r="E31" s="23">
        <f>C31*D31</f>
        <v>126000</v>
      </c>
      <c r="F31" s="23">
        <f>E31*0.002</f>
        <v>252</v>
      </c>
      <c r="G31" s="23">
        <f>E31*0.000068</f>
        <v>8.568</v>
      </c>
      <c r="H31" s="23">
        <f>E31*0.00001</f>
        <v>1.26</v>
      </c>
      <c r="I31" s="23">
        <f>(F31+G31+H31)*0.07</f>
        <v>18.32796</v>
      </c>
      <c r="J31" s="23">
        <f>E31+F31+I31+G31+H31</f>
        <v>126280.15596</v>
      </c>
      <c r="M31" s="7"/>
    </row>
    <row r="32" s="5" customFormat="1" spans="1:11">
      <c r="A32" s="40"/>
      <c r="B32" s="7">
        <f>(D31-D30)/D30</f>
        <v>0</v>
      </c>
      <c r="C32" s="6">
        <f>SUM(C30:C31)</f>
        <v>27000</v>
      </c>
      <c r="D32" s="53">
        <f>E32/C32</f>
        <v>42</v>
      </c>
      <c r="E32" s="6">
        <f t="shared" ref="E32:J32" si="12">SUM(E30:E31)</f>
        <v>1134000</v>
      </c>
      <c r="F32" s="6">
        <f t="shared" si="12"/>
        <v>2268</v>
      </c>
      <c r="G32" s="6">
        <f t="shared" si="12"/>
        <v>77.112</v>
      </c>
      <c r="H32" s="6">
        <f t="shared" si="12"/>
        <v>11.34</v>
      </c>
      <c r="I32" s="6">
        <f t="shared" si="12"/>
        <v>164.95164</v>
      </c>
      <c r="J32" s="6">
        <f t="shared" si="12"/>
        <v>1136521.40364</v>
      </c>
      <c r="K32" s="7"/>
    </row>
    <row r="33" s="1" customFormat="1" spans="1:10">
      <c r="A33" s="40"/>
      <c r="B33" s="5"/>
      <c r="C33" s="5"/>
      <c r="D33" s="5"/>
      <c r="E33" s="5"/>
      <c r="F33" s="5"/>
      <c r="G33" s="5"/>
      <c r="H33" s="5"/>
      <c r="I33" s="5"/>
      <c r="J33" s="5"/>
    </row>
    <row r="34" spans="1:13">
      <c r="A34" s="26">
        <v>44876</v>
      </c>
      <c r="B34" s="9" t="s">
        <v>1</v>
      </c>
      <c r="C34" s="10">
        <v>3000</v>
      </c>
      <c r="D34" s="11">
        <v>30.5</v>
      </c>
      <c r="E34" s="12">
        <f>C34*D34</f>
        <v>91500</v>
      </c>
      <c r="F34" s="12">
        <f>E34*0.002</f>
        <v>183</v>
      </c>
      <c r="G34" s="12">
        <f>E34*0.000068</f>
        <v>6.222</v>
      </c>
      <c r="H34" s="12">
        <f>E34*0.00001</f>
        <v>0.915</v>
      </c>
      <c r="I34" s="12">
        <f>(F34+G34+H34)*0.07</f>
        <v>13.30959</v>
      </c>
      <c r="J34" s="12">
        <f>E34+F34+I34+G34+H34</f>
        <v>91703.44659</v>
      </c>
      <c r="M34" s="5"/>
    </row>
    <row r="35" s="1" customFormat="1" spans="1:10">
      <c r="A35" s="42">
        <v>46286</v>
      </c>
      <c r="B35" s="1" t="s">
        <v>3</v>
      </c>
      <c r="C35" s="21">
        <f>C34</f>
        <v>3000</v>
      </c>
      <c r="D35" s="45">
        <v>52.25</v>
      </c>
      <c r="E35" s="37">
        <f>C35*D35</f>
        <v>156750</v>
      </c>
      <c r="F35" s="46">
        <f>E35*0.002</f>
        <v>313.5</v>
      </c>
      <c r="G35" s="45">
        <f>E35*0.000068</f>
        <v>10.659</v>
      </c>
      <c r="H35" s="45">
        <f>E35*0.00001</f>
        <v>1.5675</v>
      </c>
      <c r="I35" s="45">
        <f>(F35+G35+H35)*0.07</f>
        <v>22.800855</v>
      </c>
      <c r="J35" s="45">
        <f>E35-F35-G35-H35-I35</f>
        <v>156401.472645</v>
      </c>
    </row>
    <row r="36" s="1" customFormat="1" spans="1:10">
      <c r="A36" s="42"/>
      <c r="B36" s="47">
        <f>(D35-D34)/D34</f>
        <v>0.713114754098361</v>
      </c>
      <c r="C36" s="21"/>
      <c r="D36" s="37"/>
      <c r="E36" s="23">
        <f>E35-E34</f>
        <v>65250</v>
      </c>
      <c r="F36" s="23"/>
      <c r="G36" s="23"/>
      <c r="H36" s="23"/>
      <c r="I36" s="23"/>
      <c r="J36" s="23">
        <f>J35-J34</f>
        <v>64698.026055</v>
      </c>
    </row>
    <row r="37" s="1" customFormat="1" spans="1:10">
      <c r="A37" s="26">
        <v>44959</v>
      </c>
      <c r="B37" s="9" t="s">
        <v>1</v>
      </c>
      <c r="C37" s="10">
        <v>3000</v>
      </c>
      <c r="D37" s="11">
        <v>30.25</v>
      </c>
      <c r="E37" s="12">
        <f>C37*D37</f>
        <v>90750</v>
      </c>
      <c r="F37" s="12">
        <f>E37*0.002</f>
        <v>181.5</v>
      </c>
      <c r="G37" s="12">
        <f>E37*0.000068</f>
        <v>6.171</v>
      </c>
      <c r="H37" s="12">
        <f>E37*0.00001</f>
        <v>0.9075</v>
      </c>
      <c r="I37" s="12">
        <f>(F37+G37+H37)*0.07</f>
        <v>13.200495</v>
      </c>
      <c r="J37" s="12">
        <f>E37+F37+I37+G37+H37</f>
        <v>90951.778995</v>
      </c>
    </row>
    <row r="38" s="1" customFormat="1" spans="1:10">
      <c r="A38" s="26">
        <v>46286</v>
      </c>
      <c r="B38" s="9" t="s">
        <v>3</v>
      </c>
      <c r="C38" s="10">
        <f>C37</f>
        <v>3000</v>
      </c>
      <c r="D38" s="31">
        <v>49.25</v>
      </c>
      <c r="E38" s="11">
        <f>C38*D38</f>
        <v>147750</v>
      </c>
      <c r="F38" s="32">
        <f>E38*0.002</f>
        <v>295.5</v>
      </c>
      <c r="G38" s="31">
        <f>E38*0.000068</f>
        <v>10.047</v>
      </c>
      <c r="H38" s="31">
        <f>E38*0.00001</f>
        <v>1.4775</v>
      </c>
      <c r="I38" s="31">
        <f>(F38+G38+H38)*0.07</f>
        <v>21.491715</v>
      </c>
      <c r="J38" s="31">
        <f>E38-F38-G38-H38-I38</f>
        <v>147421.483785</v>
      </c>
    </row>
    <row r="39" s="1" customFormat="1" spans="1:10">
      <c r="A39" s="26"/>
      <c r="B39" s="35">
        <f>(D38-D37)/D37</f>
        <v>0.628099173553719</v>
      </c>
      <c r="C39" s="10"/>
      <c r="D39" s="11"/>
      <c r="E39" s="12">
        <f>E38-E37</f>
        <v>57000</v>
      </c>
      <c r="F39" s="12"/>
      <c r="G39" s="12"/>
      <c r="H39" s="12"/>
      <c r="I39" s="12"/>
      <c r="J39" s="12">
        <f>J38-J37</f>
        <v>56469.70479</v>
      </c>
    </row>
    <row r="40" spans="1:10">
      <c r="A40" s="26">
        <v>45887</v>
      </c>
      <c r="B40" s="9" t="s">
        <v>1</v>
      </c>
      <c r="C40" s="10">
        <v>3000</v>
      </c>
      <c r="D40" s="11">
        <v>28</v>
      </c>
      <c r="E40" s="12">
        <f>C40*D40</f>
        <v>84000</v>
      </c>
      <c r="F40" s="12">
        <f>E40*0.002</f>
        <v>168</v>
      </c>
      <c r="G40" s="12">
        <f>E40*0.000068</f>
        <v>5.712</v>
      </c>
      <c r="H40" s="12">
        <f>E40*0.00001</f>
        <v>0.84</v>
      </c>
      <c r="I40" s="12">
        <f>(F40+G40+H40)*0.07</f>
        <v>12.21864</v>
      </c>
      <c r="J40" s="12">
        <f>E40+F40+I40+G40+H40</f>
        <v>84186.77064</v>
      </c>
    </row>
    <row r="41" spans="1:10">
      <c r="A41" s="26">
        <v>46254</v>
      </c>
      <c r="B41" s="9" t="s">
        <v>3</v>
      </c>
      <c r="C41" s="10">
        <f>C40</f>
        <v>3000</v>
      </c>
      <c r="D41" s="31">
        <v>45</v>
      </c>
      <c r="E41" s="11">
        <f>C41*D41</f>
        <v>135000</v>
      </c>
      <c r="F41" s="32">
        <f>E41*0.002</f>
        <v>270</v>
      </c>
      <c r="G41" s="31">
        <f>E41*0.000068</f>
        <v>9.18</v>
      </c>
      <c r="H41" s="31">
        <f>E41*0.00001</f>
        <v>1.35</v>
      </c>
      <c r="I41" s="31">
        <f>(F41+G41+H41)*0.07</f>
        <v>19.6371</v>
      </c>
      <c r="J41" s="31">
        <f>E41-F41-G41-H41-I41</f>
        <v>134699.8329</v>
      </c>
    </row>
    <row r="42" spans="1:10">
      <c r="A42" s="26"/>
      <c r="B42" s="35">
        <f>(D41-D40)/D40</f>
        <v>0.607142857142857</v>
      </c>
      <c r="C42" s="10"/>
      <c r="D42" s="11"/>
      <c r="E42" s="12">
        <f>E41-E40</f>
        <v>51000</v>
      </c>
      <c r="F42" s="12"/>
      <c r="G42" s="12"/>
      <c r="H42" s="12"/>
      <c r="I42" s="12"/>
      <c r="J42" s="12">
        <f>J41-J40</f>
        <v>50513.06226</v>
      </c>
    </row>
    <row r="43" s="51" customFormat="1" ht="18.6" spans="1:13">
      <c r="A43" s="26">
        <v>44846</v>
      </c>
      <c r="B43" s="9" t="s">
        <v>1</v>
      </c>
      <c r="C43" s="10">
        <v>3000</v>
      </c>
      <c r="D43" s="11">
        <v>27.75</v>
      </c>
      <c r="E43" s="12">
        <f>C43*D43</f>
        <v>83250</v>
      </c>
      <c r="F43" s="12">
        <f>E43*0.002</f>
        <v>166.5</v>
      </c>
      <c r="G43" s="12">
        <f>E43*0.000068</f>
        <v>5.661</v>
      </c>
      <c r="H43" s="12">
        <f>E43*0.00001</f>
        <v>0.8325</v>
      </c>
      <c r="I43" s="12">
        <f>(F43+G43+H43)*0.07</f>
        <v>12.109545</v>
      </c>
      <c r="J43" s="12">
        <f>E43+F43+I43+G43+H43</f>
        <v>83435.103045</v>
      </c>
      <c r="K43" s="48"/>
      <c r="L43" s="47"/>
      <c r="M43" s="47"/>
    </row>
    <row r="44" spans="1:10">
      <c r="A44" s="26">
        <v>44853</v>
      </c>
      <c r="B44" s="9" t="s">
        <v>3</v>
      </c>
      <c r="C44" s="10">
        <f>C43</f>
        <v>3000</v>
      </c>
      <c r="D44" s="31">
        <v>29.25</v>
      </c>
      <c r="E44" s="11">
        <f>C44*D44</f>
        <v>87750</v>
      </c>
      <c r="F44" s="32">
        <f>E44*0.002</f>
        <v>175.5</v>
      </c>
      <c r="G44" s="31">
        <f>E44*0.000068</f>
        <v>5.967</v>
      </c>
      <c r="H44" s="31">
        <f>E44*0.00001</f>
        <v>0.8775</v>
      </c>
      <c r="I44" s="31">
        <f>(F44+G44+H44)*0.07</f>
        <v>12.764115</v>
      </c>
      <c r="J44" s="31">
        <f>E44-F44-G44-H44-I44</f>
        <v>87554.891385</v>
      </c>
    </row>
    <row r="45" spans="1:10">
      <c r="A45" s="26">
        <f>DAYS360(A43,A44)</f>
        <v>7</v>
      </c>
      <c r="B45" s="35">
        <f>(D44-D43)/D43</f>
        <v>0.0540540540540541</v>
      </c>
      <c r="C45" s="10"/>
      <c r="D45" s="11"/>
      <c r="E45" s="12">
        <f>E44-E43</f>
        <v>4500</v>
      </c>
      <c r="F45" s="12"/>
      <c r="G45" s="12"/>
      <c r="H45" s="12"/>
      <c r="I45" s="12"/>
      <c r="J45" s="12">
        <f>J44-J43</f>
        <v>4119.78834</v>
      </c>
    </row>
    <row r="46" s="2" customFormat="1" ht="21" spans="1:14">
      <c r="A46" s="20">
        <v>45161</v>
      </c>
      <c r="C46" s="21">
        <f>C47</f>
        <v>3000</v>
      </c>
      <c r="D46" s="44">
        <v>0.25</v>
      </c>
      <c r="E46" s="56">
        <v>0</v>
      </c>
      <c r="F46" s="48">
        <v>0</v>
      </c>
      <c r="G46" s="56">
        <v>0</v>
      </c>
      <c r="H46" s="37">
        <f>G46-E46</f>
        <v>0</v>
      </c>
      <c r="I46" s="47">
        <v>0</v>
      </c>
      <c r="J46" s="57">
        <f>C46*D46*0.9</f>
        <v>675</v>
      </c>
      <c r="K46" s="37"/>
      <c r="L46" s="1"/>
      <c r="M46" s="37"/>
      <c r="N46" s="37"/>
    </row>
    <row r="47" spans="1:13">
      <c r="A47" s="26">
        <v>44854</v>
      </c>
      <c r="B47" s="9" t="s">
        <v>1</v>
      </c>
      <c r="C47" s="10">
        <v>3000</v>
      </c>
      <c r="D47" s="11">
        <v>27.75</v>
      </c>
      <c r="E47" s="12">
        <f>C47*D47</f>
        <v>83250</v>
      </c>
      <c r="F47" s="12">
        <f>E47*0.002</f>
        <v>166.5</v>
      </c>
      <c r="G47" s="12">
        <f>E47*0.000068</f>
        <v>5.661</v>
      </c>
      <c r="H47" s="12">
        <f>E47*0.00001</f>
        <v>0.8325</v>
      </c>
      <c r="I47" s="12">
        <f>(F47+G47+H47)*0.07</f>
        <v>12.109545</v>
      </c>
      <c r="J47" s="12">
        <f>E47+F47+I47+G47+H47</f>
        <v>83435.103045</v>
      </c>
      <c r="M47" s="5"/>
    </row>
    <row r="48" spans="1:10">
      <c r="A48" s="26">
        <v>45877</v>
      </c>
      <c r="B48" s="9" t="s">
        <v>3</v>
      </c>
      <c r="C48" s="10">
        <f>C47</f>
        <v>3000</v>
      </c>
      <c r="D48" s="31">
        <v>31</v>
      </c>
      <c r="E48" s="11">
        <f>C48*D48</f>
        <v>93000</v>
      </c>
      <c r="F48" s="32">
        <f>E48*0.002</f>
        <v>186</v>
      </c>
      <c r="G48" s="31">
        <f>E48*0.000068</f>
        <v>6.324</v>
      </c>
      <c r="H48" s="31">
        <f>E48*0.00001</f>
        <v>0.93</v>
      </c>
      <c r="I48" s="31">
        <f>(F48+G48+H48)*0.07</f>
        <v>13.52778</v>
      </c>
      <c r="J48" s="31">
        <f>E48-F48-G48-H48-I48</f>
        <v>92793.21822</v>
      </c>
    </row>
    <row r="49" spans="1:10">
      <c r="A49" s="26"/>
      <c r="B49" s="35">
        <f>J49/J47</f>
        <v>0.112160407711761</v>
      </c>
      <c r="C49" s="10"/>
      <c r="D49" s="11"/>
      <c r="E49" s="12">
        <f>E48-E47</f>
        <v>9750</v>
      </c>
      <c r="F49" s="12"/>
      <c r="G49" s="12"/>
      <c r="H49" s="12"/>
      <c r="I49" s="12"/>
      <c r="J49" s="12">
        <f>J48-J47</f>
        <v>9358.11517500001</v>
      </c>
    </row>
    <row r="50" spans="1:10">
      <c r="A50" s="26">
        <v>45887</v>
      </c>
      <c r="B50" s="9" t="s">
        <v>1</v>
      </c>
      <c r="C50" s="10">
        <v>3000</v>
      </c>
      <c r="D50" s="11">
        <v>28</v>
      </c>
      <c r="E50" s="12">
        <f>C50*D50</f>
        <v>84000</v>
      </c>
      <c r="F50" s="12">
        <f>E50*0.002</f>
        <v>168</v>
      </c>
      <c r="G50" s="12">
        <f>E50*0.000068</f>
        <v>5.712</v>
      </c>
      <c r="H50" s="12">
        <f>E50*0.00001</f>
        <v>0.84</v>
      </c>
      <c r="I50" s="12">
        <f>(F50+G50+H50)*0.07</f>
        <v>12.21864</v>
      </c>
      <c r="J50" s="12">
        <f>E50+F50+I50+G50+H50</f>
        <v>84186.77064</v>
      </c>
    </row>
    <row r="51" spans="1:10">
      <c r="A51" s="26">
        <v>45877</v>
      </c>
      <c r="B51" s="9" t="s">
        <v>3</v>
      </c>
      <c r="C51" s="10">
        <f>C50</f>
        <v>3000</v>
      </c>
      <c r="D51" s="31">
        <v>31</v>
      </c>
      <c r="E51" s="11">
        <f>C51*D51</f>
        <v>93000</v>
      </c>
      <c r="F51" s="32">
        <f>E51*0.002</f>
        <v>186</v>
      </c>
      <c r="G51" s="31">
        <f>E51*0.000068</f>
        <v>6.324</v>
      </c>
      <c r="H51" s="31">
        <f>E51*0.00001</f>
        <v>0.93</v>
      </c>
      <c r="I51" s="31">
        <f>(F51+G51+H51)*0.07</f>
        <v>13.52778</v>
      </c>
      <c r="J51" s="31">
        <f>E51-F51-G51-H51-I51</f>
        <v>92793.21822</v>
      </c>
    </row>
    <row r="52" spans="1:10">
      <c r="A52" s="26"/>
      <c r="B52" s="35">
        <f>J52/J50</f>
        <v>0.102230404071478</v>
      </c>
      <c r="C52" s="10"/>
      <c r="D52" s="11"/>
      <c r="E52" s="12">
        <f>E51-E50</f>
        <v>9000</v>
      </c>
      <c r="F52" s="12"/>
      <c r="G52" s="12"/>
      <c r="H52" s="12"/>
      <c r="I52" s="12"/>
      <c r="J52" s="12">
        <f>J51-J50</f>
        <v>8606.44758000001</v>
      </c>
    </row>
    <row r="53" spans="1:10">
      <c r="A53" s="26">
        <v>45936</v>
      </c>
      <c r="B53" s="9" t="s">
        <v>1</v>
      </c>
      <c r="C53" s="10">
        <v>3000</v>
      </c>
      <c r="D53" s="11">
        <v>26</v>
      </c>
      <c r="E53" s="12">
        <f>C53*D53</f>
        <v>78000</v>
      </c>
      <c r="F53" s="12">
        <f>E53*0.002</f>
        <v>156</v>
      </c>
      <c r="G53" s="12">
        <f>E53*0.000068</f>
        <v>5.304</v>
      </c>
      <c r="H53" s="12">
        <f>E53*0.00001</f>
        <v>0.78</v>
      </c>
      <c r="I53" s="12">
        <f>(F53+G53+H53)*0.07</f>
        <v>11.34588</v>
      </c>
      <c r="J53" s="12">
        <f>E53+F53+I53+G53+H53</f>
        <v>78173.42988</v>
      </c>
    </row>
    <row r="54" spans="1:10">
      <c r="A54" s="26">
        <v>45937</v>
      </c>
      <c r="B54" s="9" t="s">
        <v>3</v>
      </c>
      <c r="C54" s="10">
        <f>C53</f>
        <v>3000</v>
      </c>
      <c r="D54" s="31">
        <v>26.5</v>
      </c>
      <c r="E54" s="11">
        <f>C54*D54</f>
        <v>79500</v>
      </c>
      <c r="F54" s="32">
        <f>E54*0.002</f>
        <v>159</v>
      </c>
      <c r="G54" s="31">
        <f>E54*0.000068</f>
        <v>5.406</v>
      </c>
      <c r="H54" s="31">
        <f>E54*0.00001</f>
        <v>0.795</v>
      </c>
      <c r="I54" s="31">
        <f>(F54+G54+H54)*0.07</f>
        <v>11.56407</v>
      </c>
      <c r="J54" s="31">
        <f>E54-F54-G54-H54-I54</f>
        <v>79323.23493</v>
      </c>
    </row>
    <row r="55" spans="1:10">
      <c r="A55" s="26"/>
      <c r="B55" s="35">
        <f>J55/J53</f>
        <v>0.014708386874735</v>
      </c>
      <c r="C55" s="10"/>
      <c r="D55" s="11"/>
      <c r="E55" s="12">
        <f>E54-E53</f>
        <v>1500</v>
      </c>
      <c r="F55" s="12"/>
      <c r="G55" s="12"/>
      <c r="H55" s="12"/>
      <c r="I55" s="12"/>
      <c r="J55" s="12">
        <f>J54-J53</f>
        <v>1149.80505000001</v>
      </c>
    </row>
    <row r="56" spans="1:10">
      <c r="A56" s="26">
        <v>45887</v>
      </c>
      <c r="B56" s="9" t="s">
        <v>1</v>
      </c>
      <c r="C56" s="10">
        <v>3000</v>
      </c>
      <c r="D56" s="11">
        <v>28</v>
      </c>
      <c r="E56" s="12">
        <f>C56*D56</f>
        <v>84000</v>
      </c>
      <c r="F56" s="12">
        <f>E56*0.002</f>
        <v>168</v>
      </c>
      <c r="G56" s="12">
        <f>E56*0.000068</f>
        <v>5.712</v>
      </c>
      <c r="H56" s="12">
        <f>E56*0.00001</f>
        <v>0.84</v>
      </c>
      <c r="I56" s="12">
        <f>(F56+G56+H56)*0.07</f>
        <v>12.21864</v>
      </c>
      <c r="J56" s="12">
        <f>E56+F56+I56+G56+H56</f>
        <v>84186.77064</v>
      </c>
    </row>
    <row r="57" spans="1:10">
      <c r="A57" s="42">
        <v>45937</v>
      </c>
      <c r="B57" s="1" t="s">
        <v>3</v>
      </c>
      <c r="C57" s="21">
        <f>C56</f>
        <v>3000</v>
      </c>
      <c r="D57" s="45">
        <v>28.5</v>
      </c>
      <c r="E57" s="37">
        <f>C57*D57</f>
        <v>85500</v>
      </c>
      <c r="F57" s="46">
        <f>E57*0.002</f>
        <v>171</v>
      </c>
      <c r="G57" s="45">
        <f>E57*0.000068</f>
        <v>5.814</v>
      </c>
      <c r="H57" s="45">
        <f>E57*0.00001</f>
        <v>0.855</v>
      </c>
      <c r="I57" s="45">
        <f>(F57+G57+H57)*0.07</f>
        <v>12.43683</v>
      </c>
      <c r="J57" s="45">
        <f>E57-F57-G57-H57-I57</f>
        <v>85309.89417</v>
      </c>
    </row>
    <row r="58" spans="1:10">
      <c r="A58" s="42"/>
      <c r="B58" s="47">
        <f>J58/J56</f>
        <v>0.0133408553560357</v>
      </c>
      <c r="C58" s="21"/>
      <c r="D58" s="37"/>
      <c r="E58" s="23">
        <f>E57-E56</f>
        <v>1500</v>
      </c>
      <c r="F58" s="23"/>
      <c r="G58" s="23"/>
      <c r="H58" s="23"/>
      <c r="I58" s="23"/>
      <c r="J58" s="23">
        <f>J57-J56</f>
        <v>1123.12353</v>
      </c>
    </row>
  </sheetData>
  <sheetProtection selectLockedCells="1" selectUnlockedCells="1"/>
  <pageMargins left="0.7" right="0.7" top="0.75" bottom="0.75" header="0.511805555555556" footer="0.511805555555556"/>
  <pageSetup paperSize="9" firstPageNumber="0" orientation="portrait" useFirstPageNumber="1" horizontalDpi="300" verticalDpi="3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workbookViewId="0">
      <selection activeCell="D16" sqref="D16"/>
    </sheetView>
  </sheetViews>
  <sheetFormatPr defaultColWidth="8.88888888888889" defaultRowHeight="13.8"/>
  <cols>
    <col min="1" max="1" width="10.6666666666667" style="4" customWidth="1"/>
    <col min="2" max="3" width="7.44444444444444" style="5" customWidth="1"/>
    <col min="4" max="4" width="7.66666666666667" style="53" customWidth="1"/>
    <col min="5" max="5" width="11.1111111111111" style="5" customWidth="1"/>
    <col min="6" max="6" width="9" style="5"/>
    <col min="7" max="7" width="6.66666666666667" style="5" customWidth="1"/>
    <col min="8" max="8" width="5.77777777777778" style="5" customWidth="1"/>
    <col min="9" max="9" width="7.22222222222222" style="5" customWidth="1"/>
    <col min="10" max="10" width="11.1111111111111" style="5" customWidth="1"/>
    <col min="11" max="11" width="18" style="5" customWidth="1"/>
    <col min="12" max="12" width="8.88888888888889" style="5"/>
    <col min="13" max="13" width="8.88888888888889" style="7"/>
    <col min="14" max="16384" width="8.88888888888889" style="5"/>
  </cols>
  <sheetData>
    <row r="1" spans="2:2">
      <c r="B1" s="5" t="s">
        <v>37</v>
      </c>
    </row>
    <row r="2" s="1" customFormat="1" spans="1:13">
      <c r="A2" s="8">
        <v>44649</v>
      </c>
      <c r="B2" s="9" t="s">
        <v>1</v>
      </c>
      <c r="C2" s="10">
        <v>30000</v>
      </c>
      <c r="D2" s="28">
        <v>4.8</v>
      </c>
      <c r="E2" s="12">
        <f>C2*D2</f>
        <v>144000</v>
      </c>
      <c r="F2" s="12">
        <f>E2*0.002</f>
        <v>288</v>
      </c>
      <c r="G2" s="12">
        <f>E2*0.00006</f>
        <v>8.64</v>
      </c>
      <c r="H2" s="12">
        <f>E2*0.00001</f>
        <v>1.44</v>
      </c>
      <c r="I2" s="12">
        <f>(F2+G2+H2)*0.07</f>
        <v>20.8656</v>
      </c>
      <c r="J2" s="12">
        <f>E2+F2+I2+G2+H2</f>
        <v>144318.9456</v>
      </c>
      <c r="K2" s="30"/>
      <c r="L2" s="11"/>
      <c r="M2" s="35"/>
    </row>
    <row r="3" s="1" customFormat="1" spans="1:13">
      <c r="A3" s="8">
        <v>44656</v>
      </c>
      <c r="B3" s="9" t="s">
        <v>1</v>
      </c>
      <c r="C3" s="10">
        <v>15000</v>
      </c>
      <c r="D3" s="28">
        <v>4.8</v>
      </c>
      <c r="E3" s="12">
        <f>C3*D3</f>
        <v>72000</v>
      </c>
      <c r="F3" s="12">
        <f>E3*0.002</f>
        <v>144</v>
      </c>
      <c r="G3" s="12">
        <f>E3*0.00006</f>
        <v>4.32</v>
      </c>
      <c r="H3" s="12">
        <f>E3*0.00001</f>
        <v>0.72</v>
      </c>
      <c r="I3" s="12">
        <f>(F3+G3+H3)*0.07</f>
        <v>10.4328</v>
      </c>
      <c r="J3" s="12">
        <f>E3+F3+I3+G3+H3</f>
        <v>72159.4728</v>
      </c>
      <c r="K3" s="48"/>
      <c r="L3" s="37"/>
      <c r="M3" s="47"/>
    </row>
    <row r="4" spans="1:13">
      <c r="A4" s="54"/>
      <c r="B4" s="16">
        <f>(D3-D2)/D2</f>
        <v>0</v>
      </c>
      <c r="C4" s="17">
        <f>SUM(C2:C3)</f>
        <v>45000</v>
      </c>
      <c r="D4" s="52">
        <f>E4/C4</f>
        <v>4.8</v>
      </c>
      <c r="E4" s="17">
        <f t="shared" ref="E4:J4" si="0">SUM(E2:E3)</f>
        <v>216000</v>
      </c>
      <c r="F4" s="17">
        <f t="shared" si="0"/>
        <v>432</v>
      </c>
      <c r="G4" s="17">
        <f t="shared" si="0"/>
        <v>12.96</v>
      </c>
      <c r="H4" s="17">
        <f t="shared" si="0"/>
        <v>2.16</v>
      </c>
      <c r="I4" s="17">
        <f t="shared" si="0"/>
        <v>31.2984</v>
      </c>
      <c r="J4" s="17">
        <f t="shared" si="0"/>
        <v>216478.4184</v>
      </c>
      <c r="L4" s="7"/>
      <c r="M4" s="5"/>
    </row>
    <row r="5" spans="1:10">
      <c r="A5" s="8">
        <v>44676</v>
      </c>
      <c r="B5" s="9" t="s">
        <v>1</v>
      </c>
      <c r="C5" s="10">
        <v>15000</v>
      </c>
      <c r="D5" s="28">
        <v>4.4</v>
      </c>
      <c r="E5" s="12">
        <f>C5*D5</f>
        <v>66000</v>
      </c>
      <c r="F5" s="12">
        <f>E5*0.002</f>
        <v>132</v>
      </c>
      <c r="G5" s="12">
        <f>E5*0.00006</f>
        <v>3.96</v>
      </c>
      <c r="H5" s="12">
        <f>E5*0.00001</f>
        <v>0.66</v>
      </c>
      <c r="I5" s="12">
        <f>(F5+G5+H5)*0.07</f>
        <v>9.5634</v>
      </c>
      <c r="J5" s="12">
        <f>E5+F5+I5+G5+H5</f>
        <v>66146.1834</v>
      </c>
    </row>
    <row r="6" spans="1:10">
      <c r="A6" s="54"/>
      <c r="B6" s="16">
        <f>(D5-D4)/D4</f>
        <v>-0.0833333333333332</v>
      </c>
      <c r="C6" s="17">
        <f>SUM(C4:C5)</f>
        <v>60000</v>
      </c>
      <c r="D6" s="52">
        <f>E6/C6</f>
        <v>4.7</v>
      </c>
      <c r="E6" s="17">
        <f t="shared" ref="E6:J6" si="1">SUM(E4:E5)</f>
        <v>282000</v>
      </c>
      <c r="F6" s="17">
        <f t="shared" si="1"/>
        <v>564</v>
      </c>
      <c r="G6" s="17">
        <f t="shared" si="1"/>
        <v>16.92</v>
      </c>
      <c r="H6" s="17">
        <f t="shared" si="1"/>
        <v>2.82</v>
      </c>
      <c r="I6" s="17">
        <f t="shared" si="1"/>
        <v>40.8618</v>
      </c>
      <c r="J6" s="17">
        <f t="shared" si="1"/>
        <v>282624.6018</v>
      </c>
    </row>
    <row r="7" spans="1:10">
      <c r="A7" s="8">
        <v>44684</v>
      </c>
      <c r="B7" s="9" t="s">
        <v>1</v>
      </c>
      <c r="C7" s="10">
        <v>15000</v>
      </c>
      <c r="D7" s="28">
        <v>4.4</v>
      </c>
      <c r="E7" s="12">
        <f>C7*D7</f>
        <v>66000</v>
      </c>
      <c r="F7" s="12">
        <f>E7*0.002</f>
        <v>132</v>
      </c>
      <c r="G7" s="12">
        <f>E7*0.00006</f>
        <v>3.96</v>
      </c>
      <c r="H7" s="12">
        <f>E7*0.00001</f>
        <v>0.66</v>
      </c>
      <c r="I7" s="12">
        <f>(F7+G7+H7)*0.07</f>
        <v>9.5634</v>
      </c>
      <c r="J7" s="12">
        <f>E7+F7+I7+G7+H7</f>
        <v>66146.1834</v>
      </c>
    </row>
    <row r="8" spans="1:10">
      <c r="A8" s="54"/>
      <c r="B8" s="16">
        <f>(D7-D6)/D6</f>
        <v>-0.0638297872340425</v>
      </c>
      <c r="C8" s="17">
        <f>SUM(C6:C7)</f>
        <v>75000</v>
      </c>
      <c r="D8" s="52">
        <f>E8/C8</f>
        <v>4.64</v>
      </c>
      <c r="E8" s="17">
        <f t="shared" ref="E8:J8" si="2">SUM(E6:E7)</f>
        <v>348000</v>
      </c>
      <c r="F8" s="17">
        <f t="shared" si="2"/>
        <v>696</v>
      </c>
      <c r="G8" s="17">
        <f t="shared" si="2"/>
        <v>20.88</v>
      </c>
      <c r="H8" s="17">
        <f t="shared" si="2"/>
        <v>3.48</v>
      </c>
      <c r="I8" s="17">
        <f t="shared" si="2"/>
        <v>50.4252</v>
      </c>
      <c r="J8" s="17">
        <f t="shared" si="2"/>
        <v>348770.7852</v>
      </c>
    </row>
    <row r="9" spans="1:10">
      <c r="A9" s="8">
        <v>44690</v>
      </c>
      <c r="B9" s="9" t="s">
        <v>1</v>
      </c>
      <c r="C9" s="10">
        <v>15000</v>
      </c>
      <c r="D9" s="28">
        <v>4.28</v>
      </c>
      <c r="E9" s="12">
        <f>C9*D9</f>
        <v>64200</v>
      </c>
      <c r="F9" s="12">
        <f>E9*0.002</f>
        <v>128.4</v>
      </c>
      <c r="G9" s="12">
        <f>E9*0.00006</f>
        <v>3.852</v>
      </c>
      <c r="H9" s="12">
        <f>E9*0.00001</f>
        <v>0.642</v>
      </c>
      <c r="I9" s="12">
        <f>(F9+G9+H9)*0.07</f>
        <v>9.30258</v>
      </c>
      <c r="J9" s="12">
        <f>E9+F9+I9+G9+H9</f>
        <v>64342.19658</v>
      </c>
    </row>
    <row r="10" spans="1:10">
      <c r="A10" s="54"/>
      <c r="B10" s="16">
        <f>(D9-D8)/D8</f>
        <v>-0.0775862068965516</v>
      </c>
      <c r="C10" s="17">
        <f>SUM(C8:C9)</f>
        <v>90000</v>
      </c>
      <c r="D10" s="52">
        <f>E10/C10</f>
        <v>4.58</v>
      </c>
      <c r="E10" s="17">
        <f t="shared" ref="E10:J10" si="3">SUM(E8:E9)</f>
        <v>412200</v>
      </c>
      <c r="F10" s="17">
        <f t="shared" si="3"/>
        <v>824.4</v>
      </c>
      <c r="G10" s="17">
        <f t="shared" si="3"/>
        <v>24.732</v>
      </c>
      <c r="H10" s="17">
        <f t="shared" si="3"/>
        <v>4.122</v>
      </c>
      <c r="I10" s="17">
        <f t="shared" si="3"/>
        <v>59.72778</v>
      </c>
      <c r="J10" s="17">
        <f t="shared" si="3"/>
        <v>413112.98178</v>
      </c>
    </row>
    <row r="11" spans="1:10">
      <c r="A11" s="8">
        <v>44693</v>
      </c>
      <c r="B11" s="9" t="s">
        <v>1</v>
      </c>
      <c r="C11" s="10">
        <v>15000</v>
      </c>
      <c r="D11" s="28">
        <v>3.88</v>
      </c>
      <c r="E11" s="12">
        <f>C11*D11</f>
        <v>58200</v>
      </c>
      <c r="F11" s="12">
        <f>E11*0.002</f>
        <v>116.4</v>
      </c>
      <c r="G11" s="12">
        <f>E11*0.00006</f>
        <v>3.492</v>
      </c>
      <c r="H11" s="12">
        <f>E11*0.00001</f>
        <v>0.582</v>
      </c>
      <c r="I11" s="12">
        <f>(F11+G11+H11)*0.07</f>
        <v>8.43318</v>
      </c>
      <c r="J11" s="12">
        <f>E11+F11+I11+G11+H11</f>
        <v>58328.90718</v>
      </c>
    </row>
    <row r="12" spans="1:10">
      <c r="A12" s="54"/>
      <c r="B12" s="16">
        <f>(D11-D10)/D10</f>
        <v>-0.152838427947598</v>
      </c>
      <c r="C12" s="17">
        <f>SUM(C10:C11)</f>
        <v>105000</v>
      </c>
      <c r="D12" s="52">
        <f>E12/C12</f>
        <v>4.48</v>
      </c>
      <c r="E12" s="17">
        <f t="shared" ref="E12:J12" si="4">SUM(E10:E11)</f>
        <v>470400</v>
      </c>
      <c r="F12" s="17">
        <f t="shared" si="4"/>
        <v>940.8</v>
      </c>
      <c r="G12" s="17">
        <f t="shared" si="4"/>
        <v>28.224</v>
      </c>
      <c r="H12" s="17">
        <f t="shared" si="4"/>
        <v>4.704</v>
      </c>
      <c r="I12" s="17">
        <f t="shared" si="4"/>
        <v>68.16096</v>
      </c>
      <c r="J12" s="17">
        <f t="shared" si="4"/>
        <v>471441.88896</v>
      </c>
    </row>
    <row r="13" spans="1:10">
      <c r="A13" s="41">
        <v>44693</v>
      </c>
      <c r="B13" s="1" t="s">
        <v>1</v>
      </c>
      <c r="C13" s="21">
        <v>15000</v>
      </c>
      <c r="D13" s="44">
        <v>1.44</v>
      </c>
      <c r="E13" s="23">
        <f>C13*D13</f>
        <v>21600</v>
      </c>
      <c r="F13" s="23">
        <f>E13*0.002</f>
        <v>43.2</v>
      </c>
      <c r="G13" s="23">
        <f>E13*0.00006</f>
        <v>1.296</v>
      </c>
      <c r="H13" s="23">
        <f>E13*0.00001</f>
        <v>0.216</v>
      </c>
      <c r="I13" s="23">
        <f>(F13+G13+H13)*0.07</f>
        <v>3.12984</v>
      </c>
      <c r="J13" s="23">
        <f>E13+F13+I13+G13+H13</f>
        <v>21647.84184</v>
      </c>
    </row>
    <row r="14" spans="2:10">
      <c r="B14" s="7">
        <f>(D13-D12)/D12</f>
        <v>-0.678571428571429</v>
      </c>
      <c r="C14" s="6">
        <f>SUM(C12:C13)</f>
        <v>120000</v>
      </c>
      <c r="D14" s="53">
        <f>E14/C14</f>
        <v>4.1</v>
      </c>
      <c r="E14" s="6">
        <f t="shared" ref="E14:J14" si="5">SUM(E12:E13)</f>
        <v>492000</v>
      </c>
      <c r="F14" s="6">
        <f t="shared" si="5"/>
        <v>984</v>
      </c>
      <c r="G14" s="6">
        <f t="shared" si="5"/>
        <v>29.52</v>
      </c>
      <c r="H14" s="6">
        <f t="shared" si="5"/>
        <v>4.92</v>
      </c>
      <c r="I14" s="6">
        <f t="shared" si="5"/>
        <v>71.2908</v>
      </c>
      <c r="J14" s="6">
        <f t="shared" si="5"/>
        <v>493089.7308</v>
      </c>
    </row>
    <row r="15" spans="1:10">
      <c r="A15" s="41">
        <v>44693</v>
      </c>
      <c r="B15" s="1" t="s">
        <v>1</v>
      </c>
      <c r="C15" s="21">
        <v>10000</v>
      </c>
      <c r="D15" s="44">
        <v>1.4</v>
      </c>
      <c r="E15" s="23">
        <f>C15*D15</f>
        <v>14000</v>
      </c>
      <c r="F15" s="23">
        <f>E15*0.002</f>
        <v>28</v>
      </c>
      <c r="G15" s="23">
        <f>E15*0.00006</f>
        <v>0.84</v>
      </c>
      <c r="H15" s="23">
        <f>E15*0.00001</f>
        <v>0.14</v>
      </c>
      <c r="I15" s="23">
        <f>(F15+G15+H15)*0.07</f>
        <v>2.0286</v>
      </c>
      <c r="J15" s="23">
        <f>E15+F15+I15+G15+H15</f>
        <v>14031.0086</v>
      </c>
    </row>
    <row r="16" spans="2:10">
      <c r="B16" s="7">
        <f>(D15-D14)/D14</f>
        <v>-0.658536585365854</v>
      </c>
      <c r="C16" s="6">
        <f>SUM(C14:C15)</f>
        <v>130000</v>
      </c>
      <c r="D16" s="53">
        <f>E16/C16</f>
        <v>3.89230769230769</v>
      </c>
      <c r="E16" s="6">
        <f t="shared" ref="E16:J16" si="6">SUM(E14:E15)</f>
        <v>506000</v>
      </c>
      <c r="F16" s="6">
        <f t="shared" si="6"/>
        <v>1012</v>
      </c>
      <c r="G16" s="6">
        <f t="shared" si="6"/>
        <v>30.36</v>
      </c>
      <c r="H16" s="6">
        <f t="shared" si="6"/>
        <v>5.06</v>
      </c>
      <c r="I16" s="6">
        <f t="shared" si="6"/>
        <v>73.3194</v>
      </c>
      <c r="J16" s="6">
        <f t="shared" si="6"/>
        <v>507120.7394</v>
      </c>
    </row>
  </sheetData>
  <sheetProtection selectLockedCells="1" selectUnlockedCells="1"/>
  <pageMargins left="0.7" right="0.7" top="0.75" bottom="0.75" header="0.511805555555556" footer="0.511805555555556"/>
  <pageSetup paperSize="9" firstPageNumber="0" orientation="portrait" useFirstPageNumber="1" horizontalDpi="300" verticalDpi="3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workbookViewId="0">
      <selection activeCell="D8" sqref="D8"/>
    </sheetView>
  </sheetViews>
  <sheetFormatPr defaultColWidth="8.88888888888889" defaultRowHeight="13.8"/>
  <cols>
    <col min="1" max="1" width="10.6666666666667" style="4" customWidth="1"/>
    <col min="2" max="2" width="7.44444444444444" style="5" customWidth="1"/>
    <col min="3" max="3" width="7.66666666666667" style="6" customWidth="1"/>
    <col min="4" max="4" width="7.66666666666667" style="5" customWidth="1"/>
    <col min="5" max="5" width="11.1111111111111" style="5" customWidth="1"/>
    <col min="6" max="6" width="9" style="5"/>
    <col min="7" max="7" width="6.66666666666667" style="5" customWidth="1"/>
    <col min="8" max="8" width="5.77777777777778" style="5" customWidth="1"/>
    <col min="9" max="9" width="7.22222222222222" style="5" customWidth="1"/>
    <col min="10" max="10" width="11.1111111111111" style="5" customWidth="1"/>
    <col min="11" max="11" width="12.7777777777778" style="5" customWidth="1"/>
    <col min="12" max="12" width="8.88888888888889" style="5"/>
    <col min="13" max="13" width="8.88888888888889" style="7"/>
    <col min="14" max="16384" width="8.88888888888889" style="5"/>
  </cols>
  <sheetData>
    <row r="1" spans="2:2">
      <c r="B1" s="5" t="s">
        <v>38</v>
      </c>
    </row>
    <row r="2" s="1" customFormat="1" spans="1:13">
      <c r="A2" s="8">
        <v>44945</v>
      </c>
      <c r="B2" s="9" t="s">
        <v>1</v>
      </c>
      <c r="C2" s="10">
        <v>3600</v>
      </c>
      <c r="D2" s="11">
        <v>28</v>
      </c>
      <c r="E2" s="12">
        <f>C2*D2</f>
        <v>100800</v>
      </c>
      <c r="F2" s="12">
        <f>E2*0.002</f>
        <v>201.6</v>
      </c>
      <c r="G2" s="12">
        <f>E2*0.00006</f>
        <v>6.048</v>
      </c>
      <c r="H2" s="12">
        <f>E2*0.00001</f>
        <v>1.008</v>
      </c>
      <c r="I2" s="12">
        <f>(F2+G2+H2)*0.07</f>
        <v>14.60592</v>
      </c>
      <c r="J2" s="12">
        <f>E2+F2+I2+G2+H2</f>
        <v>101023.26192</v>
      </c>
      <c r="K2" s="30"/>
      <c r="L2" s="11"/>
      <c r="M2" s="35"/>
    </row>
    <row r="3" spans="1:13">
      <c r="A3" s="26">
        <v>44972</v>
      </c>
      <c r="B3" s="9" t="s">
        <v>1</v>
      </c>
      <c r="C3" s="10">
        <v>1200</v>
      </c>
      <c r="D3" s="14">
        <v>21</v>
      </c>
      <c r="E3" s="12">
        <f>C3*D3</f>
        <v>25200</v>
      </c>
      <c r="F3" s="12">
        <f>E3*0.002</f>
        <v>50.4</v>
      </c>
      <c r="G3" s="12">
        <f>E3*0.00006</f>
        <v>1.512</v>
      </c>
      <c r="H3" s="12">
        <f>E3*0.00001</f>
        <v>0.252</v>
      </c>
      <c r="I3" s="12">
        <f>(F3+G3+H3)*0.07</f>
        <v>3.65148</v>
      </c>
      <c r="J3" s="12">
        <f>E3+F3+I3+G3+H3</f>
        <v>25255.81548</v>
      </c>
      <c r="M3" s="5"/>
    </row>
    <row r="4" spans="1:13">
      <c r="A4" s="26"/>
      <c r="B4" s="35">
        <f>(D3-D2)/D2</f>
        <v>-0.25</v>
      </c>
      <c r="C4" s="10">
        <f>SUM(C2:C3)</f>
        <v>4800</v>
      </c>
      <c r="D4" s="11">
        <f>E4/C4</f>
        <v>26.25</v>
      </c>
      <c r="E4" s="10">
        <f t="shared" ref="E4:J4" si="0">SUM(E2:E3)</f>
        <v>126000</v>
      </c>
      <c r="F4" s="10">
        <f t="shared" si="0"/>
        <v>252</v>
      </c>
      <c r="G4" s="10">
        <f t="shared" si="0"/>
        <v>7.56</v>
      </c>
      <c r="H4" s="10">
        <f t="shared" si="0"/>
        <v>1.26</v>
      </c>
      <c r="I4" s="10">
        <f t="shared" si="0"/>
        <v>18.2574</v>
      </c>
      <c r="J4" s="10">
        <f t="shared" si="0"/>
        <v>126279.0774</v>
      </c>
      <c r="M4" s="5"/>
    </row>
    <row r="5" spans="1:13">
      <c r="A5" s="26">
        <v>44676</v>
      </c>
      <c r="B5" s="9" t="s">
        <v>1</v>
      </c>
      <c r="C5" s="10">
        <v>1200</v>
      </c>
      <c r="D5" s="14">
        <v>19</v>
      </c>
      <c r="E5" s="12">
        <f>C5*D5</f>
        <v>22800</v>
      </c>
      <c r="F5" s="12">
        <f>E5*0.002</f>
        <v>45.6</v>
      </c>
      <c r="G5" s="12">
        <f>E5*0.00006</f>
        <v>1.368</v>
      </c>
      <c r="H5" s="12">
        <f>E5*0.00001</f>
        <v>0.228</v>
      </c>
      <c r="I5" s="12">
        <f>(F5+G5+H5)*0.07</f>
        <v>3.30372</v>
      </c>
      <c r="J5" s="12">
        <f>E5+F5+I5+G5+H5</f>
        <v>22850.49972</v>
      </c>
      <c r="M5" s="5"/>
    </row>
    <row r="6" spans="1:13">
      <c r="A6" s="26"/>
      <c r="B6" s="35">
        <f>(D5-D4)/D4</f>
        <v>-0.276190476190476</v>
      </c>
      <c r="C6" s="10">
        <f>SUM(C4:C5)</f>
        <v>6000</v>
      </c>
      <c r="D6" s="11">
        <f>E6/C6</f>
        <v>24.8</v>
      </c>
      <c r="E6" s="10">
        <f t="shared" ref="E6:J6" si="1">SUM(E4:E5)</f>
        <v>148800</v>
      </c>
      <c r="F6" s="10">
        <f t="shared" si="1"/>
        <v>297.6</v>
      </c>
      <c r="G6" s="10">
        <f t="shared" si="1"/>
        <v>8.928</v>
      </c>
      <c r="H6" s="10">
        <f t="shared" si="1"/>
        <v>1.488</v>
      </c>
      <c r="I6" s="10">
        <f t="shared" si="1"/>
        <v>21.56112</v>
      </c>
      <c r="J6" s="10">
        <f t="shared" si="1"/>
        <v>149129.57712</v>
      </c>
      <c r="M6" s="5"/>
    </row>
    <row r="7" spans="1:13">
      <c r="A7" s="42">
        <v>44676</v>
      </c>
      <c r="B7" s="1" t="s">
        <v>1</v>
      </c>
      <c r="C7" s="21">
        <v>3000</v>
      </c>
      <c r="D7" s="22">
        <v>8</v>
      </c>
      <c r="E7" s="23">
        <f>C7*D7</f>
        <v>24000</v>
      </c>
      <c r="F7" s="23">
        <f>E7*0.002</f>
        <v>48</v>
      </c>
      <c r="G7" s="23">
        <f>E7*0.00006</f>
        <v>1.44</v>
      </c>
      <c r="H7" s="23">
        <f>E7*0.00001</f>
        <v>0.24</v>
      </c>
      <c r="I7" s="23">
        <f>(F7+G7+H7)*0.07</f>
        <v>3.4776</v>
      </c>
      <c r="J7" s="23">
        <f>E7+F7+I7+G7+H7</f>
        <v>24053.1576</v>
      </c>
      <c r="M7" s="5"/>
    </row>
    <row r="8" spans="1:13">
      <c r="A8" s="42"/>
      <c r="B8" s="47">
        <f>(D7-D6)/D6</f>
        <v>-0.67741935483871</v>
      </c>
      <c r="C8" s="21">
        <f>SUM(C6:C7)</f>
        <v>9000</v>
      </c>
      <c r="D8" s="44">
        <f>E8/C8</f>
        <v>19.2</v>
      </c>
      <c r="E8" s="21">
        <f t="shared" ref="E8:J8" si="2">SUM(E6:E7)</f>
        <v>172800</v>
      </c>
      <c r="F8" s="21">
        <f t="shared" si="2"/>
        <v>345.6</v>
      </c>
      <c r="G8" s="21">
        <f t="shared" si="2"/>
        <v>10.368</v>
      </c>
      <c r="H8" s="21">
        <f t="shared" si="2"/>
        <v>1.728</v>
      </c>
      <c r="I8" s="21">
        <f t="shared" si="2"/>
        <v>25.03872</v>
      </c>
      <c r="J8" s="21">
        <f t="shared" si="2"/>
        <v>173182.73472</v>
      </c>
      <c r="M8" s="5"/>
    </row>
    <row r="10" spans="1:10">
      <c r="A10" s="42">
        <v>45887</v>
      </c>
      <c r="B10" s="1" t="s">
        <v>1</v>
      </c>
      <c r="C10" s="21">
        <v>3000</v>
      </c>
      <c r="D10" s="37">
        <v>11.8</v>
      </c>
      <c r="E10" s="23">
        <f>C10*D10</f>
        <v>35400</v>
      </c>
      <c r="F10" s="23">
        <f>E10*0.002</f>
        <v>70.8</v>
      </c>
      <c r="G10" s="23">
        <f>E10*0.000068</f>
        <v>2.4072</v>
      </c>
      <c r="H10" s="23">
        <f>E10*0.00001</f>
        <v>0.354</v>
      </c>
      <c r="I10" s="23">
        <f>(F10+G10+H10)*0.07</f>
        <v>5.149284</v>
      </c>
      <c r="J10" s="23">
        <f>E10+F10+I10+G10+H10</f>
        <v>35478.710484</v>
      </c>
    </row>
    <row r="11" spans="1:12">
      <c r="A11" s="42">
        <v>45877</v>
      </c>
      <c r="B11" s="1" t="s">
        <v>3</v>
      </c>
      <c r="C11" s="21">
        <f>C10</f>
        <v>3000</v>
      </c>
      <c r="D11" s="45">
        <v>13.1</v>
      </c>
      <c r="E11" s="37">
        <f>C11*D11</f>
        <v>39300</v>
      </c>
      <c r="F11" s="46">
        <f>E11*0.002</f>
        <v>78.6</v>
      </c>
      <c r="G11" s="45">
        <f>E11*0.000068</f>
        <v>2.6724</v>
      </c>
      <c r="H11" s="45">
        <f>E11*0.00001</f>
        <v>0.393</v>
      </c>
      <c r="I11" s="45">
        <f>(F11+G11+H11)*0.07</f>
        <v>5.716578</v>
      </c>
      <c r="J11" s="45">
        <f>E11-F11-G11-H11-I11</f>
        <v>39212.618022</v>
      </c>
      <c r="K11" s="5">
        <v>13.1</v>
      </c>
      <c r="L11" s="5">
        <f>K11*0.9</f>
        <v>11.79</v>
      </c>
    </row>
    <row r="12" spans="1:10">
      <c r="A12" s="42"/>
      <c r="B12" s="47">
        <f>J12/J10</f>
        <v>0.105243609112679</v>
      </c>
      <c r="C12" s="21"/>
      <c r="D12" s="37"/>
      <c r="E12" s="23">
        <f>E11-E10</f>
        <v>3900</v>
      </c>
      <c r="F12" s="23"/>
      <c r="G12" s="23"/>
      <c r="H12" s="23"/>
      <c r="I12" s="23"/>
      <c r="J12" s="23">
        <f>J11-J10</f>
        <v>3733.907538</v>
      </c>
    </row>
  </sheetData>
  <sheetProtection selectLockedCells="1" selectUnlockedCells="1"/>
  <pageMargins left="0.7" right="0.7" top="0.75" bottom="0.75" header="0.511805555555556" footer="0.511805555555556"/>
  <pageSetup paperSize="9" firstPageNumber="0" orientation="portrait" useFirstPageNumber="1" horizontalDpi="300" verticalDpi="30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2"/>
  <sheetViews>
    <sheetView topLeftCell="A15" workbookViewId="0">
      <selection activeCell="K22" sqref="K22"/>
    </sheetView>
  </sheetViews>
  <sheetFormatPr defaultColWidth="8.88888888888889" defaultRowHeight="13.8"/>
  <cols>
    <col min="1" max="1" width="10.6666666666667" style="4" customWidth="1"/>
    <col min="2" max="2" width="8.22222222222222" style="5" customWidth="1"/>
    <col min="3" max="3" width="6.66666666666667" style="5" customWidth="1"/>
    <col min="4" max="4" width="7.66666666666667" style="5" customWidth="1"/>
    <col min="5" max="5" width="11.1111111111111" style="5" customWidth="1"/>
    <col min="6" max="6" width="9" style="5"/>
    <col min="7" max="7" width="6.66666666666667" style="5" customWidth="1"/>
    <col min="8" max="8" width="5.77777777777778" style="5" customWidth="1"/>
    <col min="9" max="9" width="7.22222222222222" style="5" customWidth="1"/>
    <col min="10" max="10" width="11.1111111111111" style="5" customWidth="1"/>
    <col min="11" max="11" width="5.66666666666667" style="5" customWidth="1"/>
    <col min="12" max="12" width="8.88888888888889" style="5"/>
    <col min="13" max="13" width="8.88888888888889" style="7"/>
    <col min="14" max="16384" width="8.88888888888889" style="5"/>
  </cols>
  <sheetData>
    <row r="1" spans="2:2">
      <c r="B1" s="5" t="s">
        <v>39</v>
      </c>
    </row>
    <row r="2" spans="1:13">
      <c r="A2" s="26">
        <v>44356</v>
      </c>
      <c r="B2" s="9" t="s">
        <v>1</v>
      </c>
      <c r="C2" s="10">
        <v>4000</v>
      </c>
      <c r="D2" s="14">
        <v>25</v>
      </c>
      <c r="E2" s="12">
        <f>C2*D2</f>
        <v>100000</v>
      </c>
      <c r="F2" s="12">
        <f>E2*0.002</f>
        <v>200</v>
      </c>
      <c r="G2" s="12">
        <f>E2*0.00006</f>
        <v>6</v>
      </c>
      <c r="H2" s="12">
        <f>E2*0.00001</f>
        <v>1</v>
      </c>
      <c r="I2" s="12">
        <f>(F2+G2+H2)*0.07</f>
        <v>14.49</v>
      </c>
      <c r="J2" s="12">
        <f>E2+F2+I2+G2+H2</f>
        <v>100221.49</v>
      </c>
      <c r="M2" s="5"/>
    </row>
    <row r="3" spans="1:13">
      <c r="A3" s="13">
        <v>44283</v>
      </c>
      <c r="B3" s="9" t="s">
        <v>1</v>
      </c>
      <c r="C3" s="10">
        <v>2000</v>
      </c>
      <c r="D3" s="11">
        <v>23.5</v>
      </c>
      <c r="E3" s="12">
        <f>C3*D3</f>
        <v>47000</v>
      </c>
      <c r="F3" s="12">
        <f>E3*0.002</f>
        <v>94</v>
      </c>
      <c r="G3" s="12">
        <f>E3*0.000068</f>
        <v>3.196</v>
      </c>
      <c r="H3" s="12">
        <f>E3*0.00001</f>
        <v>0.47</v>
      </c>
      <c r="I3" s="12">
        <f>(F3+G3+H3)*0.07</f>
        <v>6.83662</v>
      </c>
      <c r="J3" s="12">
        <f>E3+F3+I3+G3+H3</f>
        <v>47104.50262</v>
      </c>
      <c r="M3" s="5"/>
    </row>
    <row r="4" spans="1:13">
      <c r="A4" s="15"/>
      <c r="B4" s="16">
        <f>(D3-D2)/D2</f>
        <v>-0.06</v>
      </c>
      <c r="C4" s="17">
        <f>SUM(C2:C3)</f>
        <v>6000</v>
      </c>
      <c r="D4" s="52">
        <f>E4/C4</f>
        <v>24.5</v>
      </c>
      <c r="E4" s="17">
        <f t="shared" ref="E4:J4" si="0">SUM(E2:E3)</f>
        <v>147000</v>
      </c>
      <c r="F4" s="17">
        <f t="shared" si="0"/>
        <v>294</v>
      </c>
      <c r="G4" s="17">
        <f t="shared" si="0"/>
        <v>9.196</v>
      </c>
      <c r="H4" s="17">
        <f t="shared" si="0"/>
        <v>1.47</v>
      </c>
      <c r="I4" s="17">
        <f t="shared" si="0"/>
        <v>21.32662</v>
      </c>
      <c r="J4" s="17">
        <f t="shared" si="0"/>
        <v>147325.99262</v>
      </c>
      <c r="K4" s="50"/>
      <c r="L4" s="7"/>
      <c r="M4" s="5"/>
    </row>
    <row r="5" spans="1:13">
      <c r="A5" s="13">
        <v>44523</v>
      </c>
      <c r="B5" s="9" t="s">
        <v>8</v>
      </c>
      <c r="C5" s="10">
        <v>3000</v>
      </c>
      <c r="D5" s="11">
        <v>24.5</v>
      </c>
      <c r="E5" s="12">
        <f t="shared" ref="E5:E10" si="1">C5*D5</f>
        <v>73500</v>
      </c>
      <c r="F5" s="12">
        <f t="shared" ref="F5:F10" si="2">E5*0.002</f>
        <v>147</v>
      </c>
      <c r="G5" s="12">
        <f t="shared" ref="G5:G10" si="3">E5*0.000068</f>
        <v>4.998</v>
      </c>
      <c r="H5" s="12">
        <f t="shared" ref="H5:H10" si="4">E5*0.00001</f>
        <v>0.735</v>
      </c>
      <c r="I5" s="12">
        <f t="shared" ref="I5:I10" si="5">(F5+G5+H5)*0.07</f>
        <v>10.69131</v>
      </c>
      <c r="J5" s="12">
        <f t="shared" ref="J5:J10" si="6">E5+F5+I5+G5+H5</f>
        <v>73663.42431</v>
      </c>
      <c r="M5" s="5"/>
    </row>
    <row r="6" spans="1:13">
      <c r="A6" s="13">
        <v>44533</v>
      </c>
      <c r="B6" s="9" t="s">
        <v>8</v>
      </c>
      <c r="C6" s="10">
        <v>1500</v>
      </c>
      <c r="D6" s="11">
        <v>24.5</v>
      </c>
      <c r="E6" s="12">
        <f t="shared" si="1"/>
        <v>36750</v>
      </c>
      <c r="F6" s="12">
        <f t="shared" si="2"/>
        <v>73.5</v>
      </c>
      <c r="G6" s="12">
        <f t="shared" si="3"/>
        <v>2.499</v>
      </c>
      <c r="H6" s="12">
        <f t="shared" si="4"/>
        <v>0.3675</v>
      </c>
      <c r="I6" s="12">
        <f t="shared" si="5"/>
        <v>5.345655</v>
      </c>
      <c r="J6" s="12">
        <f t="shared" si="6"/>
        <v>36831.712155</v>
      </c>
      <c r="M6" s="5"/>
    </row>
    <row r="7" spans="1:13">
      <c r="A7" s="13">
        <v>44537</v>
      </c>
      <c r="B7" s="9" t="s">
        <v>8</v>
      </c>
      <c r="C7" s="10">
        <v>0</v>
      </c>
      <c r="D7" s="11">
        <v>24.5</v>
      </c>
      <c r="E7" s="12">
        <f t="shared" si="1"/>
        <v>0</v>
      </c>
      <c r="F7" s="12">
        <f t="shared" si="2"/>
        <v>0</v>
      </c>
      <c r="G7" s="12">
        <f t="shared" si="3"/>
        <v>0</v>
      </c>
      <c r="H7" s="12">
        <f t="shared" si="4"/>
        <v>0</v>
      </c>
      <c r="I7" s="12">
        <f t="shared" si="5"/>
        <v>0</v>
      </c>
      <c r="J7" s="12">
        <f t="shared" si="6"/>
        <v>0</v>
      </c>
      <c r="M7" s="5"/>
    </row>
    <row r="8" spans="1:13">
      <c r="A8" s="13">
        <v>44283</v>
      </c>
      <c r="B8" s="9" t="s">
        <v>1</v>
      </c>
      <c r="C8" s="10">
        <v>6000</v>
      </c>
      <c r="D8" s="11">
        <v>31.5</v>
      </c>
      <c r="E8" s="12">
        <f t="shared" si="1"/>
        <v>189000</v>
      </c>
      <c r="F8" s="12">
        <f t="shared" si="2"/>
        <v>378</v>
      </c>
      <c r="G8" s="12">
        <f t="shared" si="3"/>
        <v>12.852</v>
      </c>
      <c r="H8" s="12">
        <f t="shared" si="4"/>
        <v>1.89</v>
      </c>
      <c r="I8" s="12">
        <f t="shared" si="5"/>
        <v>27.49194</v>
      </c>
      <c r="J8" s="12">
        <f t="shared" si="6"/>
        <v>189420.23394</v>
      </c>
      <c r="M8" s="5"/>
    </row>
    <row r="9" spans="1:13">
      <c r="A9" s="13">
        <v>44574</v>
      </c>
      <c r="B9" s="9" t="s">
        <v>8</v>
      </c>
      <c r="C9" s="10">
        <v>4500</v>
      </c>
      <c r="D9" s="11">
        <v>31.5</v>
      </c>
      <c r="E9" s="12">
        <f t="shared" si="1"/>
        <v>141750</v>
      </c>
      <c r="F9" s="12">
        <f t="shared" si="2"/>
        <v>283.5</v>
      </c>
      <c r="G9" s="12">
        <f t="shared" si="3"/>
        <v>9.639</v>
      </c>
      <c r="H9" s="12">
        <f t="shared" si="4"/>
        <v>1.4175</v>
      </c>
      <c r="I9" s="12">
        <f t="shared" si="5"/>
        <v>20.618955</v>
      </c>
      <c r="J9" s="12">
        <f t="shared" si="6"/>
        <v>142065.175455</v>
      </c>
      <c r="M9" s="5"/>
    </row>
    <row r="10" spans="1:13">
      <c r="A10" s="13">
        <v>44593</v>
      </c>
      <c r="B10" s="9" t="s">
        <v>1</v>
      </c>
      <c r="C10" s="10">
        <v>4500</v>
      </c>
      <c r="D10" s="11">
        <v>29.5</v>
      </c>
      <c r="E10" s="12">
        <f t="shared" si="1"/>
        <v>132750</v>
      </c>
      <c r="F10" s="12">
        <f t="shared" si="2"/>
        <v>265.5</v>
      </c>
      <c r="G10" s="12">
        <f t="shared" si="3"/>
        <v>9.027</v>
      </c>
      <c r="H10" s="12">
        <f t="shared" si="4"/>
        <v>1.3275</v>
      </c>
      <c r="I10" s="12">
        <f t="shared" si="5"/>
        <v>19.309815</v>
      </c>
      <c r="J10" s="12">
        <f t="shared" si="6"/>
        <v>133045.164315</v>
      </c>
      <c r="M10" s="5"/>
    </row>
    <row r="11" spans="1:13">
      <c r="A11" s="15"/>
      <c r="B11" s="16">
        <f>(D10-D9)/D9</f>
        <v>-0.0634920634920635</v>
      </c>
      <c r="C11" s="17">
        <f>SUM(C9:C10)</f>
        <v>9000</v>
      </c>
      <c r="D11" s="52">
        <f>E11/C11</f>
        <v>30.5</v>
      </c>
      <c r="E11" s="17">
        <f t="shared" ref="E11:J11" si="7">SUM(E9:E10)</f>
        <v>274500</v>
      </c>
      <c r="F11" s="17">
        <f t="shared" si="7"/>
        <v>549</v>
      </c>
      <c r="G11" s="17">
        <f t="shared" si="7"/>
        <v>18.666</v>
      </c>
      <c r="H11" s="17">
        <f t="shared" si="7"/>
        <v>2.745</v>
      </c>
      <c r="I11" s="17">
        <f t="shared" si="7"/>
        <v>39.92877</v>
      </c>
      <c r="J11" s="17">
        <f t="shared" si="7"/>
        <v>275110.33977</v>
      </c>
      <c r="K11" s="50"/>
      <c r="L11" s="7"/>
      <c r="M11" s="5"/>
    </row>
    <row r="12" spans="1:13">
      <c r="A12" s="13">
        <v>44603</v>
      </c>
      <c r="B12" s="9" t="s">
        <v>1</v>
      </c>
      <c r="C12" s="10">
        <v>3000</v>
      </c>
      <c r="D12" s="11">
        <v>26.5</v>
      </c>
      <c r="E12" s="12">
        <f>C12*D12</f>
        <v>79500</v>
      </c>
      <c r="F12" s="12">
        <f>E12*0.002</f>
        <v>159</v>
      </c>
      <c r="G12" s="12">
        <f>E12*0.000068</f>
        <v>5.406</v>
      </c>
      <c r="H12" s="12">
        <f>E12*0.00001</f>
        <v>0.795</v>
      </c>
      <c r="I12" s="12">
        <f>(F12+G12+H12)*0.07</f>
        <v>11.56407</v>
      </c>
      <c r="J12" s="12">
        <f>E12+F12+I12+G12+H12</f>
        <v>79676.76507</v>
      </c>
      <c r="M12" s="5"/>
    </row>
    <row r="13" spans="1:13">
      <c r="A13" s="15"/>
      <c r="B13" s="16">
        <f>(D12-D11)/D11</f>
        <v>-0.131147540983607</v>
      </c>
      <c r="C13" s="17">
        <f>SUM(C11:C12)</f>
        <v>12000</v>
      </c>
      <c r="D13" s="52">
        <f>E13/C13</f>
        <v>29.5</v>
      </c>
      <c r="E13" s="17">
        <f t="shared" ref="E13:J13" si="8">SUM(E11:E12)</f>
        <v>354000</v>
      </c>
      <c r="F13" s="17">
        <f t="shared" si="8"/>
        <v>708</v>
      </c>
      <c r="G13" s="17">
        <f t="shared" si="8"/>
        <v>24.072</v>
      </c>
      <c r="H13" s="17">
        <f t="shared" si="8"/>
        <v>3.54</v>
      </c>
      <c r="I13" s="17">
        <f t="shared" si="8"/>
        <v>51.49284</v>
      </c>
      <c r="J13" s="17">
        <f t="shared" si="8"/>
        <v>354787.10484</v>
      </c>
      <c r="K13" s="50"/>
      <c r="L13" s="7"/>
      <c r="M13" s="5"/>
    </row>
    <row r="14" spans="1:13">
      <c r="A14" s="13">
        <v>44607</v>
      </c>
      <c r="B14" s="9" t="s">
        <v>1</v>
      </c>
      <c r="C14" s="10">
        <v>3000</v>
      </c>
      <c r="D14" s="11">
        <v>25.5</v>
      </c>
      <c r="E14" s="12">
        <f>C14*D14</f>
        <v>76500</v>
      </c>
      <c r="F14" s="12">
        <f>E14*0.002</f>
        <v>153</v>
      </c>
      <c r="G14" s="12">
        <f>E14*0.000068</f>
        <v>5.202</v>
      </c>
      <c r="H14" s="12">
        <f>E14*0.00001</f>
        <v>0.765</v>
      </c>
      <c r="I14" s="12">
        <f>(F14+G14+H14)*0.07</f>
        <v>11.12769</v>
      </c>
      <c r="J14" s="12">
        <f>E14+F14+I14+G14+H14</f>
        <v>76670.09469</v>
      </c>
      <c r="M14" s="5"/>
    </row>
    <row r="15" spans="1:13">
      <c r="A15" s="15"/>
      <c r="B15" s="16">
        <f>(D14-D13)/D13</f>
        <v>-0.135593220338983</v>
      </c>
      <c r="C15" s="17">
        <f>SUM(C13:C14)</f>
        <v>15000</v>
      </c>
      <c r="D15" s="52">
        <f>E15/C15</f>
        <v>28.7</v>
      </c>
      <c r="E15" s="17">
        <f t="shared" ref="E15:J15" si="9">SUM(E13:E14)</f>
        <v>430500</v>
      </c>
      <c r="F15" s="17">
        <f t="shared" si="9"/>
        <v>861</v>
      </c>
      <c r="G15" s="17">
        <f t="shared" si="9"/>
        <v>29.274</v>
      </c>
      <c r="H15" s="17">
        <f t="shared" si="9"/>
        <v>4.305</v>
      </c>
      <c r="I15" s="17">
        <f t="shared" si="9"/>
        <v>62.62053</v>
      </c>
      <c r="J15" s="17">
        <f t="shared" si="9"/>
        <v>431457.19953</v>
      </c>
      <c r="K15" s="50"/>
      <c r="L15" s="7"/>
      <c r="M15" s="5"/>
    </row>
    <row r="16" spans="1:13">
      <c r="A16" s="13">
        <v>44908</v>
      </c>
      <c r="B16" s="9" t="s">
        <v>1</v>
      </c>
      <c r="C16" s="10">
        <v>3000</v>
      </c>
      <c r="D16" s="11">
        <v>17</v>
      </c>
      <c r="E16" s="12">
        <f>C16*D16</f>
        <v>51000</v>
      </c>
      <c r="F16" s="12">
        <f>E16*0.002</f>
        <v>102</v>
      </c>
      <c r="G16" s="12">
        <f>E16*0.000068</f>
        <v>3.468</v>
      </c>
      <c r="H16" s="12">
        <f>E16*0.00001</f>
        <v>0.51</v>
      </c>
      <c r="I16" s="12">
        <f>(F16+G16+H16)*0.07</f>
        <v>7.41846</v>
      </c>
      <c r="J16" s="12">
        <f>E16+F16+I16+G16+H16</f>
        <v>51113.39646</v>
      </c>
      <c r="M16" s="5"/>
    </row>
    <row r="17" s="1" customFormat="1" spans="1:10">
      <c r="A17" s="13">
        <v>44925</v>
      </c>
      <c r="B17" s="9" t="s">
        <v>3</v>
      </c>
      <c r="C17" s="10">
        <f>C16</f>
        <v>3000</v>
      </c>
      <c r="D17" s="31">
        <v>16.5</v>
      </c>
      <c r="E17" s="11">
        <f>C17*D17</f>
        <v>49500</v>
      </c>
      <c r="F17" s="32">
        <f>E17*0.002</f>
        <v>99</v>
      </c>
      <c r="G17" s="31">
        <f>E17*0.000068</f>
        <v>3.366</v>
      </c>
      <c r="H17" s="31">
        <f>E17*0.00001</f>
        <v>0.495</v>
      </c>
      <c r="I17" s="31">
        <f>(F17+G17+H17)*0.07</f>
        <v>7.20027</v>
      </c>
      <c r="J17" s="31">
        <f>E17-F17-G17-H17-I17</f>
        <v>49389.93873</v>
      </c>
    </row>
    <row r="18" s="51" customFormat="1" ht="18.6" spans="1:11">
      <c r="A18" s="13" t="s">
        <v>4</v>
      </c>
      <c r="B18" s="16">
        <f>(D17-D16)/D16</f>
        <v>-0.0294117647058824</v>
      </c>
      <c r="C18" s="10"/>
      <c r="D18" s="11"/>
      <c r="E18" s="12">
        <f>E17-E16</f>
        <v>-1500</v>
      </c>
      <c r="F18" s="12"/>
      <c r="G18" s="12"/>
      <c r="H18" s="12"/>
      <c r="I18" s="12"/>
      <c r="J18" s="12">
        <f>J17-J16</f>
        <v>-1723.45773000001</v>
      </c>
      <c r="K18" s="47"/>
    </row>
    <row r="19" spans="1:13">
      <c r="A19" s="13">
        <v>44925</v>
      </c>
      <c r="B19" s="16" t="s">
        <v>8</v>
      </c>
      <c r="C19" s="17">
        <v>15000</v>
      </c>
      <c r="D19" s="52">
        <v>28.7</v>
      </c>
      <c r="E19" s="17">
        <v>430500</v>
      </c>
      <c r="F19" s="17">
        <v>861</v>
      </c>
      <c r="G19" s="17">
        <v>29.274</v>
      </c>
      <c r="H19" s="17">
        <v>4.305</v>
      </c>
      <c r="I19" s="17">
        <v>62.62053</v>
      </c>
      <c r="J19" s="17">
        <v>431457.19953</v>
      </c>
      <c r="K19" s="50"/>
      <c r="L19" s="7"/>
      <c r="M19" s="5"/>
    </row>
    <row r="20" spans="1:13">
      <c r="A20" s="13">
        <v>45875</v>
      </c>
      <c r="B20" s="9" t="s">
        <v>1</v>
      </c>
      <c r="C20" s="10">
        <v>2500</v>
      </c>
      <c r="D20" s="11">
        <v>12.6</v>
      </c>
      <c r="E20" s="12">
        <f>C20*D20</f>
        <v>31500</v>
      </c>
      <c r="F20" s="12">
        <f>E20*0.002</f>
        <v>63</v>
      </c>
      <c r="G20" s="12">
        <f>E20*0.000068</f>
        <v>2.142</v>
      </c>
      <c r="H20" s="12">
        <f>E20*0.00001</f>
        <v>0.315</v>
      </c>
      <c r="I20" s="12">
        <f>(F20+G20+H20)*0.07</f>
        <v>4.58199</v>
      </c>
      <c r="J20" s="12">
        <f>E20+F20+I20+G20+H20</f>
        <v>31570.03899</v>
      </c>
      <c r="M20" s="5"/>
    </row>
    <row r="21" spans="1:13">
      <c r="A21" s="15"/>
      <c r="B21" s="16">
        <f>(D20-D19)/D19</f>
        <v>-0.560975609756098</v>
      </c>
      <c r="C21" s="17">
        <f>SUM(C19:C20)</f>
        <v>17500</v>
      </c>
      <c r="D21" s="52">
        <f>E21/C21</f>
        <v>26.4</v>
      </c>
      <c r="E21" s="17">
        <f t="shared" ref="E21:J21" si="10">SUM(E19:E20)</f>
        <v>462000</v>
      </c>
      <c r="F21" s="17">
        <f t="shared" si="10"/>
        <v>924</v>
      </c>
      <c r="G21" s="17">
        <f t="shared" si="10"/>
        <v>31.416</v>
      </c>
      <c r="H21" s="17">
        <f t="shared" si="10"/>
        <v>4.62</v>
      </c>
      <c r="I21" s="17">
        <f t="shared" si="10"/>
        <v>67.20252</v>
      </c>
      <c r="J21" s="17">
        <f t="shared" si="10"/>
        <v>463027.23852</v>
      </c>
      <c r="K21" s="50"/>
      <c r="L21" s="7"/>
      <c r="M21" s="5"/>
    </row>
    <row r="22" spans="1:13">
      <c r="A22" s="20">
        <v>45875</v>
      </c>
      <c r="B22" s="1" t="s">
        <v>1</v>
      </c>
      <c r="C22" s="21">
        <v>2500</v>
      </c>
      <c r="D22" s="37">
        <v>9.2</v>
      </c>
      <c r="E22" s="23">
        <f>C22*D22</f>
        <v>23000</v>
      </c>
      <c r="F22" s="23">
        <f>E22*0.002</f>
        <v>46</v>
      </c>
      <c r="G22" s="23">
        <f>E22*0.000068</f>
        <v>1.564</v>
      </c>
      <c r="H22" s="23">
        <f>E22*0.00001</f>
        <v>0.23</v>
      </c>
      <c r="I22" s="23">
        <f>(F22+G22+H22)*0.07</f>
        <v>3.34558</v>
      </c>
      <c r="J22" s="23">
        <f>E22+F22+I22+G22+H22</f>
        <v>23051.13958</v>
      </c>
      <c r="M22" s="5"/>
    </row>
    <row r="23" spans="1:13">
      <c r="A23" s="24"/>
      <c r="B23" s="7">
        <f>(D22-D21)/D21</f>
        <v>-0.651515151515151</v>
      </c>
      <c r="C23" s="6">
        <f>SUM(C21:C22)</f>
        <v>20000</v>
      </c>
      <c r="D23" s="53">
        <f>E23/C23</f>
        <v>24.25</v>
      </c>
      <c r="E23" s="6">
        <f t="shared" ref="E23:J23" si="11">SUM(E21:E22)</f>
        <v>485000</v>
      </c>
      <c r="F23" s="6">
        <f t="shared" si="11"/>
        <v>970</v>
      </c>
      <c r="G23" s="6">
        <f t="shared" si="11"/>
        <v>32.98</v>
      </c>
      <c r="H23" s="6">
        <f t="shared" si="11"/>
        <v>4.85</v>
      </c>
      <c r="I23" s="6">
        <f t="shared" si="11"/>
        <v>70.5481</v>
      </c>
      <c r="J23" s="6">
        <f t="shared" si="11"/>
        <v>486078.3781</v>
      </c>
      <c r="K23" s="50"/>
      <c r="L23" s="7"/>
      <c r="M23" s="5"/>
    </row>
    <row r="24" spans="1:13">
      <c r="A24" s="20">
        <v>45875</v>
      </c>
      <c r="B24" s="1" t="s">
        <v>1</v>
      </c>
      <c r="C24" s="21">
        <v>4400</v>
      </c>
      <c r="D24" s="37">
        <v>9</v>
      </c>
      <c r="E24" s="23">
        <f>C24*D24</f>
        <v>39600</v>
      </c>
      <c r="F24" s="23">
        <f>E24*0.002</f>
        <v>79.2</v>
      </c>
      <c r="G24" s="23">
        <f>E24*0.000068</f>
        <v>2.6928</v>
      </c>
      <c r="H24" s="23">
        <f>E24*0.00001</f>
        <v>0.396</v>
      </c>
      <c r="I24" s="23">
        <f>(F24+G24+H24)*0.07</f>
        <v>5.760216</v>
      </c>
      <c r="J24" s="23">
        <f>E24+F24+I24+G24+H24</f>
        <v>39688.049016</v>
      </c>
      <c r="M24" s="5"/>
    </row>
    <row r="25" spans="1:13">
      <c r="A25" s="24"/>
      <c r="B25" s="7">
        <f>(D24-D23)/D23</f>
        <v>-0.628865979381443</v>
      </c>
      <c r="C25" s="6">
        <f>SUM(C23:C24)</f>
        <v>24400</v>
      </c>
      <c r="D25" s="53">
        <f>E25/C25</f>
        <v>21.5</v>
      </c>
      <c r="E25" s="6">
        <f t="shared" ref="E25:J25" si="12">SUM(E23:E24)</f>
        <v>524600</v>
      </c>
      <c r="F25" s="6">
        <f t="shared" si="12"/>
        <v>1049.2</v>
      </c>
      <c r="G25" s="6">
        <f t="shared" si="12"/>
        <v>35.6728</v>
      </c>
      <c r="H25" s="6">
        <f t="shared" si="12"/>
        <v>5.246</v>
      </c>
      <c r="I25" s="6">
        <f t="shared" si="12"/>
        <v>76.308316</v>
      </c>
      <c r="J25" s="6">
        <f t="shared" si="12"/>
        <v>525766.427116</v>
      </c>
      <c r="K25" s="50"/>
      <c r="L25" s="7"/>
      <c r="M25" s="5"/>
    </row>
    <row r="27" spans="1:13">
      <c r="A27" s="13">
        <v>44641</v>
      </c>
      <c r="B27" s="9" t="s">
        <v>1</v>
      </c>
      <c r="C27" s="10">
        <v>3000</v>
      </c>
      <c r="D27" s="11">
        <v>24.5</v>
      </c>
      <c r="E27" s="12">
        <f>C27*D27</f>
        <v>73500</v>
      </c>
      <c r="F27" s="12">
        <f>E27*0.002</f>
        <v>147</v>
      </c>
      <c r="G27" s="12">
        <f>E27*0.000068</f>
        <v>4.998</v>
      </c>
      <c r="H27" s="12">
        <f>E27*0.00001</f>
        <v>0.735</v>
      </c>
      <c r="I27" s="12">
        <f>(F27+G27+H27)*0.07</f>
        <v>10.69131</v>
      </c>
      <c r="J27" s="12">
        <f>E27+F27+I27+G27+H27</f>
        <v>73663.42431</v>
      </c>
      <c r="M27" s="5"/>
    </row>
    <row r="28" s="1" customFormat="1" spans="1:10">
      <c r="A28" s="13">
        <v>44867</v>
      </c>
      <c r="B28" s="9" t="s">
        <v>3</v>
      </c>
      <c r="C28" s="10">
        <f>C27</f>
        <v>3000</v>
      </c>
      <c r="D28" s="31">
        <v>16.1</v>
      </c>
      <c r="E28" s="11">
        <f>C28*D28</f>
        <v>48300</v>
      </c>
      <c r="F28" s="32">
        <f>E28*0.002</f>
        <v>96.6</v>
      </c>
      <c r="G28" s="31">
        <f>E28*0.000068</f>
        <v>3.2844</v>
      </c>
      <c r="H28" s="31">
        <f>E28*0.00001</f>
        <v>0.483</v>
      </c>
      <c r="I28" s="31">
        <f>(F28+G28+H28)*0.07</f>
        <v>7.025718</v>
      </c>
      <c r="J28" s="31">
        <f>E28-F28-G28-H28-I28</f>
        <v>48192.606882</v>
      </c>
    </row>
    <row r="29" s="51" customFormat="1" ht="18.6" spans="1:11">
      <c r="A29" s="13" t="s">
        <v>4</v>
      </c>
      <c r="B29" s="16">
        <f>(D28-D27)/D27</f>
        <v>-0.342857142857143</v>
      </c>
      <c r="C29" s="10"/>
      <c r="D29" s="11"/>
      <c r="E29" s="12">
        <f>E28-E27</f>
        <v>-25200</v>
      </c>
      <c r="F29" s="12"/>
      <c r="G29" s="12"/>
      <c r="H29" s="12"/>
      <c r="I29" s="12"/>
      <c r="J29" s="12">
        <f>J28-J27</f>
        <v>-25470.817428</v>
      </c>
      <c r="K29" s="47"/>
    </row>
    <row r="30" s="51" customFormat="1" ht="18.6" spans="1:11">
      <c r="A30" s="20"/>
      <c r="B30" s="7"/>
      <c r="C30" s="21"/>
      <c r="D30" s="37"/>
      <c r="E30" s="23"/>
      <c r="F30" s="23"/>
      <c r="G30" s="23"/>
      <c r="H30" s="23"/>
      <c r="I30" s="23"/>
      <c r="J30" s="23"/>
      <c r="K30" s="47"/>
    </row>
    <row r="31" s="1" customFormat="1" spans="1:13">
      <c r="A31" s="8">
        <v>44372</v>
      </c>
      <c r="B31" s="9" t="s">
        <v>1</v>
      </c>
      <c r="C31" s="10">
        <v>1500</v>
      </c>
      <c r="D31" s="11">
        <v>24.5</v>
      </c>
      <c r="E31" s="12">
        <f>C31*D31</f>
        <v>36750</v>
      </c>
      <c r="F31" s="12">
        <f>E31*0.002</f>
        <v>73.5</v>
      </c>
      <c r="G31" s="12">
        <f>E31*0.00006</f>
        <v>2.205</v>
      </c>
      <c r="H31" s="12">
        <f>E31*0.00001</f>
        <v>0.3675</v>
      </c>
      <c r="I31" s="12">
        <f>(F31+G31+H31)*0.07</f>
        <v>5.325075</v>
      </c>
      <c r="J31" s="12">
        <f>E31+F31+I31+G31+H31</f>
        <v>36831.397575</v>
      </c>
      <c r="K31" s="48"/>
      <c r="L31" s="37"/>
      <c r="M31" s="47"/>
    </row>
    <row r="32" s="1" customFormat="1" spans="1:10">
      <c r="A32" s="13">
        <v>44533</v>
      </c>
      <c r="B32" s="9" t="s">
        <v>3</v>
      </c>
      <c r="C32" s="10">
        <f>C31</f>
        <v>1500</v>
      </c>
      <c r="D32" s="31">
        <v>32</v>
      </c>
      <c r="E32" s="11">
        <f>C32*D32</f>
        <v>48000</v>
      </c>
      <c r="F32" s="32">
        <f>E32*0.002</f>
        <v>96</v>
      </c>
      <c r="G32" s="31">
        <f>E32*0.000068</f>
        <v>3.264</v>
      </c>
      <c r="H32" s="31">
        <f>E32*0.00001</f>
        <v>0.48</v>
      </c>
      <c r="I32" s="31">
        <f>(F32+G32+H32)*0.07</f>
        <v>6.98208</v>
      </c>
      <c r="J32" s="31">
        <f>E32-F32-G32-H32-I32</f>
        <v>47893.27392</v>
      </c>
    </row>
    <row r="33" s="51" customFormat="1" ht="18.6" spans="1:11">
      <c r="A33" s="13" t="s">
        <v>4</v>
      </c>
      <c r="B33" s="16">
        <f>(D32-D31)/D31</f>
        <v>0.306122448979592</v>
      </c>
      <c r="C33" s="10"/>
      <c r="D33" s="11"/>
      <c r="E33" s="12">
        <f>E32-E31</f>
        <v>11250</v>
      </c>
      <c r="F33" s="12"/>
      <c r="G33" s="12"/>
      <c r="H33" s="12"/>
      <c r="I33" s="12"/>
      <c r="J33" s="12">
        <f>J32-J31</f>
        <v>11061.876345</v>
      </c>
      <c r="K33" s="47"/>
    </row>
    <row r="34" s="1" customFormat="1" spans="1:13">
      <c r="A34" s="8">
        <v>44372</v>
      </c>
      <c r="B34" s="9" t="s">
        <v>1</v>
      </c>
      <c r="C34" s="10">
        <v>1500</v>
      </c>
      <c r="D34" s="11">
        <v>24.5</v>
      </c>
      <c r="E34" s="12">
        <f>C34*D34</f>
        <v>36750</v>
      </c>
      <c r="F34" s="12">
        <f>E34*0.002</f>
        <v>73.5</v>
      </c>
      <c r="G34" s="12">
        <f>E34*0.00006</f>
        <v>2.205</v>
      </c>
      <c r="H34" s="12">
        <f>E34*0.00001</f>
        <v>0.3675</v>
      </c>
      <c r="I34" s="12">
        <f>(F34+G34+H34)*0.07</f>
        <v>5.325075</v>
      </c>
      <c r="J34" s="12">
        <f>E34+F34+I34+G34+H34</f>
        <v>36831.397575</v>
      </c>
      <c r="K34" s="48"/>
      <c r="L34" s="37"/>
      <c r="M34" s="47"/>
    </row>
    <row r="35" s="1" customFormat="1" spans="1:10">
      <c r="A35" s="13">
        <v>44537</v>
      </c>
      <c r="B35" s="9" t="s">
        <v>3</v>
      </c>
      <c r="C35" s="10">
        <f>C34</f>
        <v>1500</v>
      </c>
      <c r="D35" s="31">
        <v>33</v>
      </c>
      <c r="E35" s="11">
        <f>C35*D35</f>
        <v>49500</v>
      </c>
      <c r="F35" s="32">
        <f>E35*0.002</f>
        <v>99</v>
      </c>
      <c r="G35" s="31">
        <f>E35*0.000068</f>
        <v>3.366</v>
      </c>
      <c r="H35" s="31">
        <f>E35*0.00001</f>
        <v>0.495</v>
      </c>
      <c r="I35" s="31">
        <f>(F35+G35+H35)*0.07</f>
        <v>7.20027</v>
      </c>
      <c r="J35" s="31">
        <f>E35-F35-G35-H35-I35</f>
        <v>49389.93873</v>
      </c>
    </row>
    <row r="36" s="51" customFormat="1" ht="18.6" spans="1:11">
      <c r="A36" s="13" t="s">
        <v>4</v>
      </c>
      <c r="B36" s="16">
        <f>(D35-D34)/D34</f>
        <v>0.346938775510204</v>
      </c>
      <c r="C36" s="10"/>
      <c r="D36" s="11"/>
      <c r="E36" s="12">
        <f>E35-E34</f>
        <v>12750</v>
      </c>
      <c r="F36" s="12"/>
      <c r="G36" s="12"/>
      <c r="H36" s="12"/>
      <c r="I36" s="12"/>
      <c r="J36" s="12">
        <f>J35-J34</f>
        <v>12558.541155</v>
      </c>
      <c r="K36" s="47"/>
    </row>
    <row r="37" s="1" customFormat="1" spans="1:13">
      <c r="A37" s="8">
        <v>44372</v>
      </c>
      <c r="B37" s="9" t="s">
        <v>1</v>
      </c>
      <c r="C37" s="10">
        <v>1500</v>
      </c>
      <c r="D37" s="11">
        <v>31.5</v>
      </c>
      <c r="E37" s="12">
        <f>C37*D37</f>
        <v>47250</v>
      </c>
      <c r="F37" s="12">
        <f>E37*0.002</f>
        <v>94.5</v>
      </c>
      <c r="G37" s="12">
        <f>E37*0.00006</f>
        <v>2.835</v>
      </c>
      <c r="H37" s="12">
        <f>E37*0.00001</f>
        <v>0.4725</v>
      </c>
      <c r="I37" s="12">
        <f>(F37+G37+H37)*0.07</f>
        <v>6.846525</v>
      </c>
      <c r="J37" s="12">
        <f>E37+F37+I37+G37+H37</f>
        <v>47354.654025</v>
      </c>
      <c r="K37" s="48"/>
      <c r="L37" s="37"/>
      <c r="M37" s="47"/>
    </row>
    <row r="38" s="1" customFormat="1" spans="1:10">
      <c r="A38" s="13">
        <v>44574</v>
      </c>
      <c r="B38" s="9" t="s">
        <v>3</v>
      </c>
      <c r="C38" s="10">
        <f>C37</f>
        <v>1500</v>
      </c>
      <c r="D38" s="31">
        <v>33</v>
      </c>
      <c r="E38" s="11">
        <f>C38*D38</f>
        <v>49500</v>
      </c>
      <c r="F38" s="32">
        <f>E38*0.002</f>
        <v>99</v>
      </c>
      <c r="G38" s="31">
        <f>E38*0.000068</f>
        <v>3.366</v>
      </c>
      <c r="H38" s="31">
        <f>E38*0.00001</f>
        <v>0.495</v>
      </c>
      <c r="I38" s="31">
        <f>(F38+G38+H38)*0.07</f>
        <v>7.20027</v>
      </c>
      <c r="J38" s="31">
        <f>E38-F38-G38-H38-I38</f>
        <v>49389.93873</v>
      </c>
    </row>
    <row r="39" s="51" customFormat="1" ht="18.6" spans="1:11">
      <c r="A39" s="13" t="s">
        <v>4</v>
      </c>
      <c r="B39" s="16">
        <f>(D38-D37)/D37</f>
        <v>0.0476190476190476</v>
      </c>
      <c r="C39" s="10"/>
      <c r="D39" s="11"/>
      <c r="E39" s="12">
        <f>E38-E37</f>
        <v>2250</v>
      </c>
      <c r="F39" s="12"/>
      <c r="G39" s="12"/>
      <c r="H39" s="12"/>
      <c r="I39" s="12"/>
      <c r="J39" s="12">
        <f>J38-J37</f>
        <v>2035.28470499999</v>
      </c>
      <c r="K39" s="47"/>
    </row>
    <row r="40" s="1" customFormat="1" spans="1:13">
      <c r="A40" s="41">
        <v>44372</v>
      </c>
      <c r="B40" s="1" t="s">
        <v>1</v>
      </c>
      <c r="C40" s="21">
        <v>2500</v>
      </c>
      <c r="D40" s="37">
        <v>12.6</v>
      </c>
      <c r="E40" s="23">
        <f>C40*D40</f>
        <v>31500</v>
      </c>
      <c r="F40" s="23">
        <f>E40*0.002</f>
        <v>63</v>
      </c>
      <c r="G40" s="23">
        <f>E40*0.00006</f>
        <v>1.89</v>
      </c>
      <c r="H40" s="23">
        <f>E40*0.00001</f>
        <v>0.315</v>
      </c>
      <c r="I40" s="23">
        <f>(F40+G40+H40)*0.07</f>
        <v>4.56435</v>
      </c>
      <c r="J40" s="23">
        <f>E40+F40+I40+G40+H40</f>
        <v>31569.76935</v>
      </c>
      <c r="K40" s="48"/>
      <c r="L40" s="37"/>
      <c r="M40" s="47"/>
    </row>
    <row r="41" s="1" customFormat="1" spans="1:10">
      <c r="A41" s="20">
        <v>44574</v>
      </c>
      <c r="B41" s="1" t="s">
        <v>3</v>
      </c>
      <c r="C41" s="21">
        <f>C40</f>
        <v>2500</v>
      </c>
      <c r="D41" s="45">
        <v>12.8</v>
      </c>
      <c r="E41" s="37">
        <f>C41*D41</f>
        <v>32000</v>
      </c>
      <c r="F41" s="46">
        <f>E41*0.002</f>
        <v>64</v>
      </c>
      <c r="G41" s="45">
        <f>E41*0.000068</f>
        <v>2.176</v>
      </c>
      <c r="H41" s="45">
        <f>E41*0.00001</f>
        <v>0.32</v>
      </c>
      <c r="I41" s="45">
        <f>(F41+G41+H41)*0.07</f>
        <v>4.65472</v>
      </c>
      <c r="J41" s="45">
        <f>E41-F41-G41-H41-I41</f>
        <v>31928.84928</v>
      </c>
    </row>
    <row r="42" s="51" customFormat="1" ht="18.6" spans="1:11">
      <c r="A42" s="20" t="s">
        <v>4</v>
      </c>
      <c r="B42" s="7">
        <f>(D41-D40)/D40</f>
        <v>0.015873015873016</v>
      </c>
      <c r="C42" s="21"/>
      <c r="D42" s="37"/>
      <c r="E42" s="23">
        <f>E41-E40</f>
        <v>500</v>
      </c>
      <c r="F42" s="23"/>
      <c r="G42" s="23"/>
      <c r="H42" s="23"/>
      <c r="I42" s="23"/>
      <c r="J42" s="23">
        <f>J41-J40</f>
        <v>359.079930000004</v>
      </c>
      <c r="K42" s="47"/>
    </row>
  </sheetData>
  <sheetProtection selectLockedCells="1" selectUnlockedCells="1"/>
  <pageMargins left="0.7" right="0.7" top="0.75" bottom="0.75" header="0.511805555555556" footer="0.511805555555556"/>
  <pageSetup paperSize="9" firstPageNumber="0" orientation="portrait" useFirstPageNumber="1" horizontalDpi="300" verticalDpi="30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workbookViewId="0">
      <selection activeCell="D10" sqref="D10"/>
    </sheetView>
  </sheetViews>
  <sheetFormatPr defaultColWidth="8.88888888888889" defaultRowHeight="13.8"/>
  <cols>
    <col min="1" max="1" width="10.1111111111111" style="40" customWidth="1"/>
    <col min="2" max="2" width="7.44444444444444" style="5" customWidth="1"/>
    <col min="3" max="3" width="6.44444444444444" style="5" customWidth="1"/>
    <col min="4" max="4" width="7.66666666666667" style="25" customWidth="1"/>
    <col min="5" max="5" width="11.1111111111111" style="5" customWidth="1"/>
    <col min="6" max="6" width="10" style="5" customWidth="1"/>
    <col min="7" max="7" width="6.66666666666667" style="5" customWidth="1"/>
    <col min="8" max="8" width="5.77777777777778" style="5" customWidth="1"/>
    <col min="9" max="9" width="7.88888888888889" style="5" customWidth="1"/>
    <col min="10" max="10" width="11.1111111111111" style="5" customWidth="1"/>
    <col min="11" max="16384" width="8.88888888888889" style="5"/>
  </cols>
  <sheetData>
    <row r="1" spans="2:2">
      <c r="B1" s="40" t="s">
        <v>40</v>
      </c>
    </row>
    <row r="2" s="39" customFormat="1" ht="15.6" spans="1:10">
      <c r="A2" s="26">
        <v>45113</v>
      </c>
      <c r="B2" s="9" t="s">
        <v>1</v>
      </c>
      <c r="C2" s="10">
        <v>10000</v>
      </c>
      <c r="D2" s="14">
        <v>7.55</v>
      </c>
      <c r="E2" s="12">
        <f>C2*D2</f>
        <v>75500</v>
      </c>
      <c r="F2" s="12">
        <f>E2*0.002</f>
        <v>151</v>
      </c>
      <c r="G2" s="12">
        <f>E2*0.00006</f>
        <v>4.53</v>
      </c>
      <c r="H2" s="12">
        <f>E2*0.00001</f>
        <v>0.755</v>
      </c>
      <c r="I2" s="12">
        <f>(F2+G2+H2)*0.07</f>
        <v>10.93995</v>
      </c>
      <c r="J2" s="12">
        <f>E2+F2+I2+G2+H2</f>
        <v>75667.22495</v>
      </c>
    </row>
    <row r="3" spans="1:10">
      <c r="A3" s="13">
        <v>45132</v>
      </c>
      <c r="B3" s="9" t="s">
        <v>1</v>
      </c>
      <c r="C3" s="10">
        <v>10000</v>
      </c>
      <c r="D3" s="14">
        <v>7.45</v>
      </c>
      <c r="E3" s="12">
        <f>C3*D3</f>
        <v>74500</v>
      </c>
      <c r="F3" s="12">
        <f>E3*0.002</f>
        <v>149</v>
      </c>
      <c r="G3" s="12">
        <f>E3*0.000068</f>
        <v>5.066</v>
      </c>
      <c r="H3" s="12">
        <f>E3*0.00001</f>
        <v>0.745</v>
      </c>
      <c r="I3" s="12">
        <f>(F3+G3+H3)*0.07</f>
        <v>10.83677</v>
      </c>
      <c r="J3" s="12">
        <f>E3+F3+I3+G3+H3</f>
        <v>74665.64777</v>
      </c>
    </row>
    <row r="4" spans="1:11">
      <c r="A4" s="15"/>
      <c r="B4" s="16">
        <f>(D3-D2)/D2</f>
        <v>-0.0132450331125827</v>
      </c>
      <c r="C4" s="17">
        <f>SUM(C2:C3)</f>
        <v>20000</v>
      </c>
      <c r="D4" s="18">
        <f>E4/C4</f>
        <v>7.5</v>
      </c>
      <c r="E4" s="19">
        <f t="shared" ref="E4:J4" si="0">SUM(E2:E3)</f>
        <v>150000</v>
      </c>
      <c r="F4" s="17">
        <f t="shared" si="0"/>
        <v>300</v>
      </c>
      <c r="G4" s="17">
        <f t="shared" si="0"/>
        <v>9.596</v>
      </c>
      <c r="H4" s="17">
        <f t="shared" si="0"/>
        <v>1.5</v>
      </c>
      <c r="I4" s="17">
        <f t="shared" si="0"/>
        <v>21.77672</v>
      </c>
      <c r="J4" s="17">
        <f t="shared" si="0"/>
        <v>150332.87272</v>
      </c>
      <c r="K4" s="7"/>
    </row>
    <row r="5" spans="1:10">
      <c r="A5" s="13">
        <v>46085</v>
      </c>
      <c r="B5" s="9" t="s">
        <v>1</v>
      </c>
      <c r="C5" s="10">
        <v>5000</v>
      </c>
      <c r="D5" s="14">
        <v>6.5</v>
      </c>
      <c r="E5" s="12">
        <f>C5*D5</f>
        <v>32500</v>
      </c>
      <c r="F5" s="12">
        <f>E5*0.002</f>
        <v>65</v>
      </c>
      <c r="G5" s="12">
        <f>E5*0.000068</f>
        <v>2.21</v>
      </c>
      <c r="H5" s="12">
        <f>E5*0.00001</f>
        <v>0.325</v>
      </c>
      <c r="I5" s="12">
        <f>(F5+G5+H5)*0.07</f>
        <v>4.72745</v>
      </c>
      <c r="J5" s="12">
        <f>E5+F5+I5+G5+H5</f>
        <v>32572.26245</v>
      </c>
    </row>
    <row r="6" spans="1:11">
      <c r="A6" s="15"/>
      <c r="B6" s="16">
        <f>(D5-D4)/D4</f>
        <v>-0.133333333333333</v>
      </c>
      <c r="C6" s="17">
        <f>SUM(C4:C5)</f>
        <v>25000</v>
      </c>
      <c r="D6" s="18">
        <f>E6/C6</f>
        <v>7.3</v>
      </c>
      <c r="E6" s="17">
        <f t="shared" ref="E6:J6" si="1">SUM(E4:E5)</f>
        <v>182500</v>
      </c>
      <c r="F6" s="17">
        <f t="shared" si="1"/>
        <v>365</v>
      </c>
      <c r="G6" s="17">
        <f t="shared" si="1"/>
        <v>11.806</v>
      </c>
      <c r="H6" s="17">
        <f t="shared" si="1"/>
        <v>1.825</v>
      </c>
      <c r="I6" s="17">
        <f t="shared" si="1"/>
        <v>26.50417</v>
      </c>
      <c r="J6" s="17">
        <f t="shared" si="1"/>
        <v>182905.13517</v>
      </c>
      <c r="K6" s="7"/>
    </row>
    <row r="7" spans="1:10">
      <c r="A7" s="13">
        <v>46031</v>
      </c>
      <c r="B7" s="9" t="s">
        <v>1</v>
      </c>
      <c r="C7" s="10">
        <v>5000</v>
      </c>
      <c r="D7" s="14">
        <v>7</v>
      </c>
      <c r="E7" s="12">
        <f>C7*D7</f>
        <v>35000</v>
      </c>
      <c r="F7" s="12">
        <f>E7*0.002</f>
        <v>70</v>
      </c>
      <c r="G7" s="12">
        <f>E7*0.000068</f>
        <v>2.38</v>
      </c>
      <c r="H7" s="12">
        <f>E7*0.00001</f>
        <v>0.35</v>
      </c>
      <c r="I7" s="12">
        <f>(F7+G7+H7)*0.07</f>
        <v>5.0911</v>
      </c>
      <c r="J7" s="12">
        <f>E7+F7+I7+G7+H7</f>
        <v>35077.8211</v>
      </c>
    </row>
    <row r="8" spans="1:11">
      <c r="A8" s="15"/>
      <c r="B8" s="16">
        <f>(D7-D6)/D6</f>
        <v>-0.0410958904109589</v>
      </c>
      <c r="C8" s="17">
        <f>SUM(C6:C7)</f>
        <v>30000</v>
      </c>
      <c r="D8" s="18">
        <f>E8/C8</f>
        <v>7.25</v>
      </c>
      <c r="E8" s="17">
        <f t="shared" ref="E8:J8" si="2">SUM(E6:E7)</f>
        <v>217500</v>
      </c>
      <c r="F8" s="17">
        <f t="shared" si="2"/>
        <v>435</v>
      </c>
      <c r="G8" s="17">
        <f t="shared" si="2"/>
        <v>14.186</v>
      </c>
      <c r="H8" s="17">
        <f t="shared" si="2"/>
        <v>2.175</v>
      </c>
      <c r="I8" s="17">
        <f t="shared" si="2"/>
        <v>31.59527</v>
      </c>
      <c r="J8" s="17">
        <f t="shared" si="2"/>
        <v>217982.95627</v>
      </c>
      <c r="K8" s="7"/>
    </row>
    <row r="9" spans="1:10">
      <c r="A9" s="20">
        <v>46031</v>
      </c>
      <c r="B9" s="1" t="s">
        <v>1</v>
      </c>
      <c r="C9" s="21">
        <v>5000</v>
      </c>
      <c r="D9" s="22">
        <v>6.55</v>
      </c>
      <c r="E9" s="23">
        <f>C9*D9</f>
        <v>32750</v>
      </c>
      <c r="F9" s="23">
        <f>E9*0.002</f>
        <v>65.5</v>
      </c>
      <c r="G9" s="23">
        <f>E9*0.000068</f>
        <v>2.227</v>
      </c>
      <c r="H9" s="23">
        <f>E9*0.00001</f>
        <v>0.3275</v>
      </c>
      <c r="I9" s="23">
        <f>(F9+G9+H9)*0.07</f>
        <v>4.763815</v>
      </c>
      <c r="J9" s="23">
        <f>E9+F9+I9+G9+H9</f>
        <v>32822.818315</v>
      </c>
    </row>
    <row r="10" spans="1:11">
      <c r="A10" s="24"/>
      <c r="B10" s="7">
        <f>(D9-D8)/D8</f>
        <v>-0.0965517241379311</v>
      </c>
      <c r="C10" s="6">
        <f>SUM(C8:C9)</f>
        <v>35000</v>
      </c>
      <c r="D10" s="25">
        <f>E10/C10</f>
        <v>7.15</v>
      </c>
      <c r="E10" s="6">
        <f t="shared" ref="E10:J10" si="3">SUM(E8:E9)</f>
        <v>250250</v>
      </c>
      <c r="F10" s="6">
        <f t="shared" si="3"/>
        <v>500.5</v>
      </c>
      <c r="G10" s="6">
        <f t="shared" si="3"/>
        <v>16.413</v>
      </c>
      <c r="H10" s="6">
        <f t="shared" si="3"/>
        <v>2.5025</v>
      </c>
      <c r="I10" s="6">
        <f t="shared" si="3"/>
        <v>36.359085</v>
      </c>
      <c r="J10" s="6">
        <f t="shared" si="3"/>
        <v>250805.774585</v>
      </c>
      <c r="K10" s="7"/>
    </row>
    <row r="11" spans="1:10">
      <c r="A11" s="13"/>
      <c r="B11" s="9"/>
      <c r="C11" s="10"/>
      <c r="D11" s="14"/>
      <c r="E11" s="12"/>
      <c r="F11" s="12"/>
      <c r="G11" s="12"/>
      <c r="H11" s="12"/>
      <c r="I11" s="12"/>
      <c r="J11" s="12"/>
    </row>
    <row r="12" spans="1:10">
      <c r="A12" s="13">
        <v>45272</v>
      </c>
      <c r="B12" s="9" t="s">
        <v>1</v>
      </c>
      <c r="C12" s="10">
        <v>2500</v>
      </c>
      <c r="D12" s="14">
        <v>6.35</v>
      </c>
      <c r="E12" s="12">
        <f>C12*D12</f>
        <v>15875</v>
      </c>
      <c r="F12" s="12">
        <f>E12*0.002</f>
        <v>31.75</v>
      </c>
      <c r="G12" s="12">
        <f>E12*0.000068</f>
        <v>1.0795</v>
      </c>
      <c r="H12" s="12">
        <f>E12*0.00001</f>
        <v>0.15875</v>
      </c>
      <c r="I12" s="12">
        <f>(F12+G12+H12)*0.07</f>
        <v>2.3091775</v>
      </c>
      <c r="J12" s="12">
        <f>E12+F12+I12+G12+H12</f>
        <v>15910.2974275</v>
      </c>
    </row>
    <row r="13" s="1" customFormat="1" spans="1:10">
      <c r="A13" s="13">
        <v>44867</v>
      </c>
      <c r="B13" s="9" t="s">
        <v>3</v>
      </c>
      <c r="C13" s="10">
        <f>C12</f>
        <v>2500</v>
      </c>
      <c r="D13" s="31">
        <v>6.7</v>
      </c>
      <c r="E13" s="11">
        <f>C13*D13</f>
        <v>16750</v>
      </c>
      <c r="F13" s="32">
        <f>E13*0.002</f>
        <v>33.5</v>
      </c>
      <c r="G13" s="31">
        <f>E13*0.000068</f>
        <v>1.139</v>
      </c>
      <c r="H13" s="31">
        <f>E13*0.00001</f>
        <v>0.1675</v>
      </c>
      <c r="I13" s="31">
        <f>(F13+G13+H13)*0.07</f>
        <v>2.436455</v>
      </c>
      <c r="J13" s="31">
        <f>E13-F13-G13-H13-I13</f>
        <v>16712.757045</v>
      </c>
    </row>
    <row r="14" s="51" customFormat="1" ht="18.6" spans="1:11">
      <c r="A14" s="13" t="s">
        <v>4</v>
      </c>
      <c r="B14" s="16">
        <f>J14/J12</f>
        <v>0.0504364937963384</v>
      </c>
      <c r="C14" s="10"/>
      <c r="D14" s="11"/>
      <c r="E14" s="12">
        <f>E13-E12</f>
        <v>875</v>
      </c>
      <c r="F14" s="12"/>
      <c r="G14" s="12"/>
      <c r="H14" s="12"/>
      <c r="I14" s="12"/>
      <c r="J14" s="12">
        <f>J13-J12</f>
        <v>802.459617500002</v>
      </c>
      <c r="K14" s="47"/>
    </row>
    <row r="15" spans="1:10">
      <c r="A15" s="13">
        <v>45218</v>
      </c>
      <c r="B15" s="9" t="s">
        <v>1</v>
      </c>
      <c r="C15" s="10">
        <v>2500</v>
      </c>
      <c r="D15" s="14">
        <v>6.6</v>
      </c>
      <c r="E15" s="12">
        <f>C15*D15</f>
        <v>16500</v>
      </c>
      <c r="F15" s="12">
        <f>E15*0.002</f>
        <v>33</v>
      </c>
      <c r="G15" s="12">
        <f>E15*0.000068</f>
        <v>1.122</v>
      </c>
      <c r="H15" s="12">
        <f>E15*0.00001</f>
        <v>0.165</v>
      </c>
      <c r="I15" s="12">
        <f>(F15+G15+H15)*0.07</f>
        <v>2.40009</v>
      </c>
      <c r="J15" s="12">
        <f>E15+F15+I15+G15+H15</f>
        <v>16536.68709</v>
      </c>
    </row>
    <row r="16" s="1" customFormat="1" spans="1:10">
      <c r="A16" s="13">
        <v>45295</v>
      </c>
      <c r="B16" s="9" t="s">
        <v>3</v>
      </c>
      <c r="C16" s="10">
        <f>C15</f>
        <v>2500</v>
      </c>
      <c r="D16" s="31">
        <v>7</v>
      </c>
      <c r="E16" s="11">
        <f>C16*D16</f>
        <v>17500</v>
      </c>
      <c r="F16" s="32">
        <f>E16*0.002</f>
        <v>35</v>
      </c>
      <c r="G16" s="31">
        <f>E16*0.000068</f>
        <v>1.19</v>
      </c>
      <c r="H16" s="31">
        <f>E16*0.00001</f>
        <v>0.175</v>
      </c>
      <c r="I16" s="31">
        <f>(F16+G16+H16)*0.07</f>
        <v>2.54555</v>
      </c>
      <c r="J16" s="31">
        <f>E16-F16-G16-H16-I16</f>
        <v>17461.08945</v>
      </c>
    </row>
    <row r="17" s="51" customFormat="1" ht="18.6" spans="1:11">
      <c r="A17" s="13" t="s">
        <v>4</v>
      </c>
      <c r="B17" s="16">
        <f>J17/J15</f>
        <v>0.0559000938319142</v>
      </c>
      <c r="C17" s="10"/>
      <c r="D17" s="11"/>
      <c r="E17" s="12">
        <f>E16-E15</f>
        <v>1000</v>
      </c>
      <c r="F17" s="12"/>
      <c r="G17" s="12"/>
      <c r="H17" s="12"/>
      <c r="I17" s="12"/>
      <c r="J17" s="12">
        <f>J16-J15</f>
        <v>924.402360000004</v>
      </c>
      <c r="K17" s="47"/>
    </row>
    <row r="18" spans="1:10">
      <c r="A18" s="13">
        <v>45132</v>
      </c>
      <c r="B18" s="9" t="s">
        <v>1</v>
      </c>
      <c r="C18" s="10">
        <v>2500</v>
      </c>
      <c r="D18" s="14">
        <v>7.45</v>
      </c>
      <c r="E18" s="12">
        <f>C18*D18</f>
        <v>18625</v>
      </c>
      <c r="F18" s="12">
        <f>E18*0.002</f>
        <v>37.25</v>
      </c>
      <c r="G18" s="12">
        <f>E18*0.000068</f>
        <v>1.2665</v>
      </c>
      <c r="H18" s="12">
        <f>E18*0.00001</f>
        <v>0.18625</v>
      </c>
      <c r="I18" s="12">
        <f>(F18+G18+H18)*0.07</f>
        <v>2.7091925</v>
      </c>
      <c r="J18" s="12">
        <f>E18+F18+I18+G18+H18</f>
        <v>18666.4119425</v>
      </c>
    </row>
    <row r="19" s="1" customFormat="1" spans="1:10">
      <c r="A19" s="20">
        <v>45295</v>
      </c>
      <c r="B19" s="1" t="s">
        <v>3</v>
      </c>
      <c r="C19" s="21">
        <f>C18</f>
        <v>2500</v>
      </c>
      <c r="D19" s="45">
        <v>7.9</v>
      </c>
      <c r="E19" s="37">
        <f>C19*D19</f>
        <v>19750</v>
      </c>
      <c r="F19" s="46">
        <f>E19*0.002</f>
        <v>39.5</v>
      </c>
      <c r="G19" s="45">
        <f>E19*0.000068</f>
        <v>1.343</v>
      </c>
      <c r="H19" s="45">
        <f>E19*0.00001</f>
        <v>0.1975</v>
      </c>
      <c r="I19" s="45">
        <f>(F19+G19+H19)*0.07</f>
        <v>2.872835</v>
      </c>
      <c r="J19" s="45">
        <f>E19-F19-G19-H19-I19</f>
        <v>19706.086665</v>
      </c>
    </row>
    <row r="20" s="51" customFormat="1" ht="18.6" spans="1:11">
      <c r="A20" s="20" t="s">
        <v>4</v>
      </c>
      <c r="B20" s="7">
        <f>J20/J18</f>
        <v>0.0556976201801726</v>
      </c>
      <c r="C20" s="21"/>
      <c r="D20" s="37"/>
      <c r="E20" s="23">
        <f>E19-E18</f>
        <v>1125</v>
      </c>
      <c r="F20" s="23"/>
      <c r="G20" s="23"/>
      <c r="H20" s="23"/>
      <c r="I20" s="23"/>
      <c r="J20" s="23">
        <f>J19-J18</f>
        <v>1039.6747225</v>
      </c>
      <c r="K20" s="47"/>
    </row>
  </sheetData>
  <sheetProtection selectLockedCells="1" selectUnlockedCells="1"/>
  <pageMargins left="0.7" right="0.7" top="0.75" bottom="0.75" header="0.511805555555556" footer="0.511805555555556"/>
  <pageSetup paperSize="9" firstPageNumber="0" orientation="portrait" useFirstPageNumber="1" horizontalDpi="300" verticalDpi="300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K4" sqref="K4"/>
    </sheetView>
  </sheetViews>
  <sheetFormatPr defaultColWidth="8.88888888888889" defaultRowHeight="13.8"/>
  <cols>
    <col min="1" max="1" width="10.6666666666667" style="4" customWidth="1"/>
    <col min="2" max="2" width="6.77777777777778" style="5" customWidth="1"/>
    <col min="3" max="3" width="6.66666666666667" style="5" customWidth="1"/>
    <col min="4" max="4" width="7.66666666666667" style="5" customWidth="1"/>
    <col min="5" max="5" width="11.1111111111111" style="5" customWidth="1"/>
    <col min="6" max="6" width="7.44444444444444" style="5" customWidth="1"/>
    <col min="7" max="7" width="6.66666666666667" style="5" customWidth="1"/>
    <col min="8" max="8" width="5.77777777777778" style="5" customWidth="1"/>
    <col min="9" max="9" width="7.22222222222222" style="5" customWidth="1"/>
    <col min="10" max="10" width="10" style="5" customWidth="1"/>
    <col min="11" max="11" width="18" style="5" customWidth="1"/>
    <col min="12" max="12" width="8.88888888888889" style="5"/>
    <col min="13" max="13" width="8.88888888888889" style="7"/>
    <col min="14" max="16384" width="8.88888888888889" style="5"/>
  </cols>
  <sheetData>
    <row r="1" spans="2:2">
      <c r="B1" s="5" t="s">
        <v>41</v>
      </c>
    </row>
    <row r="2" s="1" customFormat="1" spans="1:13">
      <c r="A2" s="8">
        <v>45175</v>
      </c>
      <c r="B2" s="9" t="s">
        <v>1</v>
      </c>
      <c r="C2" s="10">
        <v>1000</v>
      </c>
      <c r="D2" s="11">
        <v>26</v>
      </c>
      <c r="E2" s="12">
        <f>C2*D2</f>
        <v>26000</v>
      </c>
      <c r="F2" s="12">
        <f>E2*0.002</f>
        <v>52</v>
      </c>
      <c r="G2" s="12">
        <f>E2*0.00006</f>
        <v>1.56</v>
      </c>
      <c r="H2" s="12">
        <f>E2*0.00001</f>
        <v>0.26</v>
      </c>
      <c r="I2" s="12">
        <f>(F2+G2+H2)*0.07</f>
        <v>3.7674</v>
      </c>
      <c r="J2" s="12">
        <f>E2+F2+I2+G2+H2</f>
        <v>26057.5874</v>
      </c>
      <c r="K2" s="30"/>
      <c r="L2" s="11"/>
      <c r="M2" s="35"/>
    </row>
    <row r="3" s="1" customFormat="1" spans="1:13">
      <c r="A3" s="41">
        <v>44473</v>
      </c>
      <c r="B3" s="1" t="s">
        <v>1</v>
      </c>
      <c r="C3" s="21">
        <v>2000</v>
      </c>
      <c r="D3" s="37">
        <v>14</v>
      </c>
      <c r="E3" s="23">
        <f>C3*D3</f>
        <v>28000</v>
      </c>
      <c r="F3" s="23">
        <f>E3*0.002</f>
        <v>56</v>
      </c>
      <c r="G3" s="23">
        <f>E3*0.00006</f>
        <v>1.68</v>
      </c>
      <c r="H3" s="23">
        <f>E3*0.00001</f>
        <v>0.28</v>
      </c>
      <c r="I3" s="23">
        <f>(F3+G3+H3)*0.07</f>
        <v>4.0572</v>
      </c>
      <c r="J3" s="23">
        <f>E3+F3+I3+G3+H3</f>
        <v>28062.0172</v>
      </c>
      <c r="K3" s="48"/>
      <c r="L3" s="37"/>
      <c r="M3" s="47"/>
    </row>
    <row r="4" s="2" customFormat="1" ht="21" spans="1:14">
      <c r="A4" s="42"/>
      <c r="B4" s="43">
        <f>(D3-D2)/D2</f>
        <v>-0.461538461538462</v>
      </c>
      <c r="C4" s="21">
        <f>SUM(C2:C3)</f>
        <v>3000</v>
      </c>
      <c r="D4" s="44">
        <f>E4/C4</f>
        <v>18</v>
      </c>
      <c r="E4" s="21">
        <f t="shared" ref="E4:J4" si="0">SUM(E2:E3)</f>
        <v>54000</v>
      </c>
      <c r="F4" s="21">
        <f t="shared" si="0"/>
        <v>108</v>
      </c>
      <c r="G4" s="21">
        <f t="shared" si="0"/>
        <v>3.24</v>
      </c>
      <c r="H4" s="21">
        <f t="shared" si="0"/>
        <v>0.54</v>
      </c>
      <c r="I4" s="21">
        <f t="shared" si="0"/>
        <v>7.8246</v>
      </c>
      <c r="J4" s="21">
        <f t="shared" si="0"/>
        <v>54119.6046</v>
      </c>
      <c r="K4" s="37"/>
      <c r="L4" s="1"/>
      <c r="M4" s="37"/>
      <c r="N4" s="37"/>
    </row>
    <row r="5" s="2" customFormat="1" ht="21" spans="1:14">
      <c r="A5" s="26"/>
      <c r="B5" s="49"/>
      <c r="C5" s="10"/>
      <c r="D5" s="28"/>
      <c r="E5" s="10"/>
      <c r="F5" s="10"/>
      <c r="G5" s="10"/>
      <c r="H5" s="10"/>
      <c r="I5" s="10"/>
      <c r="J5" s="10"/>
      <c r="K5" s="37"/>
      <c r="L5" s="1"/>
      <c r="M5" s="37"/>
      <c r="N5" s="37"/>
    </row>
    <row r="6" s="1" customFormat="1" spans="1:13">
      <c r="A6" s="8">
        <v>45175</v>
      </c>
      <c r="B6" s="9" t="s">
        <v>1</v>
      </c>
      <c r="C6" s="10">
        <v>1000</v>
      </c>
      <c r="D6" s="11">
        <v>26</v>
      </c>
      <c r="E6" s="12">
        <f>C6*D6</f>
        <v>26000</v>
      </c>
      <c r="F6" s="12">
        <f>E6*0.002</f>
        <v>52</v>
      </c>
      <c r="G6" s="12">
        <f>E6*0.00006</f>
        <v>1.56</v>
      </c>
      <c r="H6" s="12">
        <f>E6*0.00001</f>
        <v>0.26</v>
      </c>
      <c r="I6" s="12">
        <f>(F6+G6+H6)*0.07</f>
        <v>3.7674</v>
      </c>
      <c r="J6" s="12">
        <f>E6+F6+I6+G6+H6</f>
        <v>26057.5874</v>
      </c>
      <c r="K6" s="30"/>
      <c r="L6" s="11"/>
      <c r="M6" s="35"/>
    </row>
    <row r="7" spans="1:13">
      <c r="A7" s="42">
        <v>44923</v>
      </c>
      <c r="B7" s="1" t="s">
        <v>3</v>
      </c>
      <c r="C7" s="21">
        <f>C6</f>
        <v>1000</v>
      </c>
      <c r="D7" s="45">
        <v>27.5</v>
      </c>
      <c r="E7" s="37">
        <f>C7*D7</f>
        <v>27500</v>
      </c>
      <c r="F7" s="46">
        <f>E7*0.002</f>
        <v>55</v>
      </c>
      <c r="G7" s="45">
        <f>E7*0.000068</f>
        <v>1.87</v>
      </c>
      <c r="H7" s="45">
        <f>E7*0.00001</f>
        <v>0.275</v>
      </c>
      <c r="I7" s="45">
        <f>(F7+G7+H7)*0.07</f>
        <v>4.00015</v>
      </c>
      <c r="J7" s="45">
        <f>E7-F7-G7-H7-I7</f>
        <v>27438.85485</v>
      </c>
      <c r="M7" s="5"/>
    </row>
    <row r="8" spans="1:13">
      <c r="A8" s="42" t="s">
        <v>4</v>
      </c>
      <c r="B8" s="47">
        <f>J8/J6</f>
        <v>0.0530082631517912</v>
      </c>
      <c r="C8" s="21"/>
      <c r="D8" s="37"/>
      <c r="E8" s="23">
        <f>E7-E6</f>
        <v>1500</v>
      </c>
      <c r="F8" s="23"/>
      <c r="G8" s="23"/>
      <c r="H8" s="23"/>
      <c r="I8" s="23"/>
      <c r="J8" s="23">
        <f>J7-J6</f>
        <v>1381.26745</v>
      </c>
      <c r="M8" s="5"/>
    </row>
    <row r="9" s="2" customFormat="1" ht="21" spans="1:14">
      <c r="A9" s="42"/>
      <c r="B9" s="43"/>
      <c r="C9" s="21"/>
      <c r="D9" s="44"/>
      <c r="E9" s="21"/>
      <c r="F9" s="21"/>
      <c r="G9" s="21"/>
      <c r="H9" s="21"/>
      <c r="I9" s="21"/>
      <c r="J9" s="21"/>
      <c r="K9" s="37"/>
      <c r="L9" s="1"/>
      <c r="M9" s="37"/>
      <c r="N9" s="37"/>
    </row>
    <row r="10" spans="3:5">
      <c r="C10" s="21">
        <v>2000</v>
      </c>
      <c r="D10" s="37">
        <v>13.1</v>
      </c>
      <c r="E10" s="23">
        <f>C10*D10</f>
        <v>26200</v>
      </c>
    </row>
    <row r="11" spans="3:5">
      <c r="C11" s="21">
        <v>2500</v>
      </c>
      <c r="D11" s="37">
        <v>11.2</v>
      </c>
      <c r="E11" s="23">
        <f t="shared" ref="E11:E12" si="1">C11*D11</f>
        <v>28000</v>
      </c>
    </row>
    <row r="12" spans="3:5">
      <c r="C12" s="21">
        <v>10000</v>
      </c>
      <c r="D12" s="37">
        <v>2.62</v>
      </c>
      <c r="E12" s="23">
        <f t="shared" si="1"/>
        <v>26200</v>
      </c>
    </row>
    <row r="13" spans="5:5">
      <c r="E13" s="50">
        <f>SUM(E10:E12)</f>
        <v>80400</v>
      </c>
    </row>
  </sheetData>
  <sheetProtection selectLockedCells="1" selectUnlockedCells="1"/>
  <pageMargins left="0.7" right="0.7" top="0.75" bottom="0.75" header="0.511805555555556" footer="0.511805555555556"/>
  <pageSetup paperSize="9" firstPageNumber="0" orientation="portrait" useFirstPageNumber="1" horizontalDpi="300" verticalDpi="30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workbookViewId="0">
      <selection activeCell="P10" sqref="P10"/>
    </sheetView>
  </sheetViews>
  <sheetFormatPr defaultColWidth="8.88888888888889" defaultRowHeight="13.8"/>
  <cols>
    <col min="1" max="1" width="10.6666666666667" style="4" customWidth="1"/>
    <col min="2" max="2" width="6.77777777777778" style="5" customWidth="1"/>
    <col min="3" max="3" width="6.66666666666667" style="5" customWidth="1"/>
    <col min="4" max="4" width="7.66666666666667" style="5" customWidth="1"/>
    <col min="5" max="5" width="11.1111111111111" style="5" customWidth="1"/>
    <col min="6" max="6" width="9" style="5"/>
    <col min="7" max="7" width="6.66666666666667" style="5" customWidth="1"/>
    <col min="8" max="8" width="5.77777777777778" style="5" customWidth="1"/>
    <col min="9" max="9" width="7.22222222222222" style="5" customWidth="1"/>
    <col min="10" max="10" width="11" style="5" customWidth="1"/>
    <col min="11" max="11" width="5.66666666666667" style="5" customWidth="1"/>
    <col min="12" max="12" width="8.88888888888889" style="5"/>
    <col min="13" max="13" width="8.88888888888889" style="7"/>
    <col min="14" max="16384" width="8.88888888888889" style="5"/>
  </cols>
  <sheetData>
    <row r="1" spans="2:2">
      <c r="B1" s="5" t="s">
        <v>42</v>
      </c>
    </row>
    <row r="2" spans="1:13">
      <c r="A2" s="26">
        <v>45085</v>
      </c>
      <c r="B2" s="9" t="s">
        <v>1</v>
      </c>
      <c r="C2" s="10">
        <v>4000</v>
      </c>
      <c r="D2" s="14">
        <v>24.9</v>
      </c>
      <c r="E2" s="12">
        <f>C2*D2</f>
        <v>99600</v>
      </c>
      <c r="F2" s="12">
        <f>E2*0.002</f>
        <v>199.2</v>
      </c>
      <c r="G2" s="12">
        <f>E2*0.00006</f>
        <v>5.976</v>
      </c>
      <c r="H2" s="12">
        <f>E2*0.00001</f>
        <v>0.996</v>
      </c>
      <c r="I2" s="12">
        <f>(F2+G2+H2)*0.07</f>
        <v>14.43204</v>
      </c>
      <c r="J2" s="12">
        <f>E2+F2+I2+G2+H2</f>
        <v>99820.60404</v>
      </c>
      <c r="M2" s="5"/>
    </row>
    <row r="3" s="1" customFormat="1" spans="1:13">
      <c r="A3" s="41">
        <v>45728</v>
      </c>
      <c r="B3" s="1" t="s">
        <v>1</v>
      </c>
      <c r="C3" s="21">
        <v>4000</v>
      </c>
      <c r="D3" s="37">
        <v>24.9</v>
      </c>
      <c r="E3" s="23">
        <f>C3*D3</f>
        <v>99600</v>
      </c>
      <c r="F3" s="23">
        <f>E3*0.002</f>
        <v>199.2</v>
      </c>
      <c r="G3" s="23">
        <f>E3*0.00006</f>
        <v>5.976</v>
      </c>
      <c r="H3" s="23">
        <f>E3*0.00001</f>
        <v>0.996</v>
      </c>
      <c r="I3" s="23">
        <f>(F3+G3+H3)*0.07</f>
        <v>14.43204</v>
      </c>
      <c r="J3" s="23">
        <f>E3+F3+I3+G3+H3</f>
        <v>99820.60404</v>
      </c>
      <c r="K3" s="48"/>
      <c r="L3" s="37"/>
      <c r="M3" s="47"/>
    </row>
    <row r="4" s="2" customFormat="1" ht="21" spans="1:14">
      <c r="A4" s="42"/>
      <c r="B4" s="43" t="e">
        <f>(D3-#REF!)/#REF!</f>
        <v>#REF!</v>
      </c>
      <c r="C4" s="21">
        <f>SUM(C2:C3)</f>
        <v>8000</v>
      </c>
      <c r="D4" s="44">
        <f>E4/C4</f>
        <v>24.9</v>
      </c>
      <c r="E4" s="21">
        <f t="shared" ref="E4:J4" si="0">SUM(E2:E3)</f>
        <v>199200</v>
      </c>
      <c r="F4" s="21">
        <f t="shared" si="0"/>
        <v>398.4</v>
      </c>
      <c r="G4" s="21">
        <f t="shared" si="0"/>
        <v>11.952</v>
      </c>
      <c r="H4" s="21">
        <f t="shared" si="0"/>
        <v>1.992</v>
      </c>
      <c r="I4" s="21">
        <f t="shared" si="0"/>
        <v>28.86408</v>
      </c>
      <c r="J4" s="21">
        <f t="shared" si="0"/>
        <v>199641.20808</v>
      </c>
      <c r="K4" s="37"/>
      <c r="L4" s="1"/>
      <c r="M4" s="37"/>
      <c r="N4" s="37"/>
    </row>
    <row r="6" s="1" customFormat="1" spans="1:13">
      <c r="A6" s="8">
        <v>45728</v>
      </c>
      <c r="B6" s="9" t="s">
        <v>1</v>
      </c>
      <c r="C6" s="10">
        <v>4000</v>
      </c>
      <c r="D6" s="11">
        <v>23.1</v>
      </c>
      <c r="E6" s="12">
        <f>C6*D6</f>
        <v>92400</v>
      </c>
      <c r="F6" s="12">
        <f>E6*0.002</f>
        <v>184.8</v>
      </c>
      <c r="G6" s="12">
        <f>E6*0.00006</f>
        <v>5.544</v>
      </c>
      <c r="H6" s="12">
        <f>E6*0.00001</f>
        <v>0.924</v>
      </c>
      <c r="I6" s="12">
        <f>(F6+G6+H6)*0.07</f>
        <v>13.38876</v>
      </c>
      <c r="J6" s="12">
        <f>E6+F6+I6+G6+H6</f>
        <v>92604.65676</v>
      </c>
      <c r="K6" s="48"/>
      <c r="L6" s="37"/>
      <c r="M6" s="47"/>
    </row>
    <row r="7" spans="1:13">
      <c r="A7" s="26">
        <v>45915</v>
      </c>
      <c r="B7" s="9" t="s">
        <v>3</v>
      </c>
      <c r="C7" s="10">
        <f>C6</f>
        <v>4000</v>
      </c>
      <c r="D7" s="31">
        <v>25.75</v>
      </c>
      <c r="E7" s="11">
        <f>C7*D7</f>
        <v>103000</v>
      </c>
      <c r="F7" s="32">
        <f>E7*0.002</f>
        <v>206</v>
      </c>
      <c r="G7" s="31">
        <f>E7*0.000068</f>
        <v>7.004</v>
      </c>
      <c r="H7" s="31">
        <f>E7*0.00001</f>
        <v>1.03</v>
      </c>
      <c r="I7" s="31">
        <f>(F7+G7+H7)*0.07</f>
        <v>14.98238</v>
      </c>
      <c r="J7" s="31">
        <f>E7-F7-G7-H7-I7</f>
        <v>102770.98362</v>
      </c>
      <c r="M7" s="5"/>
    </row>
    <row r="8" spans="1:13">
      <c r="A8" s="26" t="s">
        <v>4</v>
      </c>
      <c r="B8" s="35">
        <f>J8/J6</f>
        <v>0.109782026257575</v>
      </c>
      <c r="C8" s="10"/>
      <c r="D8" s="11"/>
      <c r="E8" s="12">
        <f>E7-E6</f>
        <v>10600</v>
      </c>
      <c r="F8" s="12"/>
      <c r="G8" s="12"/>
      <c r="H8" s="12"/>
      <c r="I8" s="12"/>
      <c r="J8" s="12">
        <f>J7-J6</f>
        <v>10166.32686</v>
      </c>
      <c r="M8" s="5"/>
    </row>
    <row r="9" spans="1:13">
      <c r="A9" s="26">
        <v>45085</v>
      </c>
      <c r="B9" s="9" t="s">
        <v>1</v>
      </c>
      <c r="C9" s="10">
        <v>4000</v>
      </c>
      <c r="D9" s="14">
        <v>24.9</v>
      </c>
      <c r="E9" s="12">
        <f>C9*D9</f>
        <v>99600</v>
      </c>
      <c r="F9" s="12">
        <f>E9*0.002</f>
        <v>199.2</v>
      </c>
      <c r="G9" s="12">
        <f>E9*0.00006</f>
        <v>5.976</v>
      </c>
      <c r="H9" s="12">
        <f>E9*0.00001</f>
        <v>0.996</v>
      </c>
      <c r="I9" s="12">
        <f>(F9+G9+H9)*0.07</f>
        <v>14.43204</v>
      </c>
      <c r="J9" s="12">
        <f>E9+F9+I9+G9+H9</f>
        <v>99820.60404</v>
      </c>
      <c r="M9" s="5"/>
    </row>
    <row r="10" spans="1:13">
      <c r="A10" s="42">
        <v>45915</v>
      </c>
      <c r="B10" s="1" t="s">
        <v>3</v>
      </c>
      <c r="C10" s="21">
        <f>C9</f>
        <v>4000</v>
      </c>
      <c r="D10" s="45">
        <v>30</v>
      </c>
      <c r="E10" s="37">
        <f>C10*D10</f>
        <v>120000</v>
      </c>
      <c r="F10" s="46">
        <f>E10*0.002</f>
        <v>240</v>
      </c>
      <c r="G10" s="45">
        <f>E10*0.000068</f>
        <v>8.16</v>
      </c>
      <c r="H10" s="45">
        <f>E10*0.00001</f>
        <v>1.2</v>
      </c>
      <c r="I10" s="45">
        <f>(F10+G10+H10)*0.07</f>
        <v>17.4552</v>
      </c>
      <c r="J10" s="45">
        <f>E10-F10-G10-H10-I10</f>
        <v>119733.1848</v>
      </c>
      <c r="M10" s="5"/>
    </row>
    <row r="11" spans="1:13">
      <c r="A11" s="42" t="s">
        <v>4</v>
      </c>
      <c r="B11" s="47">
        <f>J11/J9</f>
        <v>0.199483673250671</v>
      </c>
      <c r="C11" s="21"/>
      <c r="D11" s="37"/>
      <c r="E11" s="23">
        <f>E10-E9</f>
        <v>20400</v>
      </c>
      <c r="F11" s="23"/>
      <c r="G11" s="23"/>
      <c r="H11" s="23"/>
      <c r="I11" s="23"/>
      <c r="J11" s="23">
        <f>J10-J9</f>
        <v>19912.58076</v>
      </c>
      <c r="M11" s="5"/>
    </row>
  </sheetData>
  <sheetProtection selectLockedCells="1" selectUnlockedCells="1"/>
  <pageMargins left="0.7" right="0.7" top="0.75" bottom="0.75" header="0.511805555555556" footer="0.511805555555556"/>
  <pageSetup paperSize="9" firstPageNumber="0" orientation="portrait" useFirstPageNumber="1" horizontalDpi="300" verticalDpi="300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K18"/>
  <sheetViews>
    <sheetView topLeftCell="A3" workbookViewId="0">
      <selection activeCell="D14" sqref="D14"/>
    </sheetView>
  </sheetViews>
  <sheetFormatPr defaultColWidth="8.88888888888889" defaultRowHeight="13.8"/>
  <cols>
    <col min="1" max="1" width="10.1111111111111" style="40" customWidth="1"/>
    <col min="2" max="2" width="7.44444444444444" style="5" customWidth="1"/>
    <col min="3" max="3" width="6.66666666666667" style="5" customWidth="1"/>
    <col min="4" max="4" width="7.66666666666667" style="25" customWidth="1"/>
    <col min="5" max="5" width="11.1111111111111" style="5" customWidth="1"/>
    <col min="6" max="6" width="10" style="5" customWidth="1"/>
    <col min="7" max="7" width="6.66666666666667" style="5" customWidth="1"/>
    <col min="8" max="8" width="5.77777777777778" style="5" customWidth="1"/>
    <col min="9" max="9" width="7.88888888888889" style="5" customWidth="1"/>
    <col min="10" max="10" width="11.1111111111111" style="5" customWidth="1"/>
    <col min="11" max="16384" width="8.88888888888889" style="5"/>
  </cols>
  <sheetData>
    <row r="1" spans="2:2">
      <c r="B1" s="40" t="s">
        <v>43</v>
      </c>
    </row>
    <row r="2" s="39" customFormat="1" ht="15.6" spans="1:10">
      <c r="A2" s="26">
        <v>44466</v>
      </c>
      <c r="B2" s="9" t="s">
        <v>1</v>
      </c>
      <c r="C2" s="10">
        <v>10000</v>
      </c>
      <c r="D2" s="14">
        <v>9.1</v>
      </c>
      <c r="E2" s="12">
        <f>C2*D2</f>
        <v>91000</v>
      </c>
      <c r="F2" s="12">
        <f>E2*0.002</f>
        <v>182</v>
      </c>
      <c r="G2" s="12">
        <f>E2*0.00006</f>
        <v>5.46</v>
      </c>
      <c r="H2" s="12">
        <f>E2*0.00001</f>
        <v>0.91</v>
      </c>
      <c r="I2" s="12">
        <f>(F2+G2+H2)*0.07</f>
        <v>13.1859</v>
      </c>
      <c r="J2" s="12">
        <f>E2+F2+I2+G2+H2</f>
        <v>91201.5559</v>
      </c>
    </row>
    <row r="3" spans="1:10">
      <c r="A3" s="13">
        <v>44544</v>
      </c>
      <c r="B3" s="9" t="s">
        <v>1</v>
      </c>
      <c r="C3" s="10">
        <v>10000</v>
      </c>
      <c r="D3" s="14">
        <v>8.9</v>
      </c>
      <c r="E3" s="12">
        <f>C3*D3</f>
        <v>89000</v>
      </c>
      <c r="F3" s="12">
        <f>E3*0.002</f>
        <v>178</v>
      </c>
      <c r="G3" s="12">
        <f>E3*0.000068</f>
        <v>6.052</v>
      </c>
      <c r="H3" s="12">
        <f>E3*0.00001</f>
        <v>0.89</v>
      </c>
      <c r="I3" s="12">
        <f>(F3+G3+H3)*0.07</f>
        <v>12.94594</v>
      </c>
      <c r="J3" s="12">
        <f>E3+F3+I3+G3+H3</f>
        <v>89197.88794</v>
      </c>
    </row>
    <row r="4" spans="1:11">
      <c r="A4" s="15"/>
      <c r="B4" s="16">
        <f>(D3-D2)/D2</f>
        <v>-0.0219780219780219</v>
      </c>
      <c r="C4" s="17">
        <f>SUM(C2:C3)</f>
        <v>20000</v>
      </c>
      <c r="D4" s="18">
        <f>E4/C4</f>
        <v>9</v>
      </c>
      <c r="E4" s="19">
        <f t="shared" ref="E4:J4" si="0">SUM(E2:E3)</f>
        <v>180000</v>
      </c>
      <c r="F4" s="17">
        <f t="shared" si="0"/>
        <v>360</v>
      </c>
      <c r="G4" s="17">
        <f t="shared" si="0"/>
        <v>11.512</v>
      </c>
      <c r="H4" s="17">
        <f t="shared" si="0"/>
        <v>1.8</v>
      </c>
      <c r="I4" s="17">
        <f t="shared" si="0"/>
        <v>26.13184</v>
      </c>
      <c r="J4" s="17">
        <f t="shared" si="0"/>
        <v>180399.44384</v>
      </c>
      <c r="K4" s="7"/>
    </row>
    <row r="5" spans="1:10">
      <c r="A5" s="13">
        <v>44546</v>
      </c>
      <c r="B5" s="9" t="s">
        <v>1</v>
      </c>
      <c r="C5" s="10">
        <v>5100</v>
      </c>
      <c r="D5" s="14">
        <v>8.85</v>
      </c>
      <c r="E5" s="12">
        <f>C5*D5</f>
        <v>45135</v>
      </c>
      <c r="F5" s="12">
        <f>E5*0.002</f>
        <v>90.27</v>
      </c>
      <c r="G5" s="12">
        <f>E5*0.000068</f>
        <v>3.06918</v>
      </c>
      <c r="H5" s="12">
        <f>E5*0.00001</f>
        <v>0.45135</v>
      </c>
      <c r="I5" s="12">
        <f>(F5+G5+H5)*0.07</f>
        <v>6.5653371</v>
      </c>
      <c r="J5" s="12">
        <f>E5+F5+I5+G5+H5</f>
        <v>45235.3558671</v>
      </c>
    </row>
    <row r="6" spans="1:11">
      <c r="A6" s="15"/>
      <c r="B6" s="16">
        <f>(D5-D4)/D4</f>
        <v>-0.0166666666666667</v>
      </c>
      <c r="C6" s="17">
        <f>SUM(C4:C5)</f>
        <v>25100</v>
      </c>
      <c r="D6" s="18">
        <f>E6/C6</f>
        <v>8.9695219123506</v>
      </c>
      <c r="E6" s="19">
        <f t="shared" ref="E6:J6" si="1">SUM(E4:E5)</f>
        <v>225135</v>
      </c>
      <c r="F6" s="17">
        <f t="shared" si="1"/>
        <v>450.27</v>
      </c>
      <c r="G6" s="17">
        <f t="shared" si="1"/>
        <v>14.58118</v>
      </c>
      <c r="H6" s="17">
        <f t="shared" si="1"/>
        <v>2.25135</v>
      </c>
      <c r="I6" s="17">
        <f t="shared" si="1"/>
        <v>32.6971771</v>
      </c>
      <c r="J6" s="17">
        <f t="shared" si="1"/>
        <v>225634.7997071</v>
      </c>
      <c r="K6" s="7"/>
    </row>
    <row r="7" spans="1:10">
      <c r="A7" s="13">
        <v>44547</v>
      </c>
      <c r="B7" s="9" t="s">
        <v>1</v>
      </c>
      <c r="C7" s="10">
        <v>4900</v>
      </c>
      <c r="D7" s="14">
        <v>8.85</v>
      </c>
      <c r="E7" s="12">
        <f>C7*D7</f>
        <v>43365</v>
      </c>
      <c r="F7" s="12">
        <f>E7*0.002</f>
        <v>86.73</v>
      </c>
      <c r="G7" s="12">
        <f>E7*0.000068</f>
        <v>2.94882</v>
      </c>
      <c r="H7" s="12">
        <f>E7*0.00001</f>
        <v>0.43365</v>
      </c>
      <c r="I7" s="12">
        <f>(F7+G7+H7)*0.07</f>
        <v>6.3078729</v>
      </c>
      <c r="J7" s="12">
        <f>E7+F7+I7+G7+H7</f>
        <v>43461.4203429</v>
      </c>
    </row>
    <row r="8" spans="1:11">
      <c r="A8" s="15"/>
      <c r="B8" s="16">
        <f>(D7-D6)/D6</f>
        <v>-0.013325338130455</v>
      </c>
      <c r="C8" s="17">
        <f>SUM(C6:C7)</f>
        <v>30000</v>
      </c>
      <c r="D8" s="18">
        <f>E8/C8</f>
        <v>8.95</v>
      </c>
      <c r="E8" s="19">
        <f t="shared" ref="E8:J8" si="2">SUM(E6:E7)</f>
        <v>268500</v>
      </c>
      <c r="F8" s="17">
        <f t="shared" si="2"/>
        <v>537</v>
      </c>
      <c r="G8" s="17">
        <f t="shared" si="2"/>
        <v>17.53</v>
      </c>
      <c r="H8" s="17">
        <f t="shared" si="2"/>
        <v>2.685</v>
      </c>
      <c r="I8" s="17">
        <f t="shared" si="2"/>
        <v>39.00505</v>
      </c>
      <c r="J8" s="17">
        <f t="shared" si="2"/>
        <v>269096.22005</v>
      </c>
      <c r="K8" s="7"/>
    </row>
    <row r="9" spans="1:10">
      <c r="A9" s="13">
        <v>44620</v>
      </c>
      <c r="B9" s="9" t="s">
        <v>1</v>
      </c>
      <c r="C9" s="10">
        <v>10000</v>
      </c>
      <c r="D9" s="14">
        <v>8.95</v>
      </c>
      <c r="E9" s="12">
        <f>C9*D9</f>
        <v>89500</v>
      </c>
      <c r="F9" s="12">
        <f>E9*0.002</f>
        <v>179</v>
      </c>
      <c r="G9" s="12">
        <f>E9*0.000068</f>
        <v>6.086</v>
      </c>
      <c r="H9" s="12">
        <f>E9*0.00001</f>
        <v>0.895</v>
      </c>
      <c r="I9" s="12">
        <f>(F9+G9+H9)*0.07</f>
        <v>13.01867</v>
      </c>
      <c r="J9" s="12">
        <f>E9+F9+I9+G9+H9</f>
        <v>89698.99967</v>
      </c>
    </row>
    <row r="10" spans="1:11">
      <c r="A10" s="15"/>
      <c r="B10" s="16">
        <f>(D9-D8)/D8</f>
        <v>0</v>
      </c>
      <c r="C10" s="17">
        <f>SUM(C8:C9)</f>
        <v>40000</v>
      </c>
      <c r="D10" s="18">
        <f>E10/C10</f>
        <v>8.95</v>
      </c>
      <c r="E10" s="19">
        <f t="shared" ref="E10:J10" si="3">SUM(E8:E9)</f>
        <v>358000</v>
      </c>
      <c r="F10" s="17">
        <f t="shared" si="3"/>
        <v>716</v>
      </c>
      <c r="G10" s="17">
        <f t="shared" si="3"/>
        <v>23.616</v>
      </c>
      <c r="H10" s="17">
        <f t="shared" si="3"/>
        <v>3.58</v>
      </c>
      <c r="I10" s="17">
        <f t="shared" si="3"/>
        <v>52.02372</v>
      </c>
      <c r="J10" s="17">
        <f t="shared" si="3"/>
        <v>358795.21972</v>
      </c>
      <c r="K10" s="7"/>
    </row>
    <row r="11" spans="1:10">
      <c r="A11" s="13">
        <v>44956</v>
      </c>
      <c r="B11" s="9" t="s">
        <v>1</v>
      </c>
      <c r="C11" s="10">
        <v>10000</v>
      </c>
      <c r="D11" s="14">
        <v>7.7</v>
      </c>
      <c r="E11" s="12">
        <f>C11*D11</f>
        <v>77000</v>
      </c>
      <c r="F11" s="12">
        <f>E11*0.002</f>
        <v>154</v>
      </c>
      <c r="G11" s="12">
        <f>E11*0.000068</f>
        <v>5.236</v>
      </c>
      <c r="H11" s="12">
        <f>E11*0.00001</f>
        <v>0.77</v>
      </c>
      <c r="I11" s="12">
        <f>(F11+G11+H11)*0.07</f>
        <v>11.20042</v>
      </c>
      <c r="J11" s="12">
        <f>E11+F11+I11+G11+H11</f>
        <v>77171.20642</v>
      </c>
    </row>
    <row r="12" spans="1:11">
      <c r="A12" s="15"/>
      <c r="B12" s="16">
        <f>(D11-D10)/D10</f>
        <v>-0.139664804469274</v>
      </c>
      <c r="C12" s="17">
        <f>C10+C11</f>
        <v>50000</v>
      </c>
      <c r="D12" s="18">
        <f>E12/C12</f>
        <v>8.7</v>
      </c>
      <c r="E12" s="17">
        <f t="shared" ref="E12:J12" si="4">E10+E11</f>
        <v>435000</v>
      </c>
      <c r="F12" s="17">
        <f t="shared" si="4"/>
        <v>870</v>
      </c>
      <c r="G12" s="17">
        <f t="shared" si="4"/>
        <v>28.852</v>
      </c>
      <c r="H12" s="17">
        <f t="shared" si="4"/>
        <v>4.35</v>
      </c>
      <c r="I12" s="17">
        <f t="shared" si="4"/>
        <v>63.22414</v>
      </c>
      <c r="J12" s="17">
        <f t="shared" si="4"/>
        <v>435966.42614</v>
      </c>
      <c r="K12" s="7"/>
    </row>
    <row r="13" spans="1:10">
      <c r="A13" s="20">
        <v>45793</v>
      </c>
      <c r="B13" s="1" t="s">
        <v>1</v>
      </c>
      <c r="C13" s="21">
        <v>5000</v>
      </c>
      <c r="D13" s="22">
        <v>7.05</v>
      </c>
      <c r="E13" s="23">
        <f>C13*D13</f>
        <v>35250</v>
      </c>
      <c r="F13" s="23">
        <f>E13*0.002</f>
        <v>70.5</v>
      </c>
      <c r="G13" s="23">
        <f>E13*0.000068</f>
        <v>2.397</v>
      </c>
      <c r="H13" s="23">
        <f>E13*0.00001</f>
        <v>0.3525</v>
      </c>
      <c r="I13" s="23">
        <f>(F13+G13+H13)*0.07</f>
        <v>5.127465</v>
      </c>
      <c r="J13" s="23">
        <f>E13+F13+I13+G13+H13</f>
        <v>35328.376965</v>
      </c>
    </row>
    <row r="14" spans="1:11">
      <c r="A14" s="24"/>
      <c r="B14" s="16">
        <f>(D13-D12)/D12</f>
        <v>-0.189655172413793</v>
      </c>
      <c r="C14" s="17">
        <f>C12+C13</f>
        <v>55000</v>
      </c>
      <c r="D14" s="25">
        <f>E14/C14</f>
        <v>8.55</v>
      </c>
      <c r="E14" s="6">
        <f t="shared" ref="E14:J14" si="5">E12+E13</f>
        <v>470250</v>
      </c>
      <c r="F14" s="6">
        <f t="shared" si="5"/>
        <v>940.5</v>
      </c>
      <c r="G14" s="6">
        <f t="shared" si="5"/>
        <v>31.249</v>
      </c>
      <c r="H14" s="6">
        <f t="shared" si="5"/>
        <v>4.7025</v>
      </c>
      <c r="I14" s="6">
        <f t="shared" si="5"/>
        <v>68.351605</v>
      </c>
      <c r="J14" s="6">
        <f t="shared" si="5"/>
        <v>471294.803105</v>
      </c>
      <c r="K14" s="7"/>
    </row>
    <row r="16" spans="1:10">
      <c r="A16" s="13">
        <v>45793</v>
      </c>
      <c r="B16" s="9" t="s">
        <v>1</v>
      </c>
      <c r="C16" s="10">
        <v>10000</v>
      </c>
      <c r="D16" s="14">
        <v>4.7</v>
      </c>
      <c r="E16" s="12">
        <f>C16*D16</f>
        <v>47000</v>
      </c>
      <c r="F16" s="12">
        <f>E16*0.002</f>
        <v>94</v>
      </c>
      <c r="G16" s="12">
        <f>E16*0.000068</f>
        <v>3.196</v>
      </c>
      <c r="H16" s="12">
        <f>E16*0.00001</f>
        <v>0.47</v>
      </c>
      <c r="I16" s="12">
        <f>(F16+G16+H16)*0.07</f>
        <v>6.83662</v>
      </c>
      <c r="J16" s="12">
        <f>E16+F16+I16+G16+H16</f>
        <v>47104.50262</v>
      </c>
    </row>
    <row r="17" spans="1:10">
      <c r="A17" s="26">
        <v>45868</v>
      </c>
      <c r="B17" s="9" t="s">
        <v>3</v>
      </c>
      <c r="C17" s="10">
        <f>C16</f>
        <v>10000</v>
      </c>
      <c r="D17" s="31">
        <v>5.5</v>
      </c>
      <c r="E17" s="11">
        <f>C17*D17</f>
        <v>55000</v>
      </c>
      <c r="F17" s="32">
        <f>E17*0.002</f>
        <v>110</v>
      </c>
      <c r="G17" s="31">
        <f>E17*0.000068</f>
        <v>3.74</v>
      </c>
      <c r="H17" s="31">
        <f>E17*0.00001</f>
        <v>0.55</v>
      </c>
      <c r="I17" s="31">
        <f>(F17+G17+H17)*0.07</f>
        <v>8.0003</v>
      </c>
      <c r="J17" s="31">
        <f>E17-F17-G17-H17-I17</f>
        <v>54877.7097</v>
      </c>
    </row>
    <row r="18" spans="1:10">
      <c r="A18" s="26" t="s">
        <v>4</v>
      </c>
      <c r="B18" s="9"/>
      <c r="C18" s="10"/>
      <c r="D18" s="11"/>
      <c r="E18" s="12">
        <f>E17-E16</f>
        <v>8000</v>
      </c>
      <c r="F18" s="12">
        <f t="shared" ref="F18:J18" si="6">F17-F16</f>
        <v>16</v>
      </c>
      <c r="G18" s="12">
        <f t="shared" si="6"/>
        <v>0.544</v>
      </c>
      <c r="H18" s="12">
        <f t="shared" si="6"/>
        <v>0.08</v>
      </c>
      <c r="I18" s="12">
        <f t="shared" si="6"/>
        <v>1.16368</v>
      </c>
      <c r="J18" s="12">
        <f t="shared" si="6"/>
        <v>7773.20707999999</v>
      </c>
    </row>
  </sheetData>
  <sheetProtection selectLockedCells="1" selectUnlockedCells="1"/>
  <pageMargins left="0.7" right="0.7" top="0.75" bottom="0.75" header="0.511805555555556" footer="0.511805555555556"/>
  <pageSetup paperSize="9" firstPageNumber="0" orientation="portrait" useFirstPageNumber="1" horizontalDpi="300" verticalDpi="300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N22"/>
  <sheetViews>
    <sheetView workbookViewId="0">
      <selection activeCell="D6" sqref="D6"/>
    </sheetView>
  </sheetViews>
  <sheetFormatPr defaultColWidth="8.88888888888889" defaultRowHeight="13.8"/>
  <cols>
    <col min="1" max="1" width="10.6666666666667" style="4" customWidth="1"/>
    <col min="2" max="2" width="7.44444444444444" style="5" customWidth="1"/>
    <col min="3" max="3" width="6.44444444444444" style="6" customWidth="1"/>
    <col min="4" max="4" width="7.66666666666667" style="5" customWidth="1"/>
    <col min="5" max="5" width="11.1111111111111" style="5" customWidth="1"/>
    <col min="6" max="6" width="8.55555555555556" style="5" customWidth="1"/>
    <col min="7" max="7" width="5.55555555555556" style="5" customWidth="1"/>
    <col min="8" max="8" width="5.77777777777778" style="5" customWidth="1"/>
    <col min="9" max="9" width="6.77777777777778" style="5" customWidth="1"/>
    <col min="10" max="10" width="11" style="5" customWidth="1"/>
    <col min="11" max="11" width="18" style="5" customWidth="1"/>
    <col min="12" max="12" width="8.88888888888889" style="5"/>
    <col min="13" max="13" width="8.88888888888889" style="7"/>
    <col min="14" max="16384" width="8.88888888888889" style="5"/>
  </cols>
  <sheetData>
    <row r="1" spans="2:2">
      <c r="B1" s="5" t="s">
        <v>44</v>
      </c>
    </row>
    <row r="2" s="1" customFormat="1" spans="1:13">
      <c r="A2" s="8">
        <v>44566</v>
      </c>
      <c r="B2" s="9" t="s">
        <v>1</v>
      </c>
      <c r="C2" s="10">
        <v>10000</v>
      </c>
      <c r="D2" s="11">
        <v>12.5</v>
      </c>
      <c r="E2" s="12">
        <f>C2*D2</f>
        <v>125000</v>
      </c>
      <c r="F2" s="12">
        <f>E2*0.002</f>
        <v>250</v>
      </c>
      <c r="G2" s="12">
        <f>E2*0.00006</f>
        <v>7.5</v>
      </c>
      <c r="H2" s="12">
        <f>E2*0.00001</f>
        <v>1.25</v>
      </c>
      <c r="I2" s="12">
        <f>(F2+G2+H2)*0.07</f>
        <v>18.1125</v>
      </c>
      <c r="J2" s="12">
        <f>E2+F2+I2+G2+H2</f>
        <v>125276.8625</v>
      </c>
      <c r="K2" s="30"/>
      <c r="L2" s="11"/>
      <c r="M2" s="35"/>
    </row>
    <row r="3" spans="1:13">
      <c r="A3" s="13">
        <v>44627</v>
      </c>
      <c r="B3" s="9" t="s">
        <v>1</v>
      </c>
      <c r="C3" s="10">
        <v>10000</v>
      </c>
      <c r="D3" s="14">
        <v>12.1</v>
      </c>
      <c r="E3" s="12">
        <f>C3*D3</f>
        <v>121000</v>
      </c>
      <c r="F3" s="12">
        <f>E3*0.002</f>
        <v>242</v>
      </c>
      <c r="G3" s="12">
        <f>E3*0.000068</f>
        <v>8.228</v>
      </c>
      <c r="H3" s="12">
        <f>E3*0.00001</f>
        <v>1.21</v>
      </c>
      <c r="I3" s="12">
        <f>(F3+G3+H3)*0.07</f>
        <v>17.60066</v>
      </c>
      <c r="J3" s="12">
        <f>E3+F3+I3+G3+H3</f>
        <v>121269.03866</v>
      </c>
      <c r="M3" s="5"/>
    </row>
    <row r="4" spans="1:13">
      <c r="A4" s="15"/>
      <c r="B4" s="16">
        <f>(D3-D2)/D2</f>
        <v>-0.032</v>
      </c>
      <c r="C4" s="17">
        <f>SUM(C2:C3)</f>
        <v>20000</v>
      </c>
      <c r="D4" s="18">
        <f>E4/C4</f>
        <v>12.3</v>
      </c>
      <c r="E4" s="19">
        <f t="shared" ref="E4:J4" si="0">SUM(E2:E3)</f>
        <v>246000</v>
      </c>
      <c r="F4" s="17">
        <f t="shared" si="0"/>
        <v>492</v>
      </c>
      <c r="G4" s="17">
        <f t="shared" si="0"/>
        <v>15.728</v>
      </c>
      <c r="H4" s="17">
        <f t="shared" si="0"/>
        <v>2.46</v>
      </c>
      <c r="I4" s="17">
        <f t="shared" si="0"/>
        <v>35.71316</v>
      </c>
      <c r="J4" s="17">
        <f t="shared" si="0"/>
        <v>246545.90116</v>
      </c>
      <c r="K4" s="7"/>
      <c r="M4" s="5"/>
    </row>
    <row r="5" spans="1:13">
      <c r="A5" s="20">
        <v>45846</v>
      </c>
      <c r="B5" s="1" t="s">
        <v>1</v>
      </c>
      <c r="C5" s="21">
        <v>5000</v>
      </c>
      <c r="D5" s="22">
        <v>9.8</v>
      </c>
      <c r="E5" s="23">
        <f>C5*D5</f>
        <v>49000</v>
      </c>
      <c r="F5" s="23">
        <f>E5*0.002</f>
        <v>98</v>
      </c>
      <c r="G5" s="23">
        <f>E5*0.000068</f>
        <v>3.332</v>
      </c>
      <c r="H5" s="23">
        <f>E5*0.00001</f>
        <v>0.49</v>
      </c>
      <c r="I5" s="23">
        <f>(F5+G5+H5)*0.07</f>
        <v>7.12754</v>
      </c>
      <c r="J5" s="23">
        <f>E5+F5+I5+G5+H5</f>
        <v>49108.94954</v>
      </c>
      <c r="M5" s="5"/>
    </row>
    <row r="6" s="2" customFormat="1" ht="21" spans="1:14">
      <c r="A6" s="24"/>
      <c r="B6" s="16" t="e">
        <f>(D5-#REF!)/#REF!</f>
        <v>#REF!</v>
      </c>
      <c r="C6" s="6">
        <f>SUM(C4:C5)</f>
        <v>25000</v>
      </c>
      <c r="D6" s="25">
        <f>E6/C6</f>
        <v>11.8</v>
      </c>
      <c r="E6" s="6">
        <f t="shared" ref="E6:J6" si="1">SUM(E4:E5)</f>
        <v>295000</v>
      </c>
      <c r="F6" s="6">
        <f t="shared" si="1"/>
        <v>590</v>
      </c>
      <c r="G6" s="6">
        <f t="shared" si="1"/>
        <v>19.06</v>
      </c>
      <c r="H6" s="6">
        <f t="shared" si="1"/>
        <v>2.95</v>
      </c>
      <c r="I6" s="6">
        <f t="shared" si="1"/>
        <v>42.8407</v>
      </c>
      <c r="J6" s="6">
        <f t="shared" si="1"/>
        <v>295654.8507</v>
      </c>
      <c r="K6" s="7"/>
      <c r="L6" s="5"/>
      <c r="M6" s="5"/>
      <c r="N6" s="5"/>
    </row>
    <row r="7" spans="1:13">
      <c r="A7" s="13"/>
      <c r="B7" s="9"/>
      <c r="C7" s="10"/>
      <c r="D7" s="14"/>
      <c r="E7" s="12"/>
      <c r="F7" s="12"/>
      <c r="G7" s="12"/>
      <c r="H7" s="12"/>
      <c r="I7" s="12"/>
      <c r="J7" s="12"/>
      <c r="M7" s="5"/>
    </row>
    <row r="8" s="3" customFormat="1" ht="20.4" spans="1:14">
      <c r="A8" s="26">
        <v>45524</v>
      </c>
      <c r="B8" s="27"/>
      <c r="C8" s="10">
        <v>5000</v>
      </c>
      <c r="D8" s="28">
        <v>0.193</v>
      </c>
      <c r="E8" s="29"/>
      <c r="F8" s="30"/>
      <c r="G8" s="29"/>
      <c r="H8" s="11"/>
      <c r="I8" s="36">
        <v>965</v>
      </c>
      <c r="J8" s="36">
        <v>868.5</v>
      </c>
      <c r="K8" s="37"/>
      <c r="L8" s="1"/>
      <c r="M8" s="37"/>
      <c r="N8" s="37"/>
    </row>
    <row r="9" s="3" customFormat="1" spans="1:14">
      <c r="A9" s="26">
        <v>44956</v>
      </c>
      <c r="B9" s="9" t="s">
        <v>1</v>
      </c>
      <c r="C9" s="10">
        <v>5000</v>
      </c>
      <c r="D9" s="14">
        <v>8.6</v>
      </c>
      <c r="E9" s="12">
        <v>43000</v>
      </c>
      <c r="F9" s="12">
        <v>86</v>
      </c>
      <c r="G9" s="12">
        <v>2.58</v>
      </c>
      <c r="H9" s="12">
        <v>0.43</v>
      </c>
      <c r="I9" s="12">
        <v>6.2307</v>
      </c>
      <c r="J9" s="12">
        <v>43095.2407</v>
      </c>
      <c r="K9" s="5"/>
      <c r="L9" s="5"/>
      <c r="M9" s="5"/>
      <c r="N9" s="5"/>
    </row>
    <row r="10" spans="1:13">
      <c r="A10" s="26">
        <v>45525</v>
      </c>
      <c r="B10" s="9" t="s">
        <v>3</v>
      </c>
      <c r="C10" s="10">
        <v>5000</v>
      </c>
      <c r="D10" s="31">
        <v>10.1</v>
      </c>
      <c r="E10" s="11">
        <v>50500</v>
      </c>
      <c r="F10" s="32">
        <v>101</v>
      </c>
      <c r="G10" s="31">
        <v>3.434</v>
      </c>
      <c r="H10" s="31">
        <v>0.505</v>
      </c>
      <c r="I10" s="31">
        <v>7.34573</v>
      </c>
      <c r="J10" s="31">
        <v>50387.71527</v>
      </c>
      <c r="M10" s="5"/>
    </row>
    <row r="11" spans="1:13">
      <c r="A11" s="26"/>
      <c r="B11" s="9"/>
      <c r="C11" s="10"/>
      <c r="D11" s="31"/>
      <c r="E11" s="11"/>
      <c r="F11" s="32"/>
      <c r="G11" s="31"/>
      <c r="H11" s="31"/>
      <c r="I11" s="31"/>
      <c r="J11" s="31"/>
      <c r="M11" s="5"/>
    </row>
    <row r="12" spans="1:13">
      <c r="A12" s="26" t="s">
        <v>4</v>
      </c>
      <c r="B12" s="9"/>
      <c r="C12" s="10"/>
      <c r="D12" s="11"/>
      <c r="E12" s="12">
        <v>7500</v>
      </c>
      <c r="F12" s="12"/>
      <c r="G12" s="12"/>
      <c r="H12" s="12"/>
      <c r="I12" s="12"/>
      <c r="J12" s="12">
        <v>7292.47457</v>
      </c>
      <c r="M12" s="5"/>
    </row>
    <row r="13" spans="1:13">
      <c r="A13" s="33"/>
      <c r="B13" s="3"/>
      <c r="C13" s="17"/>
      <c r="D13" s="18"/>
      <c r="E13" s="3"/>
      <c r="F13" s="3"/>
      <c r="G13" s="3"/>
      <c r="H13" s="3"/>
      <c r="I13" s="3"/>
      <c r="J13" s="38">
        <v>8160.97457</v>
      </c>
      <c r="M13" s="5"/>
    </row>
    <row r="14" ht="20.4" spans="1:14">
      <c r="A14" s="26">
        <v>45524</v>
      </c>
      <c r="B14" s="27"/>
      <c r="C14" s="10">
        <v>5000</v>
      </c>
      <c r="D14" s="28">
        <v>0.193</v>
      </c>
      <c r="E14" s="29"/>
      <c r="F14" s="30"/>
      <c r="G14" s="29"/>
      <c r="H14" s="11"/>
      <c r="I14" s="36">
        <v>965</v>
      </c>
      <c r="J14" s="36">
        <v>868.5</v>
      </c>
      <c r="K14" s="37"/>
      <c r="L14" s="1"/>
      <c r="M14" s="37"/>
      <c r="N14" s="37"/>
    </row>
    <row r="15" spans="1:13">
      <c r="A15" s="13">
        <v>45436</v>
      </c>
      <c r="B15" s="9" t="s">
        <v>1</v>
      </c>
      <c r="C15" s="10">
        <v>5000</v>
      </c>
      <c r="D15" s="34">
        <v>8.8</v>
      </c>
      <c r="E15" s="12">
        <v>44000</v>
      </c>
      <c r="F15" s="12">
        <v>88</v>
      </c>
      <c r="G15" s="12">
        <v>2.992</v>
      </c>
      <c r="H15" s="12">
        <v>0.44</v>
      </c>
      <c r="I15" s="12">
        <v>6.40024</v>
      </c>
      <c r="J15" s="12">
        <v>44097.83224</v>
      </c>
      <c r="M15" s="5"/>
    </row>
    <row r="16" spans="1:13">
      <c r="A16" s="26">
        <v>45530</v>
      </c>
      <c r="B16" s="9" t="s">
        <v>3</v>
      </c>
      <c r="C16" s="10">
        <v>5000</v>
      </c>
      <c r="D16" s="31">
        <v>10.3</v>
      </c>
      <c r="E16" s="11">
        <v>51500</v>
      </c>
      <c r="F16" s="32">
        <v>103</v>
      </c>
      <c r="G16" s="31">
        <v>3.502</v>
      </c>
      <c r="H16" s="31">
        <v>0.515</v>
      </c>
      <c r="I16" s="31">
        <v>7.49119</v>
      </c>
      <c r="J16" s="31">
        <v>51385.49181</v>
      </c>
      <c r="M16" s="5"/>
    </row>
    <row r="17" spans="1:13">
      <c r="A17" s="26"/>
      <c r="B17" s="35">
        <v>0.170454545454545</v>
      </c>
      <c r="C17" s="10"/>
      <c r="D17" s="31"/>
      <c r="E17" s="11"/>
      <c r="F17" s="32"/>
      <c r="G17" s="31"/>
      <c r="H17" s="31"/>
      <c r="I17" s="31"/>
      <c r="J17" s="31"/>
      <c r="M17" s="5"/>
    </row>
    <row r="18" spans="1:13">
      <c r="A18" s="26" t="s">
        <v>4</v>
      </c>
      <c r="B18" s="9"/>
      <c r="C18" s="10"/>
      <c r="D18" s="11"/>
      <c r="E18" s="12">
        <v>7500</v>
      </c>
      <c r="F18" s="12"/>
      <c r="G18" s="12"/>
      <c r="H18" s="12"/>
      <c r="I18" s="12"/>
      <c r="J18" s="12">
        <v>7287.65957</v>
      </c>
      <c r="M18" s="5"/>
    </row>
    <row r="19" spans="1:13">
      <c r="A19" s="33"/>
      <c r="B19" s="3"/>
      <c r="C19" s="17"/>
      <c r="D19" s="18"/>
      <c r="E19" s="3"/>
      <c r="F19" s="3"/>
      <c r="G19" s="3"/>
      <c r="H19" s="3"/>
      <c r="I19" s="3"/>
      <c r="J19" s="38">
        <v>8156.15957</v>
      </c>
      <c r="M19" s="5"/>
    </row>
    <row r="20" spans="1:13">
      <c r="A20" s="13">
        <v>45846</v>
      </c>
      <c r="B20" s="9" t="s">
        <v>1</v>
      </c>
      <c r="C20" s="10">
        <v>5000</v>
      </c>
      <c r="D20" s="14">
        <v>8.8</v>
      </c>
      <c r="E20" s="12">
        <f>C20*D20</f>
        <v>44000</v>
      </c>
      <c r="F20" s="12">
        <f>E20*0.002</f>
        <v>88</v>
      </c>
      <c r="G20" s="12">
        <f>E20*0.000068</f>
        <v>2.992</v>
      </c>
      <c r="H20" s="12">
        <f>E20*0.00001</f>
        <v>0.44</v>
      </c>
      <c r="I20" s="12">
        <f>(F20+G20+H20)*0.07</f>
        <v>6.40024</v>
      </c>
      <c r="J20" s="12">
        <f>E20+F20+I20+G20+H20</f>
        <v>44097.83224</v>
      </c>
      <c r="M20" s="5"/>
    </row>
    <row r="21" spans="1:13">
      <c r="A21" s="26">
        <v>45915</v>
      </c>
      <c r="B21" s="9" t="s">
        <v>3</v>
      </c>
      <c r="C21" s="10">
        <v>5000</v>
      </c>
      <c r="D21" s="31">
        <v>9.7</v>
      </c>
      <c r="E21" s="11">
        <f>C21*D21</f>
        <v>48500</v>
      </c>
      <c r="F21" s="32">
        <f>E21*0.002</f>
        <v>97</v>
      </c>
      <c r="G21" s="31">
        <f>E21*0.000068</f>
        <v>3.298</v>
      </c>
      <c r="H21" s="31">
        <f>E21*0.00001</f>
        <v>0.485</v>
      </c>
      <c r="I21" s="31">
        <f>(F21+G21+H21)*0.07</f>
        <v>7.05481</v>
      </c>
      <c r="J21" s="31">
        <f>E21-F21-G21-H21-I21</f>
        <v>48392.16219</v>
      </c>
      <c r="M21" s="5"/>
    </row>
    <row r="22" spans="5:10">
      <c r="E22" s="12">
        <f>E21-E20</f>
        <v>4500</v>
      </c>
      <c r="F22" s="12">
        <f t="shared" ref="F22:J22" si="2">F21-F20</f>
        <v>9</v>
      </c>
      <c r="G22" s="12">
        <f t="shared" si="2"/>
        <v>0.306</v>
      </c>
      <c r="H22" s="12">
        <f t="shared" si="2"/>
        <v>0.045</v>
      </c>
      <c r="I22" s="12">
        <f t="shared" si="2"/>
        <v>0.65457</v>
      </c>
      <c r="J22" s="12">
        <f t="shared" si="2"/>
        <v>4294.32994999999</v>
      </c>
    </row>
  </sheetData>
  <sheetProtection selectLockedCells="1" selectUnlockedCells="1"/>
  <pageMargins left="0.7" right="0.7" top="0.75" bottom="0.75" header="0.511805555555556" footer="0.511805555555556"/>
  <pageSetup paperSize="9" firstPageNumber="0" orientation="portrait" useFirstPageNumber="1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31</vt:i4>
      </vt:variant>
    </vt:vector>
  </HeadingPairs>
  <TitlesOfParts>
    <vt:vector size="31" baseType="lpstr">
      <vt:lpstr>PTTGC</vt:lpstr>
      <vt:lpstr>STA (2)</vt:lpstr>
      <vt:lpstr>STA</vt:lpstr>
      <vt:lpstr>3BBIF</vt:lpstr>
      <vt:lpstr>ADVANC</vt:lpstr>
      <vt:lpstr>AH</vt:lpstr>
      <vt:lpstr>AIMIRT</vt:lpstr>
      <vt:lpstr>AWC</vt:lpstr>
      <vt:lpstr>BCH</vt:lpstr>
      <vt:lpstr>CPF</vt:lpstr>
      <vt:lpstr>CPNREIT</vt:lpstr>
      <vt:lpstr>DIF</vt:lpstr>
      <vt:lpstr>GVREIT</vt:lpstr>
      <vt:lpstr>IVL</vt:lpstr>
      <vt:lpstr>JMART</vt:lpstr>
      <vt:lpstr>JMT</vt:lpstr>
      <vt:lpstr>MCS</vt:lpstr>
      <vt:lpstr>NER</vt:lpstr>
      <vt:lpstr>ORI</vt:lpstr>
      <vt:lpstr>PROSPECT</vt:lpstr>
      <vt:lpstr>PTG</vt:lpstr>
      <vt:lpstr>PTT</vt:lpstr>
      <vt:lpstr>RCL</vt:lpstr>
      <vt:lpstr>SENA</vt:lpstr>
      <vt:lpstr>SINGER</vt:lpstr>
      <vt:lpstr>SYNEX</vt:lpstr>
      <vt:lpstr>TFFIF</vt:lpstr>
      <vt:lpstr>TOA</vt:lpstr>
      <vt:lpstr>TVO</vt:lpstr>
      <vt:lpstr>WHAIR</vt:lpstr>
      <vt:lpstr>WHART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2020-07-14T06:54:00Z</dcterms:created>
  <dcterms:modified xsi:type="dcterms:W3CDTF">2026-10-12T19:10:37Z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933A058120E54028816C0B37C28DC6D6_12</vt:lpwstr>
  </property>
  <property fmtid="{D5CDD505-2E9C-101B-9397-08002B2CF9AE}" pid="3" name="KSOProductBuildVer">
    <vt:lpwstr>2057-12.2.0.23206</vt:lpwstr>
  </property>
</Properties>
</file>