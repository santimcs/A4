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41" documentId="11_085D5867D56FA40F6235547658955E3892E39D0E" xr6:coauthVersionLast="47" xr6:coauthVersionMax="47" xr10:uidLastSave="{977D6A3D-9D99-407B-92EA-CB8C658AFC86}"/>
  <bookViews>
    <workbookView xWindow="10248" yWindow="1476" windowWidth="13176" windowHeight="9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 s="1"/>
  <c r="D21" i="1"/>
  <c r="E21" i="1" s="1"/>
  <c r="E17" i="1"/>
  <c r="E16" i="1"/>
  <c r="D18" i="1"/>
  <c r="E18" i="1" s="1"/>
  <c r="D17" i="1"/>
  <c r="D15" i="1"/>
  <c r="E15" i="1" s="1"/>
  <c r="E22" i="1" l="1"/>
  <c r="E19" i="1"/>
  <c r="E20" i="1"/>
  <c r="D13" i="1" l="1"/>
  <c r="E13" i="1" s="1"/>
  <c r="D12" i="1"/>
  <c r="E12" i="1" s="1"/>
  <c r="E14" i="1" l="1"/>
</calcChain>
</file>

<file path=xl/sharedStrings.xml><?xml version="1.0" encoding="utf-8"?>
<sst xmlns="http://schemas.openxmlformats.org/spreadsheetml/2006/main" count="58" uniqueCount="42">
  <si>
    <t>name</t>
  </si>
  <si>
    <t>qtrly</t>
  </si>
  <si>
    <t>shares</t>
  </si>
  <si>
    <t>div_amt</t>
  </si>
  <si>
    <t>net_amt</t>
  </si>
  <si>
    <t>xdate</t>
  </si>
  <si>
    <t>paiddate</t>
  </si>
  <si>
    <t>actual</t>
  </si>
  <si>
    <t>GVREIT</t>
  </si>
  <si>
    <t>2025-12-09</t>
  </si>
  <si>
    <t>2025-12-24</t>
  </si>
  <si>
    <t>TFFIF</t>
  </si>
  <si>
    <t>2025-12-08</t>
  </si>
  <si>
    <t>2025-12-25</t>
  </si>
  <si>
    <t>ORI</t>
  </si>
  <si>
    <t>2025-11-27</t>
  </si>
  <si>
    <t>2025-12-15</t>
  </si>
  <si>
    <t>CPNREIT</t>
  </si>
  <si>
    <t>2025-11-25</t>
  </si>
  <si>
    <t>2025-12-11</t>
  </si>
  <si>
    <t>IVL</t>
  </si>
  <si>
    <t>JMART</t>
  </si>
  <si>
    <t>2025-11-24</t>
  </si>
  <si>
    <t>WHAIR</t>
  </si>
  <si>
    <t>2025-12-22</t>
  </si>
  <si>
    <t>WHART</t>
  </si>
  <si>
    <t>2025-11-21</t>
  </si>
  <si>
    <t>RCL</t>
  </si>
  <si>
    <t>2025-11-20</t>
  </si>
  <si>
    <t>2025-12-04</t>
  </si>
  <si>
    <t>AIMIRT</t>
  </si>
  <si>
    <t>2025-11-19</t>
  </si>
  <si>
    <t>DIF</t>
  </si>
  <si>
    <t>2025-11-17</t>
  </si>
  <si>
    <t>3BBIF</t>
  </si>
  <si>
    <t>2025-11-14</t>
  </si>
  <si>
    <t>2025-08-26</t>
  </si>
  <si>
    <t>2025-09-11</t>
  </si>
  <si>
    <t>Pom</t>
  </si>
  <si>
    <t>2025-08-18</t>
  </si>
  <si>
    <t>2025-09-03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</si>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</sst>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2" fillId="0" borderId="0" xfId="0" applyNumberFormat="1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4" workbookViewId="0">
      <selection activeCell="E12" sqref="E12:E13"/>
    </sheetView>
  </sheetViews>
  <sheetFormatPr defaultRowHeight="14.4" x14ac:dyDescent="0.3"/>
  <cols>
    <col min="2" max="2" width="8.88671875" style="8"/>
    <col min="3" max="3" width="8.88671875" style="3"/>
    <col min="4" max="5" width="10" style="5" bestFit="1" customWidth="1"/>
    <col min="6" max="7" width="10.33203125" bestFit="1" customWidth="1"/>
  </cols>
  <sheetData>
    <row r="1" spans="1:8" x14ac:dyDescent="0.3">
      <c r="A1" s="1" t="s">
        <v>0</v>
      </c>
      <c r="B1" s="7" t="s">
        <v>1</v>
      </c>
      <c r="C1" s="2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30</v>
      </c>
      <c r="B2" s="8">
        <v>0.20499999999999999</v>
      </c>
      <c r="C2" s="3">
        <v>17500</v>
      </c>
      <c r="D2" s="5">
        <v>3587.5</v>
      </c>
      <c r="E2" s="6">
        <v>3228.75</v>
      </c>
      <c r="F2" t="s">
        <v>31</v>
      </c>
      <c r="G2" t="s">
        <v>29</v>
      </c>
      <c r="H2">
        <v>1</v>
      </c>
    </row>
    <row r="3" spans="1:8" x14ac:dyDescent="0.3">
      <c r="A3" t="s">
        <v>27</v>
      </c>
      <c r="B3" s="8">
        <v>0.5</v>
      </c>
      <c r="C3" s="3">
        <v>27000</v>
      </c>
      <c r="D3" s="5">
        <v>13500</v>
      </c>
      <c r="E3" s="6">
        <v>12825</v>
      </c>
      <c r="F3" t="s">
        <v>28</v>
      </c>
      <c r="G3" t="s">
        <v>29</v>
      </c>
      <c r="H3">
        <v>1</v>
      </c>
    </row>
    <row r="4" spans="1:8" x14ac:dyDescent="0.3">
      <c r="A4" t="s">
        <v>32</v>
      </c>
      <c r="B4" s="8">
        <v>0.22220000000000001</v>
      </c>
      <c r="C4" s="3">
        <v>45000</v>
      </c>
      <c r="D4" s="5">
        <v>9999</v>
      </c>
      <c r="E4" s="6">
        <v>8999.1</v>
      </c>
      <c r="F4" t="s">
        <v>33</v>
      </c>
      <c r="G4" t="s">
        <v>12</v>
      </c>
      <c r="H4">
        <v>1</v>
      </c>
    </row>
    <row r="5" spans="1:8" x14ac:dyDescent="0.3">
      <c r="A5" t="s">
        <v>17</v>
      </c>
      <c r="B5" s="8">
        <v>6.9099999999999995E-2</v>
      </c>
      <c r="C5" s="3">
        <v>55000</v>
      </c>
      <c r="D5" s="5">
        <v>3800.5</v>
      </c>
      <c r="E5" s="6">
        <v>3420.45</v>
      </c>
      <c r="F5" t="s">
        <v>18</v>
      </c>
      <c r="G5" t="s">
        <v>19</v>
      </c>
      <c r="H5">
        <v>1</v>
      </c>
    </row>
    <row r="6" spans="1:8" x14ac:dyDescent="0.3">
      <c r="A6" t="s">
        <v>20</v>
      </c>
      <c r="B6" s="8">
        <v>0.17499999999999999</v>
      </c>
      <c r="C6" s="3">
        <v>7200</v>
      </c>
      <c r="D6" s="5">
        <v>1260</v>
      </c>
      <c r="E6" s="6">
        <v>1134</v>
      </c>
      <c r="F6" t="s">
        <v>18</v>
      </c>
      <c r="G6" t="s">
        <v>19</v>
      </c>
      <c r="H6">
        <v>1</v>
      </c>
    </row>
    <row r="7" spans="1:8" x14ac:dyDescent="0.3">
      <c r="A7" t="s">
        <v>21</v>
      </c>
      <c r="B7" s="8">
        <v>0.13</v>
      </c>
      <c r="C7" s="3">
        <v>6800</v>
      </c>
      <c r="D7" s="5">
        <v>884</v>
      </c>
      <c r="E7" s="6">
        <v>795.6</v>
      </c>
      <c r="F7" t="s">
        <v>22</v>
      </c>
      <c r="G7" t="s">
        <v>19</v>
      </c>
      <c r="H7">
        <v>1</v>
      </c>
    </row>
    <row r="8" spans="1:8" x14ac:dyDescent="0.3">
      <c r="A8" t="s">
        <v>25</v>
      </c>
      <c r="B8" s="8">
        <v>0.193</v>
      </c>
      <c r="C8" s="3">
        <v>20000</v>
      </c>
      <c r="D8" s="5">
        <v>3860</v>
      </c>
      <c r="E8" s="6">
        <v>3474</v>
      </c>
      <c r="F8" t="s">
        <v>26</v>
      </c>
      <c r="G8" t="s">
        <v>19</v>
      </c>
      <c r="H8">
        <v>1</v>
      </c>
    </row>
    <row r="9" spans="1:8" x14ac:dyDescent="0.3">
      <c r="A9" t="s">
        <v>14</v>
      </c>
      <c r="B9" s="8">
        <v>2.1000000000000001E-2</v>
      </c>
      <c r="C9" s="3">
        <v>50000</v>
      </c>
      <c r="D9" s="5">
        <v>1050</v>
      </c>
      <c r="E9" s="6">
        <v>945</v>
      </c>
      <c r="F9" t="s">
        <v>15</v>
      </c>
      <c r="G9" t="s">
        <v>16</v>
      </c>
      <c r="H9">
        <v>1</v>
      </c>
    </row>
    <row r="10" spans="1:8" x14ac:dyDescent="0.3">
      <c r="A10" t="s">
        <v>34</v>
      </c>
      <c r="B10" s="8">
        <v>0.13722400000000001</v>
      </c>
      <c r="C10" s="3">
        <v>120000</v>
      </c>
      <c r="D10" s="5">
        <f>B10*C10</f>
        <v>16466.88</v>
      </c>
      <c r="E10" s="6">
        <f>D10*0.9</f>
        <v>14820.192000000001</v>
      </c>
      <c r="F10" t="s">
        <v>35</v>
      </c>
      <c r="G10" t="s">
        <v>24</v>
      </c>
      <c r="H10">
        <v>1</v>
      </c>
    </row>
    <row r="11" spans="1:8" x14ac:dyDescent="0.3">
      <c r="A11" t="s">
        <v>23</v>
      </c>
      <c r="B11" s="8">
        <v>0.13250000000000001</v>
      </c>
      <c r="C11" s="3">
        <v>50000</v>
      </c>
      <c r="D11" s="5">
        <v>6625</v>
      </c>
      <c r="E11" s="6">
        <v>5962.5</v>
      </c>
      <c r="F11" t="s">
        <v>22</v>
      </c>
      <c r="G11" t="s">
        <v>24</v>
      </c>
      <c r="H11">
        <v>1</v>
      </c>
    </row>
    <row r="12" spans="1:8" x14ac:dyDescent="0.3">
      <c r="A12" t="s">
        <v>8</v>
      </c>
      <c r="B12" s="8">
        <v>0.1825</v>
      </c>
      <c r="C12" s="3">
        <v>69000</v>
      </c>
      <c r="D12" s="5">
        <f>B12*C12</f>
        <v>12592.5</v>
      </c>
      <c r="E12" s="6">
        <f>D12*0.9</f>
        <v>11333.25</v>
      </c>
      <c r="F12" t="s">
        <v>9</v>
      </c>
      <c r="G12" t="s">
        <v>10</v>
      </c>
      <c r="H12">
        <v>1</v>
      </c>
    </row>
    <row r="13" spans="1:8" x14ac:dyDescent="0.3">
      <c r="A13" t="s">
        <v>11</v>
      </c>
      <c r="B13" s="8">
        <v>0.114</v>
      </c>
      <c r="C13" s="3">
        <v>20000</v>
      </c>
      <c r="D13" s="5">
        <f>B13*C13</f>
        <v>2280</v>
      </c>
      <c r="E13" s="6">
        <f>D13*0.9</f>
        <v>2052</v>
      </c>
      <c r="F13" t="s">
        <v>12</v>
      </c>
      <c r="G13" t="s">
        <v>13</v>
      </c>
      <c r="H13">
        <v>1</v>
      </c>
    </row>
    <row r="14" spans="1:8" x14ac:dyDescent="0.3">
      <c r="E14" s="5">
        <f>SUM(E2:E13)</f>
        <v>68989.842000000004</v>
      </c>
    </row>
    <row r="15" spans="1:8" x14ac:dyDescent="0.3">
      <c r="A15" t="s">
        <v>17</v>
      </c>
      <c r="B15" s="8">
        <v>6.9099999999999995E-2</v>
      </c>
      <c r="C15" s="3">
        <v>24000</v>
      </c>
      <c r="D15" s="5">
        <f>B15*C15</f>
        <v>1658.3999999999999</v>
      </c>
      <c r="E15" s="5">
        <f>D15*0.9</f>
        <v>1492.56</v>
      </c>
      <c r="F15" t="s">
        <v>36</v>
      </c>
      <c r="G15" t="s">
        <v>37</v>
      </c>
      <c r="H15">
        <v>1</v>
      </c>
    </row>
    <row r="16" spans="1:8" x14ac:dyDescent="0.3">
      <c r="E16" s="6">
        <f>E5+E15</f>
        <v>4913.01</v>
      </c>
    </row>
    <row r="17" spans="1:8" x14ac:dyDescent="0.3">
      <c r="A17" t="s">
        <v>17</v>
      </c>
      <c r="B17" s="8">
        <v>0.2059</v>
      </c>
      <c r="C17" s="3">
        <v>55000</v>
      </c>
      <c r="D17" s="5">
        <f>B17*C17</f>
        <v>11324.5</v>
      </c>
      <c r="E17" s="5">
        <f>D17</f>
        <v>11324.5</v>
      </c>
      <c r="F17" t="s">
        <v>36</v>
      </c>
      <c r="G17" t="s">
        <v>37</v>
      </c>
      <c r="H17">
        <v>1</v>
      </c>
    </row>
    <row r="18" spans="1:8" x14ac:dyDescent="0.3">
      <c r="A18" t="s">
        <v>17</v>
      </c>
      <c r="B18" s="8">
        <v>0.2059</v>
      </c>
      <c r="C18" s="3">
        <v>24000</v>
      </c>
      <c r="D18" s="5">
        <f>B18*C18</f>
        <v>4941.6000000000004</v>
      </c>
      <c r="E18" s="5">
        <f>D18</f>
        <v>4941.6000000000004</v>
      </c>
      <c r="F18" t="s">
        <v>36</v>
      </c>
      <c r="G18" t="s">
        <v>37</v>
      </c>
      <c r="H18">
        <v>1</v>
      </c>
    </row>
    <row r="19" spans="1:8" x14ac:dyDescent="0.3">
      <c r="E19" s="6">
        <f>E17+E18</f>
        <v>16266.1</v>
      </c>
    </row>
    <row r="20" spans="1:8" x14ac:dyDescent="0.3">
      <c r="A20" t="s">
        <v>38</v>
      </c>
      <c r="E20" s="5">
        <f>E15+E18</f>
        <v>6434.16</v>
      </c>
    </row>
    <row r="21" spans="1:8" x14ac:dyDescent="0.3">
      <c r="A21" t="s">
        <v>34</v>
      </c>
      <c r="B21" s="8">
        <v>0.13722400000000001</v>
      </c>
      <c r="C21" s="3">
        <v>30000</v>
      </c>
      <c r="D21" s="5">
        <f>B21*C21</f>
        <v>4116.72</v>
      </c>
      <c r="E21" s="6">
        <f>D21*0.9</f>
        <v>3705.0480000000002</v>
      </c>
      <c r="F21" t="s">
        <v>39</v>
      </c>
      <c r="G21" t="s">
        <v>40</v>
      </c>
      <c r="H21">
        <v>1</v>
      </c>
    </row>
    <row r="22" spans="1:8" x14ac:dyDescent="0.3">
      <c r="A22" t="s">
        <v>41</v>
      </c>
      <c r="E22" s="5">
        <f>E10+E21</f>
        <v>18525.240000000002</v>
      </c>
    </row>
  </sheetData>
  <sortState xmlns:xlrd2="http://schemas.microsoft.com/office/spreadsheetml/2017/richdata2" ref="A2:H15">
    <sortCondition ref="G2:G15"/>
    <sortCondition ref="A2:A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 Soontarinka</cp:lastModifiedBy>
  <dcterms:created xsi:type="dcterms:W3CDTF">2025-11-30T07:14:47Z</dcterms:created>
  <dcterms:modified xsi:type="dcterms:W3CDTF">2026-01-03T15:00:28Z</dcterms:modified>
</cp:coreProperties>
</file>