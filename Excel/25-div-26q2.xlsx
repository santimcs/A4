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8862359375ebd62/A4/Excel/"/>
    </mc:Choice>
  </mc:AlternateContent>
  <xr:revisionPtr revIDLastSave="4" documentId="11_0C3FE602B81344983FFD989F30865698DA6EAA1A" xr6:coauthVersionLast="47" xr6:coauthVersionMax="47" xr10:uidLastSave="{809EBB6E-5265-4051-98B4-B22E0911A08D}"/>
  <bookViews>
    <workbookView xWindow="384" yWindow="384" windowWidth="10056" windowHeight="11496" xr2:uid="{00000000-000D-0000-FFFF-FFFF00000000}"/>
  </bookViews>
  <sheets>
    <sheet name="PDATE" sheetId="2" r:id="rId1"/>
    <sheet name="XDAT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E16" i="1" s="1"/>
  <c r="D15" i="1"/>
  <c r="E15" i="1" s="1"/>
  <c r="D17" i="1"/>
  <c r="E17" i="1" s="1"/>
  <c r="D19" i="1"/>
  <c r="E19" i="1" s="1"/>
  <c r="D11" i="1"/>
  <c r="E11" i="1" s="1"/>
  <c r="D21" i="1"/>
  <c r="E21" i="1" s="1"/>
  <c r="D10" i="1"/>
  <c r="D14" i="1"/>
  <c r="E14" i="1" s="1"/>
  <c r="E18" i="1"/>
  <c r="E13" i="1"/>
  <c r="E31" i="2"/>
  <c r="E30" i="2"/>
  <c r="D30" i="2"/>
  <c r="E29" i="2"/>
  <c r="D29" i="2"/>
  <c r="E28" i="2"/>
  <c r="D28" i="2"/>
  <c r="C28" i="2"/>
  <c r="E27" i="2"/>
  <c r="D27" i="2"/>
  <c r="E26" i="2"/>
  <c r="D26" i="2"/>
  <c r="E25" i="2"/>
  <c r="D25" i="2"/>
  <c r="E24" i="2"/>
  <c r="D24" i="2"/>
  <c r="E22" i="2"/>
  <c r="D22" i="2"/>
  <c r="E19" i="2"/>
  <c r="D19" i="2"/>
  <c r="E18" i="2"/>
  <c r="D18" i="2"/>
  <c r="E14" i="2"/>
  <c r="D14" i="2"/>
  <c r="E10" i="2"/>
  <c r="D10" i="2"/>
  <c r="E9" i="2"/>
  <c r="D9" i="2"/>
  <c r="E6" i="2"/>
  <c r="E5" i="2"/>
  <c r="E2" i="2"/>
  <c r="D2" i="2"/>
  <c r="E26" i="1" l="1"/>
  <c r="E10" i="1"/>
  <c r="D26" i="1"/>
</calcChain>
</file>

<file path=xl/sharedStrings.xml><?xml version="1.0" encoding="utf-8"?>
<sst xmlns="http://schemas.openxmlformats.org/spreadsheetml/2006/main" count="153" uniqueCount="53">
  <si>
    <t>name</t>
  </si>
  <si>
    <t>qtrly</t>
  </si>
  <si>
    <t>shares</t>
  </si>
  <si>
    <t>div_amt</t>
  </si>
  <si>
    <t>net_amt</t>
  </si>
  <si>
    <t>xdate</t>
  </si>
  <si>
    <t>paiddate</t>
  </si>
  <si>
    <t>actual</t>
  </si>
  <si>
    <t>3BBIF</t>
  </si>
  <si>
    <t>2026-08-17</t>
  </si>
  <si>
    <t>2026-09-02</t>
  </si>
  <si>
    <t>SYNEX</t>
  </si>
  <si>
    <t>2026-08-19</t>
  </si>
  <si>
    <t>ADVANC</t>
  </si>
  <si>
    <t>2026-09-03</t>
  </si>
  <si>
    <t>NER</t>
  </si>
  <si>
    <t>2026-08-20</t>
  </si>
  <si>
    <t>2026-09-04</t>
  </si>
  <si>
    <t>RCL</t>
  </si>
  <si>
    <t>2026-08-21</t>
  </si>
  <si>
    <t>WHART</t>
  </si>
  <si>
    <t>CPNREIT</t>
  </si>
  <si>
    <t>2026-09-08</t>
  </si>
  <si>
    <t>GVREIT</t>
  </si>
  <si>
    <t>2026-08-26</t>
  </si>
  <si>
    <t>PROSPECT</t>
  </si>
  <si>
    <t>2026-08-24</t>
  </si>
  <si>
    <t>AIMIRT</t>
  </si>
  <si>
    <t>2026-09-09</t>
  </si>
  <si>
    <t>DIF</t>
  </si>
  <si>
    <t>2026-08-13</t>
  </si>
  <si>
    <t>AH</t>
  </si>
  <si>
    <t>2026-08-27</t>
  </si>
  <si>
    <t>2026-09-10</t>
  </si>
  <si>
    <t>IVL</t>
  </si>
  <si>
    <t>BCH</t>
  </si>
  <si>
    <t>2026-09-11</t>
  </si>
  <si>
    <t>CPF</t>
  </si>
  <si>
    <t>2026-08-31</t>
  </si>
  <si>
    <t>JMT</t>
  </si>
  <si>
    <t>STA</t>
  </si>
  <si>
    <t>TFFIF</t>
  </si>
  <si>
    <t>TOA</t>
  </si>
  <si>
    <t>TVO</t>
  </si>
  <si>
    <t>PTTGC</t>
  </si>
  <si>
    <t>WHAIR</t>
  </si>
  <si>
    <t>2026-09-23</t>
  </si>
  <si>
    <t xml:space="preserve">PTT </t>
  </si>
  <si>
    <t>Total</t>
  </si>
  <si>
    <t xml:space="preserve"> </t>
  </si>
  <si>
    <t>2025-08-18</t>
  </si>
  <si>
    <t>2025-09-03</t>
  </si>
  <si>
    <t>POM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</si>
</sst>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&quot;$&quot;#,##0.00"/>
    <numFmt numFmtId="166" formatCode="yyyy\-mm\-dd;@"/>
    <numFmt numFmtId="167" formatCode="0.00000"/>
    <numFmt numFmtId="168" formatCode="&quot;$&quot;#,##0"/>
  </numFmts>
  <fonts count="8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2" fillId="0" borderId="0" xfId="0" applyNumberFormat="1" applyFont="1"/>
    <xf numFmtId="165" fontId="2" fillId="0" borderId="0" xfId="0" applyNumberFormat="1" applyFont="1"/>
    <xf numFmtId="164" fontId="3" fillId="0" borderId="0" xfId="0" applyNumberFormat="1" applyFont="1"/>
    <xf numFmtId="165" fontId="4" fillId="0" borderId="0" xfId="0" applyNumberFormat="1" applyFont="1"/>
    <xf numFmtId="165" fontId="5" fillId="0" borderId="1" xfId="0" applyNumberFormat="1" applyFont="1" applyBorder="1" applyAlignment="1">
      <alignment horizontal="center" vertical="top"/>
    </xf>
    <xf numFmtId="165" fontId="6" fillId="0" borderId="0" xfId="0" applyNumberFormat="1" applyFont="1"/>
    <xf numFmtId="0" fontId="2" fillId="0" borderId="0" xfId="0" applyFont="1"/>
    <xf numFmtId="167" fontId="0" fillId="0" borderId="0" xfId="0" applyNumberFormat="1"/>
    <xf numFmtId="168" fontId="0" fillId="0" borderId="0" xfId="0" applyNumberFormat="1"/>
    <xf numFmtId="168" fontId="4" fillId="0" borderId="0" xfId="0" applyNumberFormat="1" applyFont="1"/>
    <xf numFmtId="166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topLeftCell="A7" workbookViewId="0">
      <selection activeCell="F24" sqref="F24:G24"/>
    </sheetView>
  </sheetViews>
  <sheetFormatPr defaultColWidth="9" defaultRowHeight="14.4"/>
  <cols>
    <col min="2" max="2" width="8.88671875" style="1"/>
    <col min="3" max="3" width="8.88671875" style="2"/>
    <col min="4" max="4" width="11" style="3" customWidth="1"/>
    <col min="5" max="5" width="11" style="13" customWidth="1"/>
    <col min="6" max="7" width="10.33203125" customWidth="1"/>
  </cols>
  <sheetData>
    <row r="1" spans="1:8">
      <c r="A1" s="5" t="s">
        <v>0</v>
      </c>
      <c r="B1" s="6" t="s">
        <v>1</v>
      </c>
      <c r="C1" s="7" t="s">
        <v>2</v>
      </c>
      <c r="D1" s="8" t="s">
        <v>3</v>
      </c>
      <c r="E1" s="14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0.14000000000000001</v>
      </c>
      <c r="C2" s="2">
        <v>120000</v>
      </c>
      <c r="D2" s="3">
        <f>B2*C2</f>
        <v>16800</v>
      </c>
      <c r="E2" s="15">
        <f>D2*0.9</f>
        <v>15120</v>
      </c>
      <c r="F2" s="16" t="s">
        <v>9</v>
      </c>
      <c r="G2" s="16" t="s">
        <v>10</v>
      </c>
      <c r="H2">
        <v>0</v>
      </c>
    </row>
    <row r="3" spans="1:8">
      <c r="A3" t="s">
        <v>11</v>
      </c>
      <c r="B3" s="1">
        <v>0.1</v>
      </c>
      <c r="C3" s="2">
        <v>17500</v>
      </c>
      <c r="D3" s="3">
        <v>1750</v>
      </c>
      <c r="E3" s="13">
        <v>1575</v>
      </c>
      <c r="F3" s="16" t="s">
        <v>12</v>
      </c>
      <c r="G3" s="16" t="s">
        <v>10</v>
      </c>
      <c r="H3">
        <v>1</v>
      </c>
    </row>
    <row r="4" spans="1:8">
      <c r="A4" t="s">
        <v>13</v>
      </c>
      <c r="B4" s="1">
        <v>8.69</v>
      </c>
      <c r="C4" s="2">
        <v>400</v>
      </c>
      <c r="D4" s="3">
        <v>3476</v>
      </c>
      <c r="E4" s="13">
        <v>3128.4</v>
      </c>
      <c r="F4" s="16" t="s">
        <v>12</v>
      </c>
      <c r="G4" s="16" t="s">
        <v>14</v>
      </c>
      <c r="H4">
        <v>0</v>
      </c>
    </row>
    <row r="5" spans="1:8">
      <c r="A5" t="s">
        <v>15</v>
      </c>
      <c r="B5" s="1">
        <v>0.05</v>
      </c>
      <c r="C5" s="2">
        <v>27000</v>
      </c>
      <c r="D5" s="3">
        <v>1350</v>
      </c>
      <c r="E5" s="13">
        <f>D5</f>
        <v>1350</v>
      </c>
      <c r="F5" s="16" t="s">
        <v>16</v>
      </c>
      <c r="G5" s="16" t="s">
        <v>17</v>
      </c>
      <c r="H5">
        <v>1</v>
      </c>
    </row>
    <row r="6" spans="1:8">
      <c r="A6" t="s">
        <v>18</v>
      </c>
      <c r="B6" s="1">
        <v>0.5</v>
      </c>
      <c r="C6" s="2">
        <v>24000</v>
      </c>
      <c r="D6" s="3">
        <v>12000</v>
      </c>
      <c r="E6" s="13">
        <f>D6</f>
        <v>12000</v>
      </c>
      <c r="F6" s="16" t="s">
        <v>19</v>
      </c>
      <c r="G6" s="16" t="s">
        <v>17</v>
      </c>
      <c r="H6">
        <v>1</v>
      </c>
    </row>
    <row r="7" spans="1:8">
      <c r="A7" t="s">
        <v>20</v>
      </c>
      <c r="B7" s="1">
        <v>0.193</v>
      </c>
      <c r="C7" s="2">
        <v>20000</v>
      </c>
      <c r="D7" s="3">
        <v>3860</v>
      </c>
      <c r="E7" s="13">
        <v>3474</v>
      </c>
      <c r="F7" s="16" t="s">
        <v>12</v>
      </c>
      <c r="G7" s="16" t="s">
        <v>17</v>
      </c>
      <c r="H7">
        <v>1</v>
      </c>
    </row>
    <row r="8" spans="1:8">
      <c r="A8" t="s">
        <v>21</v>
      </c>
      <c r="B8" s="1">
        <v>0.28000000000000003</v>
      </c>
      <c r="C8" s="2">
        <v>55000</v>
      </c>
      <c r="D8" s="3">
        <v>15400</v>
      </c>
      <c r="E8" s="13">
        <v>13860</v>
      </c>
      <c r="F8" s="16" t="s">
        <v>19</v>
      </c>
      <c r="G8" s="16" t="s">
        <v>22</v>
      </c>
      <c r="H8">
        <v>1</v>
      </c>
    </row>
    <row r="9" spans="1:8">
      <c r="A9" t="s">
        <v>23</v>
      </c>
      <c r="B9" s="1">
        <v>0.1875</v>
      </c>
      <c r="C9" s="2">
        <v>69000</v>
      </c>
      <c r="D9" s="3">
        <f>B9*C9</f>
        <v>12937.5</v>
      </c>
      <c r="E9" s="13">
        <f>D9*0.9</f>
        <v>11643.75</v>
      </c>
      <c r="F9" s="16" t="s">
        <v>24</v>
      </c>
      <c r="G9" s="16" t="s">
        <v>22</v>
      </c>
      <c r="H9">
        <v>1</v>
      </c>
    </row>
    <row r="10" spans="1:8">
      <c r="A10" t="s">
        <v>25</v>
      </c>
      <c r="B10" s="1">
        <v>7.0499999999999993E-2</v>
      </c>
      <c r="C10" s="2">
        <v>30000</v>
      </c>
      <c r="D10" s="3">
        <f>B10*C10</f>
        <v>2115</v>
      </c>
      <c r="E10" s="13">
        <f>D10*0.9</f>
        <v>1903.5</v>
      </c>
      <c r="F10" s="16" t="s">
        <v>26</v>
      </c>
      <c r="G10" s="16" t="s">
        <v>22</v>
      </c>
      <c r="H10">
        <v>1</v>
      </c>
    </row>
    <row r="11" spans="1:8">
      <c r="A11" t="s">
        <v>27</v>
      </c>
      <c r="B11" s="1">
        <v>0.20499999999999999</v>
      </c>
      <c r="C11" s="2">
        <v>10000</v>
      </c>
      <c r="D11" s="3">
        <v>2050</v>
      </c>
      <c r="E11" s="13">
        <v>1845</v>
      </c>
      <c r="F11" s="16" t="s">
        <v>19</v>
      </c>
      <c r="G11" s="16" t="s">
        <v>28</v>
      </c>
      <c r="H11">
        <v>1</v>
      </c>
    </row>
    <row r="12" spans="1:8">
      <c r="A12" t="s">
        <v>29</v>
      </c>
      <c r="B12" s="1">
        <v>0.22220000000000001</v>
      </c>
      <c r="C12" s="2">
        <v>45000</v>
      </c>
      <c r="D12" s="3">
        <v>9999</v>
      </c>
      <c r="E12" s="13">
        <v>8999.1</v>
      </c>
      <c r="F12" s="16" t="s">
        <v>30</v>
      </c>
      <c r="G12" s="16" t="s">
        <v>28</v>
      </c>
      <c r="H12">
        <v>1</v>
      </c>
    </row>
    <row r="13" spans="1:8">
      <c r="A13" t="s">
        <v>31</v>
      </c>
      <c r="B13" s="1">
        <v>0.38</v>
      </c>
      <c r="C13" s="2">
        <v>1200</v>
      </c>
      <c r="D13" s="3">
        <v>456</v>
      </c>
      <c r="E13" s="13">
        <v>410.4</v>
      </c>
      <c r="F13" s="16" t="s">
        <v>32</v>
      </c>
      <c r="G13" s="16" t="s">
        <v>33</v>
      </c>
      <c r="H13">
        <v>1</v>
      </c>
    </row>
    <row r="14" spans="1:8">
      <c r="A14" t="s">
        <v>34</v>
      </c>
      <c r="B14" s="1">
        <v>0.2</v>
      </c>
      <c r="C14" s="2">
        <v>7200</v>
      </c>
      <c r="D14" s="3">
        <f>B14*C14</f>
        <v>1440</v>
      </c>
      <c r="E14" s="13">
        <f>D14*0.9</f>
        <v>1296</v>
      </c>
      <c r="F14" s="10">
        <v>46261</v>
      </c>
      <c r="G14" s="10">
        <v>46275</v>
      </c>
      <c r="H14">
        <v>1</v>
      </c>
    </row>
    <row r="15" spans="1:8">
      <c r="A15" t="s">
        <v>35</v>
      </c>
      <c r="B15" s="1">
        <v>0.35</v>
      </c>
      <c r="C15" s="2">
        <v>4000</v>
      </c>
      <c r="D15" s="3">
        <v>1400</v>
      </c>
      <c r="E15" s="13">
        <v>1260</v>
      </c>
      <c r="F15" s="10" t="s">
        <v>32</v>
      </c>
      <c r="G15" s="16" t="s">
        <v>36</v>
      </c>
      <c r="H15">
        <v>1</v>
      </c>
    </row>
    <row r="16" spans="1:8">
      <c r="A16" t="s">
        <v>37</v>
      </c>
      <c r="B16" s="1">
        <v>0.45</v>
      </c>
      <c r="C16" s="2">
        <v>10000</v>
      </c>
      <c r="D16" s="3">
        <v>4500</v>
      </c>
      <c r="E16" s="13">
        <v>4050</v>
      </c>
      <c r="F16" s="10" t="s">
        <v>38</v>
      </c>
      <c r="G16" s="16" t="s">
        <v>36</v>
      </c>
      <c r="H16">
        <v>1</v>
      </c>
    </row>
    <row r="17" spans="1:8">
      <c r="A17" t="s">
        <v>39</v>
      </c>
      <c r="B17" s="1">
        <v>0.27</v>
      </c>
      <c r="C17" s="2">
        <v>7000</v>
      </c>
      <c r="D17" s="3">
        <v>1890</v>
      </c>
      <c r="E17" s="13">
        <v>1701</v>
      </c>
      <c r="F17" s="10" t="s">
        <v>26</v>
      </c>
      <c r="G17" s="16" t="s">
        <v>36</v>
      </c>
      <c r="H17">
        <v>1</v>
      </c>
    </row>
    <row r="18" spans="1:8">
      <c r="A18" t="s">
        <v>40</v>
      </c>
      <c r="B18" s="1">
        <v>0.5</v>
      </c>
      <c r="C18" s="2">
        <v>10000</v>
      </c>
      <c r="D18" s="3">
        <f>B18*C18</f>
        <v>5000</v>
      </c>
      <c r="E18" s="13">
        <f>D18*0.9</f>
        <v>4500</v>
      </c>
      <c r="F18" s="10">
        <v>46261</v>
      </c>
      <c r="G18" s="10">
        <v>46276</v>
      </c>
      <c r="H18">
        <v>1</v>
      </c>
    </row>
    <row r="19" spans="1:8">
      <c r="A19" t="s">
        <v>41</v>
      </c>
      <c r="B19" s="12">
        <v>0.1133</v>
      </c>
      <c r="C19" s="2">
        <v>25000</v>
      </c>
      <c r="D19" s="3">
        <f t="shared" ref="D19:D24" si="0">B19*C19</f>
        <v>2832.5</v>
      </c>
      <c r="E19" s="13">
        <f t="shared" ref="E19:E24" si="1">D19*0.9</f>
        <v>2549.25</v>
      </c>
      <c r="F19" s="10" t="s">
        <v>24</v>
      </c>
      <c r="G19" s="10" t="s">
        <v>36</v>
      </c>
      <c r="H19">
        <v>1</v>
      </c>
    </row>
    <row r="20" spans="1:8">
      <c r="A20" t="s">
        <v>42</v>
      </c>
      <c r="B20" s="1">
        <v>0.38</v>
      </c>
      <c r="C20" s="2">
        <v>1000</v>
      </c>
      <c r="D20" s="3">
        <v>380</v>
      </c>
      <c r="E20" s="13">
        <v>342</v>
      </c>
      <c r="F20" s="16" t="s">
        <v>32</v>
      </c>
      <c r="G20" s="10" t="s">
        <v>36</v>
      </c>
      <c r="H20">
        <v>1</v>
      </c>
    </row>
    <row r="21" spans="1:8">
      <c r="A21" t="s">
        <v>43</v>
      </c>
      <c r="B21" s="1">
        <v>0.9</v>
      </c>
      <c r="C21" s="2">
        <v>4000</v>
      </c>
      <c r="D21" s="3">
        <v>3600</v>
      </c>
      <c r="E21" s="13">
        <v>3472</v>
      </c>
      <c r="F21" s="16" t="s">
        <v>32</v>
      </c>
      <c r="G21" s="10" t="s">
        <v>36</v>
      </c>
      <c r="H21">
        <v>1</v>
      </c>
    </row>
    <row r="22" spans="1:8">
      <c r="A22" t="s">
        <v>44</v>
      </c>
      <c r="B22" s="1">
        <v>0.6</v>
      </c>
      <c r="C22" s="2">
        <v>6000</v>
      </c>
      <c r="D22" s="3">
        <f t="shared" si="0"/>
        <v>3600</v>
      </c>
      <c r="E22" s="13">
        <f t="shared" si="1"/>
        <v>3240</v>
      </c>
      <c r="F22" s="10">
        <v>46272</v>
      </c>
      <c r="G22" s="10">
        <v>46287</v>
      </c>
      <c r="H22">
        <v>1</v>
      </c>
    </row>
    <row r="23" spans="1:8">
      <c r="A23" t="s">
        <v>45</v>
      </c>
      <c r="B23" s="1">
        <v>0.1434</v>
      </c>
      <c r="C23" s="2">
        <v>50000</v>
      </c>
      <c r="D23" s="3">
        <v>7170</v>
      </c>
      <c r="E23" s="13">
        <v>6453</v>
      </c>
      <c r="F23" s="16" t="s">
        <v>24</v>
      </c>
      <c r="G23" s="10" t="s">
        <v>46</v>
      </c>
      <c r="H23">
        <v>1</v>
      </c>
    </row>
    <row r="24" spans="1:8">
      <c r="A24" t="s">
        <v>25</v>
      </c>
      <c r="B24" s="1">
        <v>0.14000000000000001</v>
      </c>
      <c r="C24" s="2">
        <v>30000</v>
      </c>
      <c r="D24" s="3">
        <f t="shared" si="0"/>
        <v>4200</v>
      </c>
      <c r="E24" s="13">
        <f t="shared" si="1"/>
        <v>3780</v>
      </c>
      <c r="F24" s="20">
        <v>46290</v>
      </c>
      <c r="G24" s="20">
        <v>46307</v>
      </c>
      <c r="H24">
        <v>1</v>
      </c>
    </row>
    <row r="25" spans="1:8">
      <c r="A25" t="s">
        <v>47</v>
      </c>
      <c r="B25" s="1">
        <v>1.4</v>
      </c>
      <c r="C25" s="2">
        <v>7500</v>
      </c>
      <c r="D25" s="3">
        <f>B25*C25</f>
        <v>10500</v>
      </c>
      <c r="E25" s="13">
        <f>D25*0.9</f>
        <v>9450</v>
      </c>
      <c r="F25" s="4">
        <v>46302</v>
      </c>
      <c r="G25" s="4">
        <v>46317</v>
      </c>
      <c r="H25">
        <v>1</v>
      </c>
    </row>
    <row r="26" spans="1:8">
      <c r="D26" s="3">
        <f>SUM(D2:D25)</f>
        <v>128706</v>
      </c>
      <c r="E26" s="13">
        <f>SUM(E2:E25)</f>
        <v>117402.4</v>
      </c>
    </row>
    <row r="27" spans="1:8">
      <c r="A27" t="s">
        <v>8</v>
      </c>
      <c r="B27" s="1">
        <v>0.14000000000000001</v>
      </c>
      <c r="C27" s="2">
        <v>30000</v>
      </c>
      <c r="D27" s="3">
        <f>B27*C27</f>
        <v>4200</v>
      </c>
      <c r="E27" s="13">
        <f>D27*0.9</f>
        <v>3780</v>
      </c>
      <c r="F27" s="16" t="s">
        <v>9</v>
      </c>
      <c r="G27" s="16" t="s">
        <v>10</v>
      </c>
      <c r="H27">
        <v>1</v>
      </c>
    </row>
    <row r="28" spans="1:8">
      <c r="A28" t="s">
        <v>48</v>
      </c>
      <c r="B28" s="17" t="s">
        <v>49</v>
      </c>
      <c r="C28" s="2">
        <f>C3+C27</f>
        <v>47500</v>
      </c>
      <c r="D28" s="18">
        <f>D3+D27</f>
        <v>5950</v>
      </c>
      <c r="E28" s="19">
        <f>E3+E27</f>
        <v>5355</v>
      </c>
      <c r="F28" t="s">
        <v>50</v>
      </c>
      <c r="G28" t="s">
        <v>51</v>
      </c>
      <c r="H28">
        <v>1</v>
      </c>
    </row>
    <row r="29" spans="1:8">
      <c r="A29" t="s">
        <v>21</v>
      </c>
      <c r="B29" s="1">
        <v>0.28000000000000003</v>
      </c>
      <c r="C29" s="2">
        <v>55000</v>
      </c>
      <c r="D29" s="3">
        <f>B29*C29</f>
        <v>15400</v>
      </c>
      <c r="E29" s="13">
        <f>D29*0.9</f>
        <v>13860</v>
      </c>
      <c r="F29" s="16" t="s">
        <v>19</v>
      </c>
      <c r="G29" t="s">
        <v>22</v>
      </c>
      <c r="H29">
        <v>1</v>
      </c>
    </row>
    <row r="30" spans="1:8">
      <c r="A30" t="s">
        <v>52</v>
      </c>
      <c r="B30" s="1">
        <v>0.28000000000000003</v>
      </c>
      <c r="C30" s="2">
        <v>24000</v>
      </c>
      <c r="D30" s="3">
        <f>B30*C30</f>
        <v>6720</v>
      </c>
      <c r="E30" s="13">
        <f>D30*0.9</f>
        <v>6048</v>
      </c>
      <c r="F30" s="16" t="s">
        <v>19</v>
      </c>
      <c r="G30" t="s">
        <v>22</v>
      </c>
      <c r="H30">
        <v>1</v>
      </c>
    </row>
    <row r="31" spans="1:8">
      <c r="B31"/>
      <c r="E31" s="13">
        <f>E29+E30</f>
        <v>19908</v>
      </c>
    </row>
    <row r="32" spans="1:8">
      <c r="B32"/>
    </row>
  </sheetData>
  <sortState xmlns:xlrd2="http://schemas.microsoft.com/office/spreadsheetml/2017/richdata2" ref="A2:H23">
    <sortCondition ref="G2:G23"/>
    <sortCondition ref="A2:A23"/>
  </sortState>
  <pageMargins left="0.75" right="0.75" top="1" bottom="1" header="0.5" footer="0.5"/>
  <pageSetup orientation="portrait"/>
  <ignoredErrors>
    <ignoredError sqref="D2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A2" workbookViewId="0">
      <selection activeCell="A16" sqref="A16:XFD16"/>
    </sheetView>
  </sheetViews>
  <sheetFormatPr defaultColWidth="9" defaultRowHeight="14.4"/>
  <cols>
    <col min="2" max="2" width="8.88671875" style="1"/>
    <col min="3" max="3" width="8.88671875" style="2"/>
    <col min="4" max="5" width="11" style="3" customWidth="1"/>
    <col min="6" max="7" width="10.33203125" style="4" customWidth="1"/>
  </cols>
  <sheetData>
    <row r="1" spans="1:8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5" t="s">
        <v>7</v>
      </c>
    </row>
    <row r="2" spans="1:8">
      <c r="A2" t="s">
        <v>8</v>
      </c>
      <c r="B2" s="1">
        <v>0.14000000000000001</v>
      </c>
      <c r="C2" s="2">
        <v>120000</v>
      </c>
      <c r="D2" s="3">
        <v>16800</v>
      </c>
      <c r="E2" s="3">
        <v>15120</v>
      </c>
      <c r="F2" s="10" t="s">
        <v>9</v>
      </c>
      <c r="G2" s="4" t="s">
        <v>10</v>
      </c>
      <c r="H2">
        <v>1</v>
      </c>
    </row>
    <row r="3" spans="1:8">
      <c r="A3" t="s">
        <v>13</v>
      </c>
      <c r="B3" s="1">
        <v>8.69</v>
      </c>
      <c r="C3" s="2">
        <v>400</v>
      </c>
      <c r="D3" s="3">
        <v>3476</v>
      </c>
      <c r="E3" s="11">
        <v>3128.4</v>
      </c>
      <c r="F3" s="10" t="s">
        <v>12</v>
      </c>
      <c r="G3" s="10" t="s">
        <v>14</v>
      </c>
      <c r="H3">
        <v>1</v>
      </c>
    </row>
    <row r="4" spans="1:8">
      <c r="A4" t="s">
        <v>31</v>
      </c>
      <c r="B4" s="1">
        <v>0.38</v>
      </c>
      <c r="C4" s="2">
        <v>1200</v>
      </c>
      <c r="D4" s="3">
        <v>456</v>
      </c>
      <c r="E4" s="3">
        <v>410.4</v>
      </c>
      <c r="F4" s="10" t="s">
        <v>32</v>
      </c>
      <c r="G4" s="4" t="s">
        <v>33</v>
      </c>
      <c r="H4">
        <v>1</v>
      </c>
    </row>
    <row r="5" spans="1:8">
      <c r="A5" t="s">
        <v>27</v>
      </c>
      <c r="B5" s="1">
        <v>0.20499999999999999</v>
      </c>
      <c r="C5" s="2">
        <v>10000</v>
      </c>
      <c r="D5" s="3">
        <v>2050</v>
      </c>
      <c r="E5" s="3">
        <v>1845</v>
      </c>
      <c r="F5" s="10" t="s">
        <v>19</v>
      </c>
      <c r="G5" s="4" t="s">
        <v>28</v>
      </c>
      <c r="H5">
        <v>1</v>
      </c>
    </row>
    <row r="6" spans="1:8">
      <c r="A6" t="s">
        <v>35</v>
      </c>
      <c r="B6" s="1">
        <v>0.35</v>
      </c>
      <c r="C6" s="2">
        <v>4000</v>
      </c>
      <c r="D6" s="3">
        <v>1400</v>
      </c>
      <c r="E6" s="3">
        <v>1260</v>
      </c>
      <c r="F6" s="10" t="s">
        <v>32</v>
      </c>
      <c r="G6" s="4" t="s">
        <v>36</v>
      </c>
      <c r="H6">
        <v>1</v>
      </c>
    </row>
    <row r="7" spans="1:8">
      <c r="A7" t="s">
        <v>37</v>
      </c>
      <c r="B7" s="1">
        <v>0.45</v>
      </c>
      <c r="C7" s="2">
        <v>10000</v>
      </c>
      <c r="D7" s="3">
        <v>4500</v>
      </c>
      <c r="E7" s="3">
        <v>4050</v>
      </c>
      <c r="F7" s="10" t="s">
        <v>38</v>
      </c>
      <c r="G7" s="4" t="s">
        <v>36</v>
      </c>
      <c r="H7">
        <v>1</v>
      </c>
    </row>
    <row r="8" spans="1:8">
      <c r="A8" t="s">
        <v>21</v>
      </c>
      <c r="B8" s="1">
        <v>0.28000000000000003</v>
      </c>
      <c r="C8" s="2">
        <v>55000</v>
      </c>
      <c r="D8" s="3">
        <v>15400</v>
      </c>
      <c r="E8" s="3">
        <v>13860</v>
      </c>
      <c r="F8" s="10" t="s">
        <v>19</v>
      </c>
      <c r="G8" s="4" t="s">
        <v>22</v>
      </c>
      <c r="H8">
        <v>1</v>
      </c>
    </row>
    <row r="9" spans="1:8">
      <c r="A9" t="s">
        <v>29</v>
      </c>
      <c r="B9" s="1">
        <v>0.22220000000000001</v>
      </c>
      <c r="C9" s="2">
        <v>45000</v>
      </c>
      <c r="D9" s="3">
        <v>9999</v>
      </c>
      <c r="E9" s="3">
        <v>8999.1</v>
      </c>
      <c r="F9" s="10" t="s">
        <v>30</v>
      </c>
      <c r="G9" s="4" t="s">
        <v>28</v>
      </c>
      <c r="H9">
        <v>1</v>
      </c>
    </row>
    <row r="10" spans="1:8">
      <c r="A10" t="s">
        <v>23</v>
      </c>
      <c r="B10" s="1">
        <v>0.1875</v>
      </c>
      <c r="C10" s="2">
        <v>69000</v>
      </c>
      <c r="D10" s="3">
        <f>B10*C10</f>
        <v>12937.5</v>
      </c>
      <c r="E10" s="3">
        <f>D10*0.9</f>
        <v>11643.75</v>
      </c>
      <c r="F10" s="10" t="s">
        <v>24</v>
      </c>
      <c r="G10" s="4" t="s">
        <v>22</v>
      </c>
      <c r="H10">
        <v>1</v>
      </c>
    </row>
    <row r="11" spans="1:8">
      <c r="A11" t="s">
        <v>34</v>
      </c>
      <c r="B11" s="1">
        <v>0.2</v>
      </c>
      <c r="C11" s="2">
        <v>7200</v>
      </c>
      <c r="D11" s="3">
        <f>B11*C11</f>
        <v>1440</v>
      </c>
      <c r="E11" s="3">
        <f>D11*0.9</f>
        <v>1296</v>
      </c>
      <c r="F11" s="10">
        <v>46261</v>
      </c>
      <c r="G11" s="4">
        <v>46275</v>
      </c>
      <c r="H11">
        <v>1</v>
      </c>
    </row>
    <row r="12" spans="1:8">
      <c r="A12" t="s">
        <v>39</v>
      </c>
      <c r="B12" s="1">
        <v>0.27</v>
      </c>
      <c r="C12" s="2">
        <v>7000</v>
      </c>
      <c r="D12" s="3">
        <v>1890</v>
      </c>
      <c r="E12" s="3">
        <v>1701</v>
      </c>
      <c r="F12" s="10" t="s">
        <v>26</v>
      </c>
      <c r="G12" s="4" t="s">
        <v>36</v>
      </c>
      <c r="H12">
        <v>1</v>
      </c>
    </row>
    <row r="13" spans="1:8">
      <c r="A13" t="s">
        <v>15</v>
      </c>
      <c r="B13" s="1">
        <v>0.05</v>
      </c>
      <c r="C13" s="2">
        <v>27000</v>
      </c>
      <c r="D13" s="3">
        <v>1350</v>
      </c>
      <c r="E13" s="11">
        <f>D13</f>
        <v>1350</v>
      </c>
      <c r="F13" s="10" t="s">
        <v>16</v>
      </c>
      <c r="G13" s="10" t="s">
        <v>17</v>
      </c>
      <c r="H13">
        <v>1</v>
      </c>
    </row>
    <row r="14" spans="1:8">
      <c r="A14" t="s">
        <v>25</v>
      </c>
      <c r="B14" s="1">
        <v>7.0499999999999993E-2</v>
      </c>
      <c r="C14" s="2">
        <v>30000</v>
      </c>
      <c r="D14" s="3">
        <f>B14*C14</f>
        <v>2115</v>
      </c>
      <c r="E14" s="3">
        <f>D14*0.9</f>
        <v>1903.5</v>
      </c>
      <c r="F14" s="10" t="s">
        <v>26</v>
      </c>
      <c r="G14" s="10" t="s">
        <v>22</v>
      </c>
      <c r="H14">
        <v>1</v>
      </c>
    </row>
    <row r="15" spans="1:8">
      <c r="A15" t="s">
        <v>25</v>
      </c>
      <c r="B15" s="1">
        <v>0.14000000000000001</v>
      </c>
      <c r="C15" s="2">
        <v>30000</v>
      </c>
      <c r="D15" s="3">
        <f>B15*C15</f>
        <v>4200</v>
      </c>
      <c r="E15" s="3">
        <f>D15*0.9</f>
        <v>3780</v>
      </c>
      <c r="F15" s="4">
        <v>46290</v>
      </c>
      <c r="G15" s="4">
        <v>46307</v>
      </c>
      <c r="H15">
        <v>1</v>
      </c>
    </row>
    <row r="16" spans="1:8">
      <c r="A16" t="s">
        <v>47</v>
      </c>
      <c r="B16" s="1">
        <v>1.4</v>
      </c>
      <c r="C16" s="2">
        <v>7500</v>
      </c>
      <c r="D16" s="3">
        <f>B16*C16</f>
        <v>10500</v>
      </c>
      <c r="E16" s="13">
        <f>D16*0.9</f>
        <v>9450</v>
      </c>
      <c r="F16" s="4">
        <v>46302</v>
      </c>
      <c r="G16" s="4">
        <v>46317</v>
      </c>
      <c r="H16">
        <v>1</v>
      </c>
    </row>
    <row r="17" spans="1:8">
      <c r="A17" t="s">
        <v>44</v>
      </c>
      <c r="B17" s="1">
        <v>0.6</v>
      </c>
      <c r="C17" s="2">
        <v>6000</v>
      </c>
      <c r="D17" s="3">
        <f>B17*C17</f>
        <v>3600</v>
      </c>
      <c r="E17" s="3">
        <f>D17*0.9</f>
        <v>3240</v>
      </c>
      <c r="F17" s="10">
        <v>46272</v>
      </c>
      <c r="G17" s="4">
        <v>46287</v>
      </c>
      <c r="H17">
        <v>1</v>
      </c>
    </row>
    <row r="18" spans="1:8">
      <c r="A18" t="s">
        <v>18</v>
      </c>
      <c r="B18" s="1">
        <v>0.5</v>
      </c>
      <c r="C18" s="2">
        <v>24000</v>
      </c>
      <c r="D18" s="3">
        <v>12000</v>
      </c>
      <c r="E18" s="11">
        <f>D18</f>
        <v>12000</v>
      </c>
      <c r="F18" s="10" t="s">
        <v>19</v>
      </c>
      <c r="G18" s="10" t="s">
        <v>17</v>
      </c>
      <c r="H18">
        <v>1</v>
      </c>
    </row>
    <row r="19" spans="1:8">
      <c r="A19" t="s">
        <v>40</v>
      </c>
      <c r="B19" s="1">
        <v>0.5</v>
      </c>
      <c r="C19" s="2">
        <v>10000</v>
      </c>
      <c r="D19" s="3">
        <f>B19*C19</f>
        <v>5000</v>
      </c>
      <c r="E19" s="3">
        <f>D19*0.9</f>
        <v>4500</v>
      </c>
      <c r="F19" s="10">
        <v>46261</v>
      </c>
      <c r="G19" s="4">
        <v>46276</v>
      </c>
      <c r="H19">
        <v>1</v>
      </c>
    </row>
    <row r="20" spans="1:8">
      <c r="A20" t="s">
        <v>11</v>
      </c>
      <c r="B20" s="1">
        <v>0.1</v>
      </c>
      <c r="C20" s="2">
        <v>17500</v>
      </c>
      <c r="D20" s="3">
        <v>1750</v>
      </c>
      <c r="E20" s="3">
        <v>1575</v>
      </c>
      <c r="F20" s="10" t="s">
        <v>12</v>
      </c>
      <c r="G20" s="4" t="s">
        <v>10</v>
      </c>
      <c r="H20">
        <v>1</v>
      </c>
    </row>
    <row r="21" spans="1:8">
      <c r="A21" t="s">
        <v>41</v>
      </c>
      <c r="B21" s="12">
        <v>0.1133</v>
      </c>
      <c r="C21" s="2">
        <v>25000</v>
      </c>
      <c r="D21" s="3">
        <f>B21*C21</f>
        <v>2832.5</v>
      </c>
      <c r="E21" s="3">
        <f>D21*0.9</f>
        <v>2549.25</v>
      </c>
      <c r="F21" s="10" t="s">
        <v>24</v>
      </c>
      <c r="G21" s="4" t="s">
        <v>36</v>
      </c>
      <c r="H21">
        <v>1</v>
      </c>
    </row>
    <row r="22" spans="1:8">
      <c r="A22" t="s">
        <v>42</v>
      </c>
      <c r="B22" s="1">
        <v>0.38</v>
      </c>
      <c r="C22" s="2">
        <v>1000</v>
      </c>
      <c r="D22" s="3">
        <v>380</v>
      </c>
      <c r="E22" s="3">
        <v>342</v>
      </c>
      <c r="F22" s="10" t="s">
        <v>32</v>
      </c>
      <c r="G22" s="4" t="s">
        <v>36</v>
      </c>
      <c r="H22">
        <v>1</v>
      </c>
    </row>
    <row r="23" spans="1:8">
      <c r="A23" t="s">
        <v>43</v>
      </c>
      <c r="B23" s="1">
        <v>0.9</v>
      </c>
      <c r="C23" s="2">
        <v>4000</v>
      </c>
      <c r="D23" s="3">
        <v>3600</v>
      </c>
      <c r="E23" s="3">
        <v>3472</v>
      </c>
      <c r="F23" s="10" t="s">
        <v>32</v>
      </c>
      <c r="G23" s="4" t="s">
        <v>36</v>
      </c>
      <c r="H23">
        <v>1</v>
      </c>
    </row>
    <row r="24" spans="1:8">
      <c r="A24" t="s">
        <v>45</v>
      </c>
      <c r="B24" s="1">
        <v>0.1434</v>
      </c>
      <c r="C24" s="2">
        <v>50000</v>
      </c>
      <c r="D24" s="3">
        <v>7170</v>
      </c>
      <c r="E24" s="3">
        <v>6453</v>
      </c>
      <c r="F24" s="10" t="s">
        <v>24</v>
      </c>
      <c r="G24" s="4" t="s">
        <v>46</v>
      </c>
      <c r="H24">
        <v>1</v>
      </c>
    </row>
    <row r="25" spans="1:8">
      <c r="A25" t="s">
        <v>20</v>
      </c>
      <c r="B25" s="1">
        <v>0.193</v>
      </c>
      <c r="C25" s="2">
        <v>20000</v>
      </c>
      <c r="D25" s="3">
        <v>3860</v>
      </c>
      <c r="E25" s="11">
        <v>3474</v>
      </c>
      <c r="F25" s="10" t="s">
        <v>12</v>
      </c>
      <c r="G25" s="10" t="s">
        <v>17</v>
      </c>
      <c r="H25">
        <v>1</v>
      </c>
    </row>
    <row r="26" spans="1:8">
      <c r="D26" s="3">
        <f>SUM(D2:D25)</f>
        <v>128706</v>
      </c>
      <c r="E26" s="3">
        <f>SUM(E2:E25)</f>
        <v>117402.4</v>
      </c>
    </row>
  </sheetData>
  <sortState xmlns:xlrd2="http://schemas.microsoft.com/office/spreadsheetml/2017/richdata2" ref="A2:H25">
    <sortCondition ref="A2:A25"/>
  </sortState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PDATE</vt:lpstr>
      <vt:lpstr>XDATE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 Soontarinka</cp:lastModifiedBy>
  <dcterms:created xsi:type="dcterms:W3CDTF">2026-08-20T08:14:00Z</dcterms:created>
  <dcterms:modified xsi:type="dcterms:W3CDTF">2026-10-08T12:50:28Z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07E14B4AD6EE472EB15590F2DF9A6682_12</vt:lpwstr>
  </property>
  <property fmtid="{D5CDD505-2E9C-101B-9397-08002B2CF9AE}" pid="3" name="KSOProductBuildVer">
    <vt:lpwstr>2057-12.2.0.23206</vt:lpwstr>
  </property>
</Properties>
</file>