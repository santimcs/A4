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72" documentId="11_085DDD1F504120DEE54878D642782EBDB11F8448" xr6:coauthVersionLast="47" xr6:coauthVersionMax="47" xr10:uidLastSave="{1DF0647A-7E71-4343-B014-FD95484D3363}"/>
  <bookViews>
    <workbookView xWindow="10848" yWindow="1008" windowWidth="11256" windowHeight="10764" xr2:uid="{00000000-000D-0000-FFFF-FFFF00000000}"/>
  </bookViews>
  <sheets>
    <sheet name="paiddate" sheetId="2" r:id="rId1"/>
    <sheet name="xda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D16" i="2" s="1"/>
  <c r="D15" i="2"/>
  <c r="E15" i="2" s="1"/>
  <c r="D14" i="2"/>
  <c r="E14" i="2" s="1"/>
  <c r="E16" i="2" s="1"/>
  <c r="C13" i="2"/>
  <c r="D13" i="2" s="1"/>
  <c r="D12" i="2"/>
  <c r="E12" i="2" s="1"/>
  <c r="D11" i="2"/>
  <c r="E11" i="2" s="1"/>
  <c r="E13" i="2" s="1"/>
  <c r="D3" i="2"/>
  <c r="E3" i="2" s="1"/>
  <c r="D9" i="2"/>
  <c r="E9" i="2" s="1"/>
  <c r="E10" i="2" s="1"/>
  <c r="E15" i="1"/>
  <c r="E14" i="1"/>
  <c r="C16" i="1"/>
  <c r="D16" i="1" s="1"/>
  <c r="D15" i="1"/>
  <c r="D14" i="1"/>
  <c r="D4" i="1"/>
  <c r="E4" i="1" s="1"/>
  <c r="D9" i="1"/>
  <c r="E9" i="1" s="1"/>
  <c r="C13" i="1"/>
  <c r="D11" i="1"/>
  <c r="E11" i="1" s="1"/>
  <c r="E16" i="1" l="1"/>
  <c r="D12" i="1"/>
  <c r="E12" i="1" s="1"/>
  <c r="E13" i="1" s="1"/>
  <c r="D13" i="1"/>
  <c r="E10" i="1" l="1"/>
</calcChain>
</file>

<file path=xl/sharedStrings.xml><?xml version="1.0" encoding="utf-8"?>
<sst xmlns="http://schemas.openxmlformats.org/spreadsheetml/2006/main" count="70" uniqueCount="27">
  <si>
    <t>name</t>
  </si>
  <si>
    <t>qtrly</t>
  </si>
  <si>
    <t>shares</t>
  </si>
  <si>
    <t>amount</t>
  </si>
  <si>
    <t>net</t>
  </si>
  <si>
    <t>publish_date</t>
  </si>
  <si>
    <t>xdate</t>
  </si>
  <si>
    <t>paiddate</t>
  </si>
  <si>
    <t>CPNREIT</t>
  </si>
  <si>
    <t>2025-05-08</t>
  </si>
  <si>
    <t>DIF</t>
  </si>
  <si>
    <t>2025-05-14</t>
  </si>
  <si>
    <t>GVREIT</t>
  </si>
  <si>
    <t>2025-02-13</t>
  </si>
  <si>
    <t>IVL</t>
  </si>
  <si>
    <t>2025-05-09</t>
  </si>
  <si>
    <t>TFFIF</t>
  </si>
  <si>
    <t>WHAIR</t>
  </si>
  <si>
    <t>WHART</t>
  </si>
  <si>
    <t>2025-05-07</t>
  </si>
  <si>
    <t>SANTI</t>
  </si>
  <si>
    <t>2024-02-20</t>
  </si>
  <si>
    <t>POM</t>
  </si>
  <si>
    <t xml:space="preserve"> </t>
  </si>
  <si>
    <t>AIMIRT</t>
  </si>
  <si>
    <t>MAM</t>
  </si>
  <si>
    <t>3BBIF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</si>
</sst>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0.0000"/>
    <numFmt numFmtId="166" formatCode="&quot;$&quot;#,##0.00"/>
    <numFmt numFmtId="167" formatCode="[$฿-41E]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5" fontId="2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F94E-FDC8-4460-BB4E-44FB436D24A2}">
  <dimension ref="A1:H16"/>
  <sheetViews>
    <sheetView tabSelected="1" workbookViewId="0">
      <selection activeCell="E10" sqref="E10"/>
    </sheetView>
  </sheetViews>
  <sheetFormatPr defaultRowHeight="14.4" x14ac:dyDescent="0.3"/>
  <cols>
    <col min="2" max="2" width="8.88671875" style="5"/>
    <col min="3" max="3" width="8.88671875" style="7"/>
    <col min="4" max="4" width="9.88671875" style="9" bestFit="1" customWidth="1"/>
    <col min="5" max="5" width="11" style="9" bestFit="1" customWidth="1"/>
    <col min="6" max="6" width="10.6640625" bestFit="1" customWidth="1"/>
    <col min="7" max="8" width="10.33203125" style="3" bestFit="1" customWidth="1"/>
  </cols>
  <sheetData>
    <row r="1" spans="1:8" x14ac:dyDescent="0.3">
      <c r="A1" s="1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t="s">
        <v>18</v>
      </c>
      <c r="B2" s="5">
        <v>0.1915</v>
      </c>
      <c r="C2" s="7">
        <v>20000</v>
      </c>
      <c r="D2" s="9">
        <v>3830</v>
      </c>
      <c r="E2" s="13">
        <v>3447</v>
      </c>
      <c r="F2" t="s">
        <v>19</v>
      </c>
      <c r="G2" s="3">
        <v>46161</v>
      </c>
      <c r="H2" s="3">
        <v>46178</v>
      </c>
    </row>
    <row r="3" spans="1:8" x14ac:dyDescent="0.3">
      <c r="A3" t="s">
        <v>24</v>
      </c>
      <c r="B3" s="5">
        <v>0.20499999999999999</v>
      </c>
      <c r="C3" s="7">
        <v>900</v>
      </c>
      <c r="D3" s="9">
        <f>B3*C3</f>
        <v>184.5</v>
      </c>
      <c r="E3" s="13">
        <f>D3*0.9</f>
        <v>166.05</v>
      </c>
      <c r="F3" s="3">
        <v>46164</v>
      </c>
      <c r="G3" s="3">
        <v>46164</v>
      </c>
      <c r="H3" s="3">
        <v>46183</v>
      </c>
    </row>
    <row r="4" spans="1:8" x14ac:dyDescent="0.3">
      <c r="A4" t="s">
        <v>10</v>
      </c>
      <c r="B4" s="5">
        <v>0.22220000000000001</v>
      </c>
      <c r="C4" s="7">
        <v>45000</v>
      </c>
      <c r="D4" s="9">
        <v>9999</v>
      </c>
      <c r="E4" s="13">
        <v>8999.1</v>
      </c>
      <c r="F4" t="s">
        <v>11</v>
      </c>
      <c r="G4" s="3">
        <v>46157</v>
      </c>
      <c r="H4" s="3">
        <v>46183</v>
      </c>
    </row>
    <row r="5" spans="1:8" x14ac:dyDescent="0.3">
      <c r="A5" t="s">
        <v>12</v>
      </c>
      <c r="B5" s="12">
        <v>0.1946</v>
      </c>
      <c r="C5" s="7">
        <v>69000</v>
      </c>
      <c r="D5" s="9">
        <v>13427.4</v>
      </c>
      <c r="E5" s="13">
        <v>12084.66</v>
      </c>
      <c r="F5" t="s">
        <v>13</v>
      </c>
      <c r="G5" s="3">
        <v>46168</v>
      </c>
      <c r="H5" s="3">
        <v>46184</v>
      </c>
    </row>
    <row r="6" spans="1:8" x14ac:dyDescent="0.3">
      <c r="A6" t="s">
        <v>8</v>
      </c>
      <c r="B6" s="11">
        <v>0.28000000000000003</v>
      </c>
      <c r="C6" s="7">
        <v>55000</v>
      </c>
      <c r="D6" s="9">
        <v>15400</v>
      </c>
      <c r="E6" s="13">
        <v>13860</v>
      </c>
      <c r="F6" t="s">
        <v>9</v>
      </c>
      <c r="G6" s="3">
        <v>46170</v>
      </c>
      <c r="H6" s="3">
        <v>46184</v>
      </c>
    </row>
    <row r="7" spans="1:8" x14ac:dyDescent="0.3">
      <c r="A7" t="s">
        <v>14</v>
      </c>
      <c r="B7" s="5">
        <v>0.17499999999999999</v>
      </c>
      <c r="C7" s="7">
        <v>7200</v>
      </c>
      <c r="D7" s="9">
        <v>1260</v>
      </c>
      <c r="E7" s="13">
        <v>1134</v>
      </c>
      <c r="F7" t="s">
        <v>15</v>
      </c>
      <c r="G7" s="3">
        <v>46170</v>
      </c>
      <c r="H7" s="3">
        <v>46185</v>
      </c>
    </row>
    <row r="8" spans="1:8" x14ac:dyDescent="0.3">
      <c r="A8" t="s">
        <v>16</v>
      </c>
      <c r="B8" s="11">
        <v>0.12039999999999999</v>
      </c>
      <c r="C8" s="7">
        <v>25000</v>
      </c>
      <c r="D8" s="9">
        <v>3010</v>
      </c>
      <c r="E8" s="13">
        <v>2709</v>
      </c>
      <c r="F8" t="s">
        <v>13</v>
      </c>
      <c r="G8" s="3">
        <v>46169</v>
      </c>
      <c r="H8" s="3">
        <v>46189</v>
      </c>
    </row>
    <row r="9" spans="1:8" x14ac:dyDescent="0.3">
      <c r="A9" t="s">
        <v>17</v>
      </c>
      <c r="B9" s="11">
        <v>0.1434</v>
      </c>
      <c r="C9" s="7">
        <v>50000</v>
      </c>
      <c r="D9" s="9">
        <f>B9*C9</f>
        <v>7170</v>
      </c>
      <c r="E9" s="13">
        <f>D9*0.9</f>
        <v>6453</v>
      </c>
      <c r="F9" t="s">
        <v>11</v>
      </c>
      <c r="G9" s="3">
        <v>46164</v>
      </c>
      <c r="H9" s="3">
        <v>46191</v>
      </c>
    </row>
    <row r="10" spans="1:8" x14ac:dyDescent="0.3">
      <c r="E10" s="13">
        <f>SUM(E2:E9)</f>
        <v>48852.81</v>
      </c>
    </row>
    <row r="11" spans="1:8" x14ac:dyDescent="0.3">
      <c r="A11" t="s">
        <v>20</v>
      </c>
      <c r="B11" s="11">
        <v>0.28000000000000003</v>
      </c>
      <c r="C11" s="7">
        <v>55000</v>
      </c>
      <c r="D11" s="10">
        <f t="shared" ref="D11:D16" si="0">B11*C11</f>
        <v>15400.000000000002</v>
      </c>
      <c r="E11" s="14">
        <f>D11*0.9</f>
        <v>13860.000000000002</v>
      </c>
      <c r="F11" s="3" t="s">
        <v>21</v>
      </c>
      <c r="G11" s="3">
        <v>46170</v>
      </c>
      <c r="H11" s="3">
        <v>46184</v>
      </c>
    </row>
    <row r="12" spans="1:8" x14ac:dyDescent="0.3">
      <c r="A12" t="s">
        <v>22</v>
      </c>
      <c r="B12" s="11">
        <v>0.28000000000000003</v>
      </c>
      <c r="C12" s="7">
        <v>24000</v>
      </c>
      <c r="D12" s="10">
        <f t="shared" si="0"/>
        <v>6720.0000000000009</v>
      </c>
      <c r="E12" s="14">
        <f>D12*0.9</f>
        <v>6048.0000000000009</v>
      </c>
      <c r="F12" s="3" t="s">
        <v>21</v>
      </c>
      <c r="G12" s="3">
        <v>46170</v>
      </c>
      <c r="H12" s="3">
        <v>46184</v>
      </c>
    </row>
    <row r="13" spans="1:8" x14ac:dyDescent="0.3">
      <c r="A13" t="s">
        <v>8</v>
      </c>
      <c r="B13" s="11">
        <v>0.28000000000000003</v>
      </c>
      <c r="C13" s="7">
        <f>SUM(C11:C12)</f>
        <v>79000</v>
      </c>
      <c r="D13" s="9">
        <f t="shared" si="0"/>
        <v>22120.000000000004</v>
      </c>
      <c r="E13" s="14">
        <f>E11+E12</f>
        <v>19908.000000000004</v>
      </c>
      <c r="F13" s="3" t="s">
        <v>21</v>
      </c>
      <c r="G13" s="3">
        <v>46170</v>
      </c>
      <c r="H13" s="3">
        <v>46184</v>
      </c>
    </row>
    <row r="14" spans="1:8" x14ac:dyDescent="0.3">
      <c r="A14" t="s">
        <v>20</v>
      </c>
      <c r="B14" s="11">
        <v>0.14000000000000001</v>
      </c>
      <c r="C14" s="7">
        <v>120000</v>
      </c>
      <c r="D14" s="10">
        <f t="shared" si="0"/>
        <v>16800</v>
      </c>
      <c r="E14" s="10">
        <f>D14</f>
        <v>16800</v>
      </c>
      <c r="F14" s="3" t="s">
        <v>21</v>
      </c>
      <c r="H14" s="3">
        <v>46177</v>
      </c>
    </row>
    <row r="15" spans="1:8" x14ac:dyDescent="0.3">
      <c r="A15" t="s">
        <v>25</v>
      </c>
      <c r="B15" s="11">
        <v>0.14000000000000001</v>
      </c>
      <c r="C15" s="7">
        <v>30000</v>
      </c>
      <c r="D15" s="10">
        <f t="shared" si="0"/>
        <v>4200</v>
      </c>
      <c r="E15" s="10">
        <f>D15</f>
        <v>4200</v>
      </c>
      <c r="F15" s="3" t="s">
        <v>21</v>
      </c>
      <c r="H15" s="3">
        <v>46177</v>
      </c>
    </row>
    <row r="16" spans="1:8" x14ac:dyDescent="0.3">
      <c r="A16" t="s">
        <v>26</v>
      </c>
      <c r="B16" s="11">
        <v>0.28000000000000003</v>
      </c>
      <c r="C16" s="7">
        <f>SUM(C14:C15)</f>
        <v>150000</v>
      </c>
      <c r="D16" s="9">
        <f t="shared" si="0"/>
        <v>42000.000000000007</v>
      </c>
      <c r="E16" s="14">
        <f>E14+E15</f>
        <v>21000</v>
      </c>
      <c r="F16" s="3" t="s">
        <v>21</v>
      </c>
      <c r="H16" s="3">
        <v>46177</v>
      </c>
    </row>
  </sheetData>
  <sortState xmlns:xlrd2="http://schemas.microsoft.com/office/spreadsheetml/2017/richdata2" ref="A2:H9">
    <sortCondition ref="H2:H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E3" sqref="E3"/>
    </sheetView>
  </sheetViews>
  <sheetFormatPr defaultRowHeight="14.4" x14ac:dyDescent="0.3"/>
  <cols>
    <col min="2" max="2" width="8.77734375" style="5"/>
    <col min="3" max="3" width="8.77734375" style="7"/>
    <col min="4" max="4" width="9.88671875" style="9" bestFit="1" customWidth="1"/>
    <col min="5" max="5" width="11" style="9" bestFit="1" customWidth="1"/>
    <col min="6" max="6" width="10.6640625" bestFit="1" customWidth="1"/>
    <col min="7" max="8" width="10.33203125" style="3" bestFit="1" customWidth="1"/>
  </cols>
  <sheetData>
    <row r="1" spans="1:8" x14ac:dyDescent="0.3">
      <c r="A1" s="1" t="s">
        <v>0</v>
      </c>
      <c r="B1" s="4" t="s">
        <v>1</v>
      </c>
      <c r="C1" s="6" t="s">
        <v>2</v>
      </c>
      <c r="D1" s="8" t="s">
        <v>3</v>
      </c>
      <c r="E1" s="8" t="s">
        <v>4</v>
      </c>
      <c r="F1" s="1" t="s">
        <v>5</v>
      </c>
      <c r="G1" s="2" t="s">
        <v>6</v>
      </c>
      <c r="H1" s="2" t="s">
        <v>7</v>
      </c>
    </row>
    <row r="2" spans="1:8" x14ac:dyDescent="0.3">
      <c r="A2" t="s">
        <v>10</v>
      </c>
      <c r="B2" s="5">
        <v>0.22220000000000001</v>
      </c>
      <c r="C2" s="7">
        <v>45000</v>
      </c>
      <c r="D2" s="9">
        <v>9999</v>
      </c>
      <c r="E2" s="9">
        <v>8999.1</v>
      </c>
      <c r="F2" t="s">
        <v>11</v>
      </c>
      <c r="G2" s="3">
        <v>46157</v>
      </c>
      <c r="H2" s="3">
        <v>46183</v>
      </c>
    </row>
    <row r="3" spans="1:8" x14ac:dyDescent="0.3">
      <c r="A3" t="s">
        <v>18</v>
      </c>
      <c r="B3" s="5">
        <v>0.1915</v>
      </c>
      <c r="C3" s="7">
        <v>20000</v>
      </c>
      <c r="D3" s="9">
        <v>3830</v>
      </c>
      <c r="E3" s="13">
        <v>3447</v>
      </c>
      <c r="F3" t="s">
        <v>19</v>
      </c>
      <c r="G3" s="3">
        <v>46161</v>
      </c>
      <c r="H3" s="3">
        <v>46178</v>
      </c>
    </row>
    <row r="4" spans="1:8" x14ac:dyDescent="0.3">
      <c r="A4" t="s">
        <v>17</v>
      </c>
      <c r="B4" s="11">
        <v>0.1434</v>
      </c>
      <c r="C4" s="7">
        <v>50000</v>
      </c>
      <c r="D4" s="9">
        <f>B4*C4</f>
        <v>7170</v>
      </c>
      <c r="E4" s="9">
        <f>D4*0.9</f>
        <v>6453</v>
      </c>
      <c r="F4" t="s">
        <v>11</v>
      </c>
      <c r="G4" s="3">
        <v>46164</v>
      </c>
      <c r="H4" s="3">
        <v>46191</v>
      </c>
    </row>
    <row r="5" spans="1:8" x14ac:dyDescent="0.3">
      <c r="A5" t="s">
        <v>12</v>
      </c>
      <c r="B5" s="12">
        <v>0.1946</v>
      </c>
      <c r="C5" s="7">
        <v>69000</v>
      </c>
      <c r="D5" s="9">
        <v>13427.4</v>
      </c>
      <c r="E5" s="9">
        <v>12084.66</v>
      </c>
      <c r="F5" t="s">
        <v>13</v>
      </c>
      <c r="G5" s="3">
        <v>46168</v>
      </c>
      <c r="H5" s="3">
        <v>46184</v>
      </c>
    </row>
    <row r="6" spans="1:8" x14ac:dyDescent="0.3">
      <c r="A6" t="s">
        <v>16</v>
      </c>
      <c r="B6" s="11">
        <v>0.12039999999999999</v>
      </c>
      <c r="C6" s="7">
        <v>25000</v>
      </c>
      <c r="D6" s="9">
        <v>3010</v>
      </c>
      <c r="E6" s="9">
        <v>2709</v>
      </c>
      <c r="F6" t="s">
        <v>13</v>
      </c>
      <c r="G6" s="3">
        <v>46169</v>
      </c>
      <c r="H6" s="3">
        <v>46189</v>
      </c>
    </row>
    <row r="7" spans="1:8" x14ac:dyDescent="0.3">
      <c r="A7" t="s">
        <v>8</v>
      </c>
      <c r="B7" s="11">
        <v>0.28000000000000003</v>
      </c>
      <c r="C7" s="7">
        <v>55000</v>
      </c>
      <c r="D7" s="9">
        <v>15400</v>
      </c>
      <c r="E7" s="9">
        <v>13860</v>
      </c>
      <c r="F7" t="s">
        <v>9</v>
      </c>
      <c r="G7" s="3">
        <v>46170</v>
      </c>
      <c r="H7" s="3">
        <v>46184</v>
      </c>
    </row>
    <row r="8" spans="1:8" x14ac:dyDescent="0.3">
      <c r="A8" t="s">
        <v>14</v>
      </c>
      <c r="B8" s="5">
        <v>0.17499999999999999</v>
      </c>
      <c r="C8" s="7">
        <v>7200</v>
      </c>
      <c r="D8" s="9">
        <v>1260</v>
      </c>
      <c r="E8" s="9">
        <v>1134</v>
      </c>
      <c r="F8" t="s">
        <v>15</v>
      </c>
      <c r="G8" s="3">
        <v>46170</v>
      </c>
      <c r="H8" s="3">
        <v>46185</v>
      </c>
    </row>
    <row r="9" spans="1:8" x14ac:dyDescent="0.3">
      <c r="A9" t="s">
        <v>24</v>
      </c>
      <c r="B9" s="5">
        <v>0.20499999999999999</v>
      </c>
      <c r="C9" s="7">
        <v>900</v>
      </c>
      <c r="D9" s="9">
        <f>B9*C9</f>
        <v>184.5</v>
      </c>
      <c r="E9" s="9">
        <f>D9*0.9</f>
        <v>166.05</v>
      </c>
      <c r="F9" s="3">
        <v>46164</v>
      </c>
      <c r="G9" s="3">
        <v>46183</v>
      </c>
      <c r="H9" s="3">
        <v>46178</v>
      </c>
    </row>
    <row r="10" spans="1:8" x14ac:dyDescent="0.3">
      <c r="E10" s="9">
        <f>SUM(E2:E9)</f>
        <v>48852.81</v>
      </c>
    </row>
    <row r="11" spans="1:8" x14ac:dyDescent="0.3">
      <c r="A11" t="s">
        <v>20</v>
      </c>
      <c r="B11" s="11">
        <v>0.28000000000000003</v>
      </c>
      <c r="C11" s="7">
        <v>55000</v>
      </c>
      <c r="D11" s="10">
        <f t="shared" ref="D11:D13" si="0">B11*C11</f>
        <v>15400.000000000002</v>
      </c>
      <c r="E11" s="10">
        <f>D11*0.9</f>
        <v>13860.000000000002</v>
      </c>
      <c r="F11" s="3" t="s">
        <v>21</v>
      </c>
      <c r="G11" s="3">
        <v>46170</v>
      </c>
      <c r="H11" s="3">
        <v>46184</v>
      </c>
    </row>
    <row r="12" spans="1:8" x14ac:dyDescent="0.3">
      <c r="A12" t="s">
        <v>22</v>
      </c>
      <c r="B12" s="11">
        <v>0.28000000000000003</v>
      </c>
      <c r="C12" s="7">
        <v>24000</v>
      </c>
      <c r="D12" s="10">
        <f t="shared" si="0"/>
        <v>6720.0000000000009</v>
      </c>
      <c r="E12" s="10">
        <f>D12*0.9</f>
        <v>6048.0000000000009</v>
      </c>
      <c r="F12" s="3" t="s">
        <v>21</v>
      </c>
      <c r="G12" s="3">
        <v>46170</v>
      </c>
      <c r="H12" s="3">
        <v>46184</v>
      </c>
    </row>
    <row r="13" spans="1:8" x14ac:dyDescent="0.3">
      <c r="A13" t="s">
        <v>23</v>
      </c>
      <c r="B13" s="11">
        <v>0.28000000000000003</v>
      </c>
      <c r="C13" s="7">
        <f>SUM(C11:C12)</f>
        <v>79000</v>
      </c>
      <c r="D13" s="9">
        <f t="shared" si="0"/>
        <v>22120.000000000004</v>
      </c>
      <c r="E13" s="10">
        <f>E11+E12</f>
        <v>19908.000000000004</v>
      </c>
      <c r="F13" s="3" t="s">
        <v>21</v>
      </c>
      <c r="G13" s="3">
        <v>46170</v>
      </c>
      <c r="H13" s="3">
        <v>46184</v>
      </c>
    </row>
    <row r="14" spans="1:8" x14ac:dyDescent="0.3">
      <c r="A14" t="s">
        <v>20</v>
      </c>
      <c r="B14" s="11">
        <v>0.14000000000000001</v>
      </c>
      <c r="C14" s="7">
        <v>120000</v>
      </c>
      <c r="D14" s="10">
        <f t="shared" ref="D14:D16" si="1">B14*C14</f>
        <v>16800</v>
      </c>
      <c r="E14" s="10">
        <f>D14</f>
        <v>16800</v>
      </c>
      <c r="F14" s="3" t="s">
        <v>21</v>
      </c>
      <c r="H14" s="3">
        <v>46177</v>
      </c>
    </row>
    <row r="15" spans="1:8" x14ac:dyDescent="0.3">
      <c r="A15" t="s">
        <v>25</v>
      </c>
      <c r="B15" s="11">
        <v>0.14000000000000001</v>
      </c>
      <c r="C15" s="7">
        <v>30000</v>
      </c>
      <c r="D15" s="10">
        <f t="shared" si="1"/>
        <v>4200</v>
      </c>
      <c r="E15" s="10">
        <f>D15</f>
        <v>4200</v>
      </c>
      <c r="F15" s="3" t="s">
        <v>21</v>
      </c>
      <c r="H15" s="3">
        <v>46177</v>
      </c>
    </row>
    <row r="16" spans="1:8" x14ac:dyDescent="0.3">
      <c r="A16" t="s">
        <v>23</v>
      </c>
      <c r="B16" s="11">
        <v>0.28000000000000003</v>
      </c>
      <c r="C16" s="7">
        <f>SUM(C14:C15)</f>
        <v>150000</v>
      </c>
      <c r="D16" s="9">
        <f t="shared" si="1"/>
        <v>42000.000000000007</v>
      </c>
      <c r="E16" s="10">
        <f>E14+E15</f>
        <v>21000</v>
      </c>
      <c r="F16" s="3" t="s">
        <v>21</v>
      </c>
      <c r="H16" s="3">
        <v>46177</v>
      </c>
    </row>
  </sheetData>
  <sortState xmlns:xlrd2="http://schemas.microsoft.com/office/spreadsheetml/2017/richdata2" ref="A2:H9">
    <sortCondition ref="G2:G9"/>
    <sortCondition ref="A2:A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paiddate</vt:lpstr>
      <vt:lpstr>xdate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Soontarinka</cp:lastModifiedBy>
  <dcterms:created xsi:type="dcterms:W3CDTF">2026-05-20T14:12:06Z</dcterms:created>
  <dcterms:modified xsi:type="dcterms:W3CDTF">2026-06-13T13:06:05Z</dcterms:modified>
</cp:coreProperties>
</file>