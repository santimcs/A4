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328"/>
  <workbookPr/>
  <mc:AlternateContent xmlns:mc="http://schemas.openxmlformats.org/markup-compatibility/2006">
    <mc:Choice Requires="x15">
      <x15ac:absPath xmlns:x15ac="http://schemas.microsoft.com/office/spreadsheetml/2010/11/ac" url="https://d.docs.live.net/c8862359375ebd62/A4/Excel/"/>
    </mc:Choice>
  </mc:AlternateContent>
  <xr:revisionPtr revIDLastSave="41" documentId="11_6DC67CE670ED77F273E5644EB82B149C87549D71" xr6:coauthVersionLast="47" xr6:coauthVersionMax="47" xr10:uidLastSave="{7B977AA0-4090-43A9-A4F6-9D124B863C5E}"/>
  <bookViews>
    <workbookView xWindow="10800" yWindow="1200" windowWidth="11508" windowHeight="10872" xr2:uid="{00000000-000D-0000-FFFF-FFFF00000000}"/>
  </bookViews>
  <sheets>
    <sheet name="Sheet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4" i="1" l="1"/>
  <c r="G14" i="1"/>
  <c r="D14" i="1"/>
  <c r="I25" i="1"/>
  <c r="E25" i="1"/>
  <c r="G25" i="1" s="1"/>
  <c r="H13" i="1"/>
  <c r="G13" i="1"/>
  <c r="D13" i="1"/>
  <c r="I13" i="1" s="1"/>
  <c r="I22" i="1"/>
  <c r="E22" i="1"/>
  <c r="I21" i="1"/>
  <c r="E21" i="1"/>
  <c r="I20" i="1"/>
  <c r="E20" i="1"/>
  <c r="I19" i="1"/>
  <c r="E19" i="1"/>
  <c r="I18" i="1"/>
  <c r="E18" i="1"/>
  <c r="I17" i="1"/>
  <c r="E17" i="1"/>
  <c r="I16" i="1"/>
  <c r="E16" i="1"/>
  <c r="H6" i="1"/>
  <c r="G6" i="1"/>
  <c r="D6" i="1"/>
  <c r="I6" i="1" s="1"/>
  <c r="J6" i="1" s="1"/>
  <c r="H12" i="1"/>
  <c r="G12" i="1"/>
  <c r="D12" i="1"/>
  <c r="H11" i="1"/>
  <c r="G11" i="1"/>
  <c r="D11" i="1"/>
  <c r="I11" i="1" s="1"/>
  <c r="J11" i="1" s="1"/>
  <c r="H10" i="1"/>
  <c r="G10" i="1"/>
  <c r="D10" i="1"/>
  <c r="I10" i="1" s="1"/>
  <c r="J10" i="1" s="1"/>
  <c r="H8" i="1"/>
  <c r="G8" i="1"/>
  <c r="D8" i="1"/>
  <c r="I8" i="1" s="1"/>
  <c r="H5" i="1"/>
  <c r="G5" i="1"/>
  <c r="D5" i="1"/>
  <c r="I5" i="1" s="1"/>
  <c r="J5" i="1" s="1"/>
  <c r="H4" i="1"/>
  <c r="G4" i="1"/>
  <c r="D4" i="1"/>
  <c r="H3" i="1"/>
  <c r="G3" i="1"/>
  <c r="D3" i="1"/>
  <c r="I3" i="1" s="1"/>
  <c r="J3" i="1" s="1"/>
  <c r="H2" i="1"/>
  <c r="G2" i="1"/>
  <c r="D2" i="1"/>
  <c r="I14" i="1" l="1"/>
  <c r="J8" i="1"/>
  <c r="F25" i="1"/>
  <c r="I12" i="1"/>
  <c r="J12" i="1" s="1"/>
  <c r="I2" i="1"/>
  <c r="J2" i="1" s="1"/>
  <c r="J13" i="1"/>
  <c r="I4" i="1"/>
  <c r="J4" i="1" s="1"/>
  <c r="G16" i="1"/>
  <c r="F16" i="1"/>
  <c r="G17" i="1"/>
  <c r="F17" i="1"/>
  <c r="G18" i="1"/>
  <c r="F18" i="1"/>
  <c r="G19" i="1"/>
  <c r="F19" i="1"/>
  <c r="G20" i="1"/>
  <c r="F20" i="1"/>
  <c r="G21" i="1"/>
  <c r="F21" i="1"/>
  <c r="G22" i="1"/>
  <c r="F22" i="1"/>
</calcChain>
</file>

<file path=xl/sharedStrings.xml><?xml version="1.0" encoding="utf-8"?>
<sst xmlns="http://schemas.openxmlformats.org/spreadsheetml/2006/main" count="46" uniqueCount="37">
  <si>
    <t>Name</t>
  </si>
  <si>
    <t>Buy</t>
  </si>
  <si>
    <t>Qty</t>
  </si>
  <si>
    <t>Amt</t>
  </si>
  <si>
    <t>Old Unit</t>
  </si>
  <si>
    <t>Old Qty</t>
  </si>
  <si>
    <t>Old Amt</t>
  </si>
  <si>
    <t>Total Qty</t>
  </si>
  <si>
    <t>New Amt</t>
  </si>
  <si>
    <t>New Unit</t>
  </si>
  <si>
    <t>MA200</t>
  </si>
  <si>
    <t>ADVANC</t>
  </si>
  <si>
    <t>AH</t>
  </si>
  <si>
    <t>AWC</t>
  </si>
  <si>
    <t>BCH</t>
  </si>
  <si>
    <t>GVREIT</t>
  </si>
  <si>
    <t>IVL</t>
  </si>
  <si>
    <t>PROSPECT</t>
  </si>
  <si>
    <t>SINGER</t>
  </si>
  <si>
    <t>SYNEX</t>
  </si>
  <si>
    <t>TFFIF</t>
  </si>
  <si>
    <t>TOA</t>
  </si>
  <si>
    <t>PTG</t>
  </si>
  <si>
    <t>Sell</t>
  </si>
  <si>
    <t>Diff</t>
  </si>
  <si>
    <t>Profit</t>
  </si>
  <si>
    <t>Sales Amt</t>
  </si>
  <si>
    <t>AIMIRT</t>
  </si>
  <si>
    <t>HOLD ยท TREND UP</t>
  </si>
  <si>
    <t>RCL</t>
  </si>
  <si>
    <t>TAKE PROFIT</t>
  </si>
  <si>
    <t>TVO</t>
  </si>
  <si>
    <r>
      <rPr>
        <sz val="9"/>
        <rFont val="Segoe UI"/>
        <family val="2"/>
      </rPr>
      <t xml:space="preserve">HOLD </t>
    </r>
    <r>
      <rPr>
        <sz val="9"/>
        <rFont val="Tahoma"/>
        <family val="2"/>
      </rPr>
      <t>ยท</t>
    </r>
    <r>
      <rPr>
        <sz val="9"/>
        <rFont val="Segoe UI"/>
        <family val="2"/>
      </rPr>
      <t xml:space="preserve"> TREND UP</t>
    </r>
  </si>
  <si>
    <t>WHAIR</t>
  </si>
  <si>
    <t>ORI</t>
  </si>
  <si>
    <t>Short Sales</t>
  </si>
  <si>
    <t>Pending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</si>
</sst>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87" formatCode="#,##0_ "/>
    <numFmt numFmtId="188" formatCode="[$฿-41E]#,##0.00;\-[$฿-41E]#,##0.00"/>
    <numFmt numFmtId="189" formatCode="0.0000_ "/>
    <numFmt numFmtId="190" formatCode="yyyy\-mm\-dd;@"/>
    <numFmt numFmtId="191" formatCode="[$฿-41E]#,##0.00"/>
  </numFmts>
  <fonts count="13" x14ac:knownFonts="1">
    <font>
      <sz val="11"/>
      <color theme="1"/>
      <name val="Tahoma"/>
      <charset val="134"/>
      <scheme val="minor"/>
    </font>
    <font>
      <sz val="11"/>
      <color rgb="FF00B050"/>
      <name val="Tahoma"/>
      <family val="2"/>
      <scheme val="minor"/>
    </font>
    <font>
      <sz val="11"/>
      <color rgb="FFFF0000"/>
      <name val="Tahoma"/>
      <family val="2"/>
      <scheme val="minor"/>
    </font>
    <font>
      <sz val="11"/>
      <name val="Tahoma"/>
      <family val="2"/>
      <scheme val="minor"/>
    </font>
    <font>
      <b/>
      <sz val="11"/>
      <color rgb="FF00B050"/>
      <name val="Tahoma"/>
      <family val="2"/>
      <scheme val="minor"/>
    </font>
    <font>
      <b/>
      <sz val="11"/>
      <name val="Tahoma"/>
      <family val="2"/>
      <scheme val="minor"/>
    </font>
    <font>
      <sz val="9"/>
      <color rgb="FF4CAF50"/>
      <name val="Segoe UI"/>
      <family val="2"/>
    </font>
    <font>
      <sz val="9"/>
      <name val="Segoe UI"/>
      <family val="2"/>
    </font>
    <font>
      <sz val="9"/>
      <color rgb="FF00B050"/>
      <name val="Segoe UI"/>
      <family val="2"/>
    </font>
    <font>
      <sz val="11"/>
      <color indexed="8"/>
      <name val="Tahoma"/>
      <family val="2"/>
      <scheme val="minor"/>
    </font>
    <font>
      <sz val="9"/>
      <name val="Tahoma"/>
      <family val="2"/>
    </font>
    <font>
      <sz val="11"/>
      <color theme="1"/>
      <name val="Tahoma"/>
      <family val="2"/>
      <scheme val="minor"/>
    </font>
    <font>
      <sz val="11"/>
      <name val="Tahom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4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187" fontId="0" fillId="0" borderId="0" xfId="0" applyNumberFormat="1"/>
    <xf numFmtId="188" fontId="0" fillId="0" borderId="0" xfId="0" applyNumberFormat="1"/>
    <xf numFmtId="189" fontId="0" fillId="0" borderId="0" xfId="0" applyNumberFormat="1"/>
    <xf numFmtId="2" fontId="1" fillId="0" borderId="0" xfId="0" applyNumberFormat="1" applyFont="1"/>
    <xf numFmtId="187" fontId="1" fillId="0" borderId="0" xfId="0" applyNumberFormat="1" applyFont="1"/>
    <xf numFmtId="188" fontId="1" fillId="0" borderId="0" xfId="0" applyNumberFormat="1" applyFont="1"/>
    <xf numFmtId="4" fontId="1" fillId="0" borderId="0" xfId="0" applyNumberFormat="1" applyFont="1"/>
    <xf numFmtId="2" fontId="0" fillId="0" borderId="0" xfId="0" applyNumberFormat="1"/>
    <xf numFmtId="4" fontId="0" fillId="0" borderId="0" xfId="0" applyNumberFormat="1"/>
    <xf numFmtId="2" fontId="2" fillId="0" borderId="0" xfId="0" applyNumberFormat="1" applyFont="1"/>
    <xf numFmtId="187" fontId="2" fillId="0" borderId="0" xfId="0" applyNumberFormat="1" applyFont="1"/>
    <xf numFmtId="188" fontId="2" fillId="0" borderId="0" xfId="0" applyNumberFormat="1" applyFont="1"/>
    <xf numFmtId="4" fontId="2" fillId="0" borderId="0" xfId="0" applyNumberFormat="1" applyFont="1"/>
    <xf numFmtId="2" fontId="3" fillId="0" borderId="0" xfId="0" applyNumberFormat="1" applyFont="1"/>
    <xf numFmtId="187" fontId="3" fillId="0" borderId="0" xfId="0" applyNumberFormat="1" applyFont="1"/>
    <xf numFmtId="188" fontId="3" fillId="0" borderId="0" xfId="0" applyNumberFormat="1" applyFont="1"/>
    <xf numFmtId="4" fontId="3" fillId="0" borderId="0" xfId="0" applyNumberFormat="1" applyFont="1"/>
    <xf numFmtId="190" fontId="5" fillId="0" borderId="0" xfId="0" applyNumberFormat="1" applyFont="1"/>
    <xf numFmtId="3" fontId="5" fillId="0" borderId="0" xfId="0" applyNumberFormat="1" applyFont="1"/>
    <xf numFmtId="188" fontId="5" fillId="0" borderId="0" xfId="0" applyNumberFormat="1" applyFont="1"/>
    <xf numFmtId="10" fontId="0" fillId="0" borderId="0" xfId="0" applyNumberFormat="1"/>
    <xf numFmtId="0" fontId="6" fillId="0" borderId="0" xfId="0" applyFont="1"/>
    <xf numFmtId="2" fontId="5" fillId="0" borderId="0" xfId="0" applyNumberFormat="1" applyFont="1"/>
    <xf numFmtId="187" fontId="5" fillId="0" borderId="0" xfId="0" applyNumberFormat="1" applyFont="1"/>
    <xf numFmtId="10" fontId="3" fillId="0" borderId="0" xfId="0" applyNumberFormat="1" applyFont="1"/>
    <xf numFmtId="0" fontId="7" fillId="0" borderId="0" xfId="0" applyFont="1"/>
    <xf numFmtId="10" fontId="1" fillId="0" borderId="0" xfId="0" applyNumberFormat="1" applyFont="1"/>
    <xf numFmtId="0" fontId="8" fillId="0" borderId="0" xfId="0" applyFont="1"/>
    <xf numFmtId="189" fontId="1" fillId="0" borderId="0" xfId="0" applyNumberFormat="1" applyFont="1"/>
    <xf numFmtId="189" fontId="2" fillId="0" borderId="0" xfId="0" applyNumberFormat="1" applyFont="1"/>
    <xf numFmtId="189" fontId="3" fillId="0" borderId="0" xfId="0" applyNumberFormat="1" applyFont="1"/>
    <xf numFmtId="191" fontId="5" fillId="0" borderId="0" xfId="0" applyNumberFormat="1" applyFont="1"/>
    <xf numFmtId="189" fontId="5" fillId="0" borderId="0" xfId="0" applyNumberFormat="1" applyFont="1"/>
    <xf numFmtId="0" fontId="9" fillId="0" borderId="0" xfId="0" applyFont="1"/>
    <xf numFmtId="191" fontId="3" fillId="0" borderId="0" xfId="0" applyNumberFormat="1" applyFont="1"/>
    <xf numFmtId="191" fontId="1" fillId="0" borderId="0" xfId="0" applyNumberFormat="1" applyFont="1"/>
    <xf numFmtId="0" fontId="11" fillId="0" borderId="0" xfId="0" applyFont="1"/>
    <xf numFmtId="190" fontId="12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25"/>
  <sheetViews>
    <sheetView tabSelected="1" topLeftCell="B1" workbookViewId="0">
      <selection activeCell="I14" sqref="I14"/>
    </sheetView>
  </sheetViews>
  <sheetFormatPr defaultColWidth="9" defaultRowHeight="13.8" x14ac:dyDescent="0.25"/>
  <cols>
    <col min="1" max="1" width="10.09765625" customWidth="1"/>
    <col min="2" max="2" width="7" customWidth="1"/>
    <col min="3" max="3" width="7.3984375" style="6" customWidth="1"/>
    <col min="4" max="4" width="11.19921875" style="7" bestFit="1" customWidth="1"/>
    <col min="5" max="5" width="8.09765625" style="7" customWidth="1"/>
    <col min="6" max="6" width="11.19921875" bestFit="1" customWidth="1"/>
    <col min="7" max="7" width="11" bestFit="1" customWidth="1"/>
    <col min="8" max="8" width="10.296875" bestFit="1" customWidth="1"/>
    <col min="9" max="9" width="13.3984375" bestFit="1" customWidth="1"/>
    <col min="10" max="10" width="10" style="8" customWidth="1"/>
    <col min="11" max="11" width="7.3984375" customWidth="1"/>
    <col min="12" max="12" width="15.3984375" customWidth="1"/>
  </cols>
  <sheetData>
    <row r="1" spans="1:12" x14ac:dyDescent="0.25">
      <c r="A1" t="s">
        <v>0</v>
      </c>
      <c r="B1" t="s">
        <v>1</v>
      </c>
      <c r="C1" s="6" t="s">
        <v>2</v>
      </c>
      <c r="D1" s="7" t="s">
        <v>3</v>
      </c>
      <c r="E1" s="7" t="s">
        <v>4</v>
      </c>
      <c r="F1" t="s">
        <v>5</v>
      </c>
      <c r="G1" t="s">
        <v>6</v>
      </c>
      <c r="H1" t="s">
        <v>7</v>
      </c>
      <c r="I1" t="s">
        <v>8</v>
      </c>
      <c r="J1" s="8" t="s">
        <v>9</v>
      </c>
      <c r="K1" t="s">
        <v>10</v>
      </c>
    </row>
    <row r="2" spans="1:12" s="3" customFormat="1" x14ac:dyDescent="0.25">
      <c r="A2" s="3" t="s">
        <v>11</v>
      </c>
      <c r="B2" s="19">
        <v>320</v>
      </c>
      <c r="C2" s="20">
        <v>100</v>
      </c>
      <c r="D2" s="21">
        <f>B2*C2</f>
        <v>32000</v>
      </c>
      <c r="E2" s="21">
        <v>355</v>
      </c>
      <c r="F2" s="20">
        <v>400</v>
      </c>
      <c r="G2" s="22">
        <f>E2*F2</f>
        <v>142000</v>
      </c>
      <c r="H2" s="20">
        <f t="shared" ref="H2:I5" si="0">C2+F2</f>
        <v>500</v>
      </c>
      <c r="I2" s="22">
        <f t="shared" si="0"/>
        <v>174000</v>
      </c>
      <c r="J2" s="36">
        <f>I2/H2</f>
        <v>348</v>
      </c>
      <c r="K2" s="3">
        <v>355.75</v>
      </c>
    </row>
    <row r="3" spans="1:12" x14ac:dyDescent="0.25">
      <c r="A3" t="s">
        <v>12</v>
      </c>
      <c r="B3" s="13">
        <v>14</v>
      </c>
      <c r="C3" s="6">
        <v>1200</v>
      </c>
      <c r="D3" s="7">
        <f>B3*C3</f>
        <v>16800</v>
      </c>
      <c r="E3" s="7">
        <v>37</v>
      </c>
      <c r="F3" s="6">
        <v>1200</v>
      </c>
      <c r="G3" s="14">
        <f>E3*F3</f>
        <v>44400</v>
      </c>
      <c r="H3" s="6">
        <f t="shared" si="0"/>
        <v>2400</v>
      </c>
      <c r="I3" s="14">
        <f t="shared" si="0"/>
        <v>61200</v>
      </c>
      <c r="J3" s="8">
        <f>I3/H3</f>
        <v>25.5</v>
      </c>
      <c r="K3">
        <v>14.03</v>
      </c>
    </row>
    <row r="4" spans="1:12" x14ac:dyDescent="0.25">
      <c r="A4" t="s">
        <v>13</v>
      </c>
      <c r="B4" s="13">
        <v>2.44</v>
      </c>
      <c r="C4" s="6">
        <v>9000</v>
      </c>
      <c r="D4" s="7">
        <f>B4*C4</f>
        <v>21960</v>
      </c>
      <c r="E4" s="7">
        <v>4.96</v>
      </c>
      <c r="F4" s="6">
        <v>9000</v>
      </c>
      <c r="G4" s="14">
        <f>E4*F4</f>
        <v>44640</v>
      </c>
      <c r="H4" s="6">
        <f t="shared" si="0"/>
        <v>18000</v>
      </c>
      <c r="I4" s="14">
        <f t="shared" si="0"/>
        <v>66600</v>
      </c>
      <c r="J4" s="8">
        <f>I4/H4</f>
        <v>3.7</v>
      </c>
      <c r="K4">
        <v>2.4700000000000002</v>
      </c>
    </row>
    <row r="5" spans="1:12" s="2" customFormat="1" x14ac:dyDescent="0.25">
      <c r="A5" s="2" t="s">
        <v>14</v>
      </c>
      <c r="B5" s="15">
        <v>10.9</v>
      </c>
      <c r="C5" s="16">
        <v>2000</v>
      </c>
      <c r="D5" s="17">
        <f>B5*C5</f>
        <v>21800</v>
      </c>
      <c r="E5" s="17">
        <v>21.7</v>
      </c>
      <c r="F5" s="16">
        <v>4000</v>
      </c>
      <c r="G5" s="18">
        <f>E5*F5</f>
        <v>86800</v>
      </c>
      <c r="H5" s="16">
        <f t="shared" si="0"/>
        <v>6000</v>
      </c>
      <c r="I5" s="18">
        <f t="shared" si="0"/>
        <v>108600</v>
      </c>
      <c r="J5" s="35">
        <f>I5/H5</f>
        <v>18.100000000000001</v>
      </c>
      <c r="K5" s="2">
        <v>13.96</v>
      </c>
    </row>
    <row r="6" spans="1:12" s="2" customFormat="1" x14ac:dyDescent="0.25">
      <c r="A6" s="2" t="s">
        <v>22</v>
      </c>
      <c r="B6" s="15">
        <v>7.85</v>
      </c>
      <c r="C6" s="16">
        <v>2400</v>
      </c>
      <c r="D6" s="17">
        <f>B6*C6</f>
        <v>18840</v>
      </c>
      <c r="E6" s="17">
        <v>11.4</v>
      </c>
      <c r="F6" s="16">
        <v>3600</v>
      </c>
      <c r="G6" s="18">
        <f>E6*F6</f>
        <v>41040</v>
      </c>
      <c r="H6" s="16">
        <f>C6+F6</f>
        <v>6000</v>
      </c>
      <c r="I6" s="18">
        <f>D6+G6</f>
        <v>59880</v>
      </c>
      <c r="J6" s="35">
        <f>I6/H6</f>
        <v>9.98</v>
      </c>
      <c r="K6" s="2">
        <v>7.9</v>
      </c>
    </row>
    <row r="7" spans="1:12" x14ac:dyDescent="0.25">
      <c r="A7" t="s">
        <v>15</v>
      </c>
      <c r="B7" s="13">
        <v>7.2</v>
      </c>
      <c r="C7" s="6">
        <v>3000</v>
      </c>
    </row>
    <row r="8" spans="1:12" s="3" customFormat="1" x14ac:dyDescent="0.25">
      <c r="A8" s="3" t="s">
        <v>17</v>
      </c>
      <c r="B8" s="19">
        <v>8.8000000000000007</v>
      </c>
      <c r="C8" s="20">
        <v>2500</v>
      </c>
      <c r="D8" s="21">
        <f t="shared" ref="D8:D12" si="1">B8*C8</f>
        <v>22000</v>
      </c>
      <c r="E8" s="21">
        <v>9.6</v>
      </c>
      <c r="F8" s="20">
        <v>37500</v>
      </c>
      <c r="G8" s="22">
        <f t="shared" ref="G8:G12" si="2">E8*F8</f>
        <v>360000</v>
      </c>
      <c r="H8" s="20">
        <f>C8+F8</f>
        <v>40000</v>
      </c>
      <c r="I8" s="22">
        <f>D8+G8</f>
        <v>382000</v>
      </c>
      <c r="J8" s="36">
        <f t="shared" ref="J8:J12" si="3">I8/H8</f>
        <v>9.5500000000000007</v>
      </c>
    </row>
    <row r="9" spans="1:12" x14ac:dyDescent="0.25">
      <c r="A9" t="s">
        <v>18</v>
      </c>
      <c r="B9" s="13">
        <v>10.4</v>
      </c>
      <c r="C9" s="6">
        <v>3000</v>
      </c>
    </row>
    <row r="10" spans="1:12" x14ac:dyDescent="0.25">
      <c r="A10" t="s">
        <v>19</v>
      </c>
      <c r="B10" s="13">
        <v>9.1999999999999993</v>
      </c>
      <c r="C10" s="6">
        <v>2500</v>
      </c>
      <c r="D10" s="7">
        <f t="shared" si="1"/>
        <v>23000</v>
      </c>
      <c r="E10" s="7">
        <v>26.4</v>
      </c>
      <c r="F10" s="6">
        <v>17500</v>
      </c>
      <c r="G10" s="14">
        <f t="shared" si="2"/>
        <v>462000</v>
      </c>
      <c r="H10" s="6">
        <f t="shared" ref="H10:I12" si="4">C10+F10</f>
        <v>20000</v>
      </c>
      <c r="I10" s="14">
        <f t="shared" si="4"/>
        <v>485000</v>
      </c>
      <c r="J10" s="8">
        <f t="shared" si="3"/>
        <v>24.25</v>
      </c>
      <c r="K10">
        <v>9.66</v>
      </c>
    </row>
    <row r="11" spans="1:12" x14ac:dyDescent="0.25">
      <c r="A11" t="s">
        <v>20</v>
      </c>
      <c r="B11" s="13">
        <v>6.9</v>
      </c>
      <c r="C11" s="6">
        <v>5000</v>
      </c>
      <c r="D11" s="7">
        <f t="shared" si="1"/>
        <v>34500</v>
      </c>
      <c r="E11" s="7">
        <v>7.25</v>
      </c>
      <c r="F11" s="6">
        <v>30000</v>
      </c>
      <c r="G11" s="14">
        <f t="shared" si="2"/>
        <v>217500</v>
      </c>
      <c r="H11" s="6">
        <f t="shared" si="4"/>
        <v>35000</v>
      </c>
      <c r="I11" s="14">
        <f t="shared" si="4"/>
        <v>252000</v>
      </c>
      <c r="J11" s="8">
        <f t="shared" si="3"/>
        <v>7.2</v>
      </c>
    </row>
    <row r="12" spans="1:12" s="3" customFormat="1" x14ac:dyDescent="0.25">
      <c r="A12" s="3" t="s">
        <v>21</v>
      </c>
      <c r="B12" s="19">
        <v>14</v>
      </c>
      <c r="C12" s="20">
        <v>2000</v>
      </c>
      <c r="D12" s="21">
        <f t="shared" si="1"/>
        <v>28000</v>
      </c>
      <c r="E12" s="21">
        <v>26</v>
      </c>
      <c r="F12" s="20">
        <v>1000</v>
      </c>
      <c r="G12" s="22">
        <f t="shared" si="2"/>
        <v>26000</v>
      </c>
      <c r="H12" s="20">
        <f t="shared" si="4"/>
        <v>3000</v>
      </c>
      <c r="I12" s="22">
        <f t="shared" si="4"/>
        <v>54000</v>
      </c>
      <c r="J12" s="36">
        <f t="shared" si="3"/>
        <v>18</v>
      </c>
      <c r="K12" s="3">
        <v>14.12</v>
      </c>
    </row>
    <row r="13" spans="1:12" s="2" customFormat="1" x14ac:dyDescent="0.25">
      <c r="A13" s="1" t="s">
        <v>16</v>
      </c>
      <c r="B13" s="9">
        <v>26</v>
      </c>
      <c r="C13" s="10">
        <v>1800</v>
      </c>
      <c r="D13" s="11">
        <f>B13*C13</f>
        <v>46800</v>
      </c>
      <c r="E13" s="11">
        <v>40</v>
      </c>
      <c r="F13" s="10">
        <v>7200</v>
      </c>
      <c r="G13" s="12">
        <f>E13*F13</f>
        <v>288000</v>
      </c>
      <c r="H13" s="10">
        <f t="shared" ref="H13" si="5">C13+F13</f>
        <v>9000</v>
      </c>
      <c r="I13" s="12">
        <f t="shared" ref="I13" si="6">D13+G13</f>
        <v>334800</v>
      </c>
      <c r="J13" s="34">
        <f>I13/H13</f>
        <v>37.200000000000003</v>
      </c>
      <c r="K13" s="1">
        <v>23.2</v>
      </c>
    </row>
    <row r="14" spans="1:12" s="1" customFormat="1" x14ac:dyDescent="0.25">
      <c r="A14" s="1" t="s">
        <v>34</v>
      </c>
      <c r="B14" s="9">
        <v>1.7</v>
      </c>
      <c r="C14" s="10">
        <v>20000</v>
      </c>
      <c r="D14" s="11">
        <f>B14*C14</f>
        <v>34000</v>
      </c>
      <c r="E14" s="11">
        <v>1.79</v>
      </c>
      <c r="F14" s="10">
        <v>0</v>
      </c>
      <c r="G14" s="12">
        <f>E14*F14</f>
        <v>0</v>
      </c>
      <c r="H14" s="10">
        <f t="shared" ref="H14" si="7">C14+F14</f>
        <v>20000</v>
      </c>
      <c r="I14" s="12">
        <f t="shared" ref="I14" si="8">D14+G14</f>
        <v>34000</v>
      </c>
      <c r="J14" s="34" t="s">
        <v>35</v>
      </c>
    </row>
    <row r="15" spans="1:12" x14ac:dyDescent="0.25">
      <c r="A15" t="s">
        <v>0</v>
      </c>
      <c r="B15" s="13" t="s">
        <v>23</v>
      </c>
      <c r="C15" s="6" t="s">
        <v>2</v>
      </c>
      <c r="D15" s="7" t="s">
        <v>1</v>
      </c>
      <c r="E15" s="7" t="s">
        <v>24</v>
      </c>
      <c r="F15" t="s">
        <v>25</v>
      </c>
      <c r="I15" t="s">
        <v>26</v>
      </c>
    </row>
    <row r="16" spans="1:12" ht="14.4" x14ac:dyDescent="0.3">
      <c r="A16" s="23" t="s">
        <v>27</v>
      </c>
      <c r="B16" s="5">
        <v>12.5</v>
      </c>
      <c r="C16" s="24">
        <v>10000</v>
      </c>
      <c r="D16" s="25">
        <v>11.3</v>
      </c>
      <c r="E16" s="7">
        <f t="shared" ref="E16:E22" si="9">B16-D16</f>
        <v>1.1999999999999993</v>
      </c>
      <c r="F16" s="7">
        <f t="shared" ref="F16:F22" si="10">C16*E16</f>
        <v>11999.999999999993</v>
      </c>
      <c r="G16" s="26">
        <f t="shared" ref="G16:G22" si="11">E16/D16</f>
        <v>0.10619469026548665</v>
      </c>
      <c r="H16" s="27"/>
      <c r="I16" s="37">
        <f t="shared" ref="I16:I22" si="12">B16*C16</f>
        <v>125000</v>
      </c>
      <c r="J16" s="38"/>
      <c r="K16" s="39"/>
      <c r="L16" s="27" t="s">
        <v>28</v>
      </c>
    </row>
    <row r="17" spans="1:12" ht="14.4" x14ac:dyDescent="0.3">
      <c r="A17" t="s">
        <v>29</v>
      </c>
      <c r="B17" s="13">
        <v>47.25</v>
      </c>
      <c r="C17" s="6">
        <v>3000</v>
      </c>
      <c r="D17" s="7">
        <v>31.5</v>
      </c>
      <c r="E17" s="7">
        <f t="shared" si="9"/>
        <v>15.75</v>
      </c>
      <c r="F17" s="7">
        <f t="shared" si="10"/>
        <v>47250</v>
      </c>
      <c r="G17" s="26">
        <f t="shared" si="11"/>
        <v>0.5</v>
      </c>
      <c r="H17" s="6"/>
      <c r="I17" s="40">
        <f t="shared" si="12"/>
        <v>141750</v>
      </c>
      <c r="L17" s="27" t="s">
        <v>30</v>
      </c>
    </row>
    <row r="18" spans="1:12" s="4" customFormat="1" x14ac:dyDescent="0.25">
      <c r="A18" t="s">
        <v>18</v>
      </c>
      <c r="B18" s="13">
        <v>13.1</v>
      </c>
      <c r="C18" s="6">
        <v>3000</v>
      </c>
      <c r="D18" s="7">
        <v>11.8</v>
      </c>
      <c r="E18" s="7">
        <f t="shared" si="9"/>
        <v>1.2999999999999989</v>
      </c>
      <c r="F18" s="7">
        <f t="shared" si="10"/>
        <v>3899.9999999999968</v>
      </c>
      <c r="G18" s="26">
        <f t="shared" si="11"/>
        <v>0.11016949152542363</v>
      </c>
      <c r="H18"/>
      <c r="I18" s="40">
        <f t="shared" si="12"/>
        <v>39300</v>
      </c>
      <c r="J18" s="8"/>
      <c r="K18"/>
      <c r="L18"/>
    </row>
    <row r="19" spans="1:12" s="3" customFormat="1" ht="14.4" x14ac:dyDescent="0.3">
      <c r="A19" s="5" t="s">
        <v>31</v>
      </c>
      <c r="B19" s="28">
        <v>30</v>
      </c>
      <c r="C19" s="29">
        <v>2000</v>
      </c>
      <c r="D19" s="25">
        <v>24.9</v>
      </c>
      <c r="E19" s="21">
        <f t="shared" si="9"/>
        <v>5.1000000000000014</v>
      </c>
      <c r="F19" s="21">
        <f t="shared" si="10"/>
        <v>10200.000000000004</v>
      </c>
      <c r="G19" s="30">
        <f t="shared" si="11"/>
        <v>0.20481927710843381</v>
      </c>
      <c r="H19" s="31"/>
      <c r="I19" s="40">
        <f t="shared" si="12"/>
        <v>60000</v>
      </c>
      <c r="J19" s="38"/>
      <c r="L19" s="31" t="s">
        <v>32</v>
      </c>
    </row>
    <row r="20" spans="1:12" s="5" customFormat="1" ht="14.4" x14ac:dyDescent="0.3">
      <c r="A20" s="5" t="s">
        <v>33</v>
      </c>
      <c r="B20" s="28">
        <v>9</v>
      </c>
      <c r="C20" s="29">
        <v>10000</v>
      </c>
      <c r="D20" s="25">
        <v>7.7</v>
      </c>
      <c r="E20" s="21">
        <f t="shared" si="9"/>
        <v>1.2999999999999998</v>
      </c>
      <c r="F20" s="21">
        <f t="shared" si="10"/>
        <v>12999.999999999998</v>
      </c>
      <c r="G20" s="30">
        <f t="shared" si="11"/>
        <v>0.1688311688311688</v>
      </c>
      <c r="H20" s="31"/>
      <c r="I20" s="40">
        <f t="shared" si="12"/>
        <v>90000</v>
      </c>
      <c r="J20" s="38"/>
      <c r="K20" s="3"/>
      <c r="L20" s="31" t="s">
        <v>32</v>
      </c>
    </row>
    <row r="21" spans="1:12" s="1" customFormat="1" ht="14.4" x14ac:dyDescent="0.3">
      <c r="A21" s="1" t="s">
        <v>14</v>
      </c>
      <c r="B21" s="9">
        <v>11.5</v>
      </c>
      <c r="C21" s="10">
        <v>2000</v>
      </c>
      <c r="D21" s="11">
        <v>10.9</v>
      </c>
      <c r="E21" s="11">
        <f t="shared" si="9"/>
        <v>0.59999999999999964</v>
      </c>
      <c r="F21" s="11">
        <f t="shared" si="10"/>
        <v>1199.9999999999993</v>
      </c>
      <c r="G21" s="32">
        <f t="shared" si="11"/>
        <v>5.5045871559632996E-2</v>
      </c>
      <c r="H21" s="33"/>
      <c r="I21" s="41">
        <f t="shared" si="12"/>
        <v>23000</v>
      </c>
      <c r="J21" s="34"/>
    </row>
    <row r="22" spans="1:12" s="1" customFormat="1" ht="14.4" x14ac:dyDescent="0.3">
      <c r="A22" s="1" t="s">
        <v>22</v>
      </c>
      <c r="B22" s="9">
        <v>8.3000000000000007</v>
      </c>
      <c r="C22" s="10">
        <v>2400</v>
      </c>
      <c r="D22" s="11">
        <v>7.85</v>
      </c>
      <c r="E22" s="11">
        <f t="shared" si="9"/>
        <v>0.45000000000000107</v>
      </c>
      <c r="F22" s="11">
        <f t="shared" si="10"/>
        <v>1080.0000000000025</v>
      </c>
      <c r="G22" s="32">
        <f t="shared" si="11"/>
        <v>5.732484076433135E-2</v>
      </c>
      <c r="H22" s="33"/>
      <c r="I22" s="41">
        <f t="shared" si="12"/>
        <v>19920</v>
      </c>
      <c r="J22" s="34"/>
    </row>
    <row r="24" spans="1:12" x14ac:dyDescent="0.25">
      <c r="A24" s="42" t="s">
        <v>36</v>
      </c>
    </row>
    <row r="25" spans="1:12" s="3" customFormat="1" x14ac:dyDescent="0.25">
      <c r="A25" s="3" t="s">
        <v>34</v>
      </c>
      <c r="B25" s="9">
        <v>1.79</v>
      </c>
      <c r="C25" s="10">
        <v>20000</v>
      </c>
      <c r="D25" s="21">
        <v>1.7</v>
      </c>
      <c r="E25" s="21">
        <f t="shared" ref="E25" si="13">B25-D25</f>
        <v>9.000000000000008E-2</v>
      </c>
      <c r="F25" s="21">
        <f t="shared" ref="F25" si="14">C25*E25</f>
        <v>1800.0000000000016</v>
      </c>
      <c r="G25" s="30">
        <f t="shared" ref="G25" si="15">E25/D25</f>
        <v>5.2941176470588283E-2</v>
      </c>
      <c r="H25" s="43">
        <v>46321</v>
      </c>
      <c r="I25" s="40">
        <f t="shared" ref="I25" si="16">B25*C25</f>
        <v>35800</v>
      </c>
      <c r="J25" s="36" t="s">
        <v>35</v>
      </c>
    </row>
  </sheetData>
  <sortState xmlns:xlrd2="http://schemas.microsoft.com/office/spreadsheetml/2017/richdata2" ref="A16:L22">
    <sortCondition ref="A16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Santi Soontarinka</dc:creator>
  <cp:keywords/>
  <dc:description/>
  <cp:lastModifiedBy>Santi Soontarinka</cp:lastModifiedBy>
  <cp:revision/>
  <dcterms:created xsi:type="dcterms:W3CDTF">2026-09-29T16:44:00Z</dcterms:created>
  <dcterms:modified xsi:type="dcterms:W3CDTF">2026-10-26T09:49:18Z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ED9AC8B017364E4B87255A59F8B6C045_12</vt:lpwstr>
  </property>
  <property fmtid="{D5CDD505-2E9C-101B-9397-08002B2CF9AE}" pid="3" name="KSOProductBuildVer">
    <vt:lpwstr>2057-12.2.0.23206</vt:lpwstr>
  </property>
</Properties>
</file>