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8862359375ebd62/A4/Excel/"/>
    </mc:Choice>
  </mc:AlternateContent>
  <xr:revisionPtr revIDLastSave="36" documentId="11_6DC67CE604957413C1C00D30244B3202AF4C935C" xr6:coauthVersionLast="47" xr6:coauthVersionMax="47" xr10:uidLastSave="{5B29C6FB-BF36-47AA-8BBE-26DE331B7436}"/>
  <bookViews>
    <workbookView minimized="1" xWindow="156" yWindow="288" windowWidth="12552" windowHeight="1027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" l="1"/>
  <c r="E18" i="1"/>
  <c r="I17" i="1"/>
  <c r="E17" i="1"/>
  <c r="I16" i="1"/>
  <c r="E16" i="1"/>
  <c r="I15" i="1"/>
  <c r="E15" i="1"/>
  <c r="I14" i="1"/>
  <c r="E14" i="1"/>
  <c r="H11" i="1"/>
  <c r="G11" i="1"/>
  <c r="D11" i="1"/>
  <c r="I11" i="1" s="1"/>
  <c r="J11" i="1" s="1"/>
  <c r="H10" i="1"/>
  <c r="G10" i="1"/>
  <c r="D10" i="1"/>
  <c r="H9" i="1"/>
  <c r="G9" i="1"/>
  <c r="D9" i="1"/>
  <c r="I9" i="1" s="1"/>
  <c r="J9" i="1" s="1"/>
  <c r="H7" i="1"/>
  <c r="G7" i="1"/>
  <c r="D7" i="1"/>
  <c r="I7" i="1" s="1"/>
  <c r="J7" i="1" s="1"/>
  <c r="H6" i="1"/>
  <c r="G6" i="1"/>
  <c r="D6" i="1"/>
  <c r="H5" i="1"/>
  <c r="G5" i="1"/>
  <c r="D5" i="1"/>
  <c r="H4" i="1"/>
  <c r="G4" i="1"/>
  <c r="D4" i="1"/>
  <c r="H3" i="1"/>
  <c r="G3" i="1"/>
  <c r="D3" i="1"/>
  <c r="H2" i="1"/>
  <c r="G2" i="1"/>
  <c r="D2" i="1"/>
  <c r="I2" i="1" s="1"/>
  <c r="J2" i="1" s="1"/>
  <c r="I10" i="1" l="1"/>
  <c r="J10" i="1" s="1"/>
  <c r="I5" i="1"/>
  <c r="J5" i="1" s="1"/>
  <c r="I4" i="1"/>
  <c r="J4" i="1" s="1"/>
  <c r="I3" i="1"/>
  <c r="J3" i="1" s="1"/>
  <c r="F15" i="1"/>
  <c r="G15" i="1"/>
  <c r="I6" i="1"/>
  <c r="J6" i="1" s="1"/>
  <c r="F18" i="1"/>
  <c r="G18" i="1"/>
  <c r="G17" i="1"/>
  <c r="F17" i="1"/>
  <c r="G16" i="1"/>
  <c r="F16" i="1"/>
  <c r="G14" i="1"/>
  <c r="F14" i="1"/>
</calcChain>
</file>

<file path=xl/sharedStrings.xml><?xml version="1.0" encoding="utf-8"?>
<sst xmlns="http://schemas.openxmlformats.org/spreadsheetml/2006/main" count="37" uniqueCount="31">
  <si>
    <t>Name</t>
  </si>
  <si>
    <t>Buy</t>
  </si>
  <si>
    <t>Qty</t>
  </si>
  <si>
    <t>Amt</t>
  </si>
  <si>
    <t>Old Unit</t>
  </si>
  <si>
    <t>Old Qty</t>
  </si>
  <si>
    <t>Old Amt</t>
  </si>
  <si>
    <t>Total Qty</t>
  </si>
  <si>
    <t>New Amt</t>
  </si>
  <si>
    <t>New Unit</t>
  </si>
  <si>
    <t>MA200</t>
  </si>
  <si>
    <t>ADVANC</t>
  </si>
  <si>
    <t>AH</t>
  </si>
  <si>
    <t>AWC</t>
  </si>
  <si>
    <t>BCH</t>
  </si>
  <si>
    <t>GVREIT</t>
  </si>
  <si>
    <t>PROSPECT</t>
  </si>
  <si>
    <t>SINGER</t>
  </si>
  <si>
    <t>SYNEX</t>
  </si>
  <si>
    <t>TFFIF</t>
  </si>
  <si>
    <t>TOA</t>
  </si>
  <si>
    <t>Sell</t>
  </si>
  <si>
    <t>Diff</t>
  </si>
  <si>
    <t>Profit</t>
  </si>
  <si>
    <t>Sales Amt</t>
  </si>
  <si>
    <t>AIMIRT</t>
  </si>
  <si>
    <t>HOLD ยท TREND UP</t>
  </si>
  <si>
    <t>RCL</t>
  </si>
  <si>
    <t>TAKE PROFIT</t>
  </si>
  <si>
    <t>TVO</t>
  </si>
  <si>
    <t>WHAIR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</si>
</sst>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"/>
    <numFmt numFmtId="165" formatCode="[$฿-41E]#,##0.00;\-[$฿-41E]#,##0.00"/>
    <numFmt numFmtId="166" formatCode="0.0000_ "/>
    <numFmt numFmtId="167" formatCode="yyyy\-mm\-dd;@"/>
    <numFmt numFmtId="168" formatCode="[$฿-41E]#,##0.00"/>
  </numFmts>
  <fonts count="11" x14ac:knownFonts="1">
    <font>
      <sz val="11"/>
      <color theme="1"/>
      <name val="Aptos Narrow"/>
      <charset val="134"/>
      <scheme val="minor"/>
    </font>
    <font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rgb="FF4CAF50"/>
      <name val="Segoe UI"/>
      <family val="2"/>
    </font>
    <font>
      <sz val="10"/>
      <name val="Calibri"/>
      <family val="2"/>
    </font>
    <font>
      <sz val="9"/>
      <color rgb="FF00B050"/>
      <name val="Segoe UI"/>
      <family val="2"/>
    </font>
    <font>
      <sz val="9"/>
      <name val="Segoe U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" fontId="1" fillId="0" borderId="0" xfId="0" applyNumberFormat="1" applyFont="1"/>
    <xf numFmtId="2" fontId="0" fillId="0" borderId="0" xfId="0" applyNumberFormat="1"/>
    <xf numFmtId="4" fontId="0" fillId="0" borderId="0" xfId="0" applyNumberFormat="1"/>
    <xf numFmtId="2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4" fontId="2" fillId="0" borderId="0" xfId="0" applyNumberFormat="1" applyFont="1"/>
    <xf numFmtId="167" fontId="5" fillId="0" borderId="0" xfId="0" applyNumberFormat="1" applyFont="1"/>
    <xf numFmtId="0" fontId="5" fillId="0" borderId="0" xfId="0" applyFont="1"/>
    <xf numFmtId="3" fontId="5" fillId="0" borderId="0" xfId="0" applyNumberFormat="1" applyFont="1"/>
    <xf numFmtId="165" fontId="5" fillId="0" borderId="0" xfId="0" applyNumberFormat="1" applyFont="1"/>
    <xf numFmtId="10" fontId="0" fillId="0" borderId="0" xfId="0" applyNumberFormat="1"/>
    <xf numFmtId="0" fontId="6" fillId="0" borderId="0" xfId="0" applyFont="1"/>
    <xf numFmtId="167" fontId="7" fillId="0" borderId="0" xfId="0" applyNumberFormat="1" applyFont="1"/>
    <xf numFmtId="0" fontId="7" fillId="0" borderId="0" xfId="0" applyFont="1"/>
    <xf numFmtId="3" fontId="7" fillId="0" borderId="0" xfId="0" applyNumberFormat="1" applyFont="1"/>
    <xf numFmtId="165" fontId="7" fillId="0" borderId="0" xfId="0" applyNumberFormat="1" applyFont="1"/>
    <xf numFmtId="168" fontId="7" fillId="0" borderId="0" xfId="0" applyNumberFormat="1" applyFont="1"/>
    <xf numFmtId="10" fontId="7" fillId="0" borderId="0" xfId="0" applyNumberFormat="1" applyFont="1"/>
    <xf numFmtId="166" fontId="1" fillId="0" borderId="0" xfId="0" applyNumberFormat="1" applyFont="1"/>
    <xf numFmtId="166" fontId="2" fillId="0" borderId="0" xfId="0" applyNumberFormat="1" applyFont="1"/>
    <xf numFmtId="168" fontId="5" fillId="0" borderId="0" xfId="0" applyNumberFormat="1" applyFont="1"/>
    <xf numFmtId="166" fontId="5" fillId="0" borderId="0" xfId="0" applyNumberFormat="1" applyFont="1"/>
    <xf numFmtId="168" fontId="2" fillId="0" borderId="0" xfId="0" applyNumberFormat="1" applyFont="1"/>
    <xf numFmtId="166" fontId="7" fillId="0" borderId="0" xfId="0" applyNumberFormat="1" applyFont="1"/>
    <xf numFmtId="3" fontId="1" fillId="0" borderId="0" xfId="0" applyNumberFormat="1" applyFont="1"/>
    <xf numFmtId="3" fontId="0" fillId="0" borderId="0" xfId="0" applyNumberFormat="1"/>
    <xf numFmtId="3" fontId="2" fillId="0" borderId="0" xfId="0" applyNumberFormat="1" applyFont="1"/>
    <xf numFmtId="10" fontId="1" fillId="0" borderId="0" xfId="0" applyNumberFormat="1" applyFont="1"/>
    <xf numFmtId="168" fontId="1" fillId="0" borderId="0" xfId="0" applyNumberFormat="1" applyFont="1"/>
    <xf numFmtId="0" fontId="8" fillId="0" borderId="0" xfId="0" applyFont="1"/>
    <xf numFmtId="2" fontId="5" fillId="0" borderId="0" xfId="0" applyNumberFormat="1" applyFont="1"/>
    <xf numFmtId="164" fontId="5" fillId="0" borderId="0" xfId="0" applyNumberFormat="1" applyFont="1"/>
    <xf numFmtId="10" fontId="2" fillId="0" borderId="0" xfId="0" applyNumberFormat="1" applyFont="1"/>
    <xf numFmtId="0" fontId="9" fillId="0" borderId="0" xfId="0" applyFont="1"/>
    <xf numFmtId="0" fontId="10" fillId="0" borderId="0" xfId="0" applyFont="1"/>
    <xf numFmtId="2" fontId="10" fillId="0" borderId="0" xfId="0" applyNumberFormat="1" applyFont="1"/>
    <xf numFmtId="164" fontId="10" fillId="0" borderId="0" xfId="0" applyNumberFormat="1" applyFont="1"/>
    <xf numFmtId="165" fontId="10" fillId="0" borderId="0" xfId="0" applyNumberFormat="1" applyFont="1"/>
    <xf numFmtId="166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B7" sqref="B7"/>
    </sheetView>
  </sheetViews>
  <sheetFormatPr defaultColWidth="9" defaultRowHeight="14.4" x14ac:dyDescent="0.25"/>
  <cols>
    <col min="1" max="1" width="10.109375" customWidth="1"/>
    <col min="3" max="3" width="9" style="5"/>
    <col min="4" max="4" width="11.21875" style="6" customWidth="1"/>
    <col min="5" max="5" width="10" style="6" customWidth="1"/>
    <col min="6" max="6" width="14.21875" customWidth="1"/>
    <col min="7" max="7" width="11.88671875" customWidth="1"/>
    <col min="8" max="8" width="8.88671875" customWidth="1"/>
    <col min="9" max="9" width="13.5546875" customWidth="1"/>
    <col min="10" max="10" width="10" style="7" customWidth="1"/>
    <col min="11" max="11" width="7.44140625" customWidth="1"/>
    <col min="12" max="12" width="15.5546875" customWidth="1"/>
  </cols>
  <sheetData>
    <row r="1" spans="1:12" s="46" customFormat="1" x14ac:dyDescent="0.3">
      <c r="A1" s="46" t="s">
        <v>0</v>
      </c>
      <c r="B1" s="46" t="s">
        <v>1</v>
      </c>
      <c r="C1" s="48" t="s">
        <v>2</v>
      </c>
      <c r="D1" s="49" t="s">
        <v>3</v>
      </c>
      <c r="E1" s="49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50" t="s">
        <v>9</v>
      </c>
      <c r="K1" s="46" t="s">
        <v>10</v>
      </c>
    </row>
    <row r="2" spans="1:12" s="2" customFormat="1" x14ac:dyDescent="0.3">
      <c r="A2" s="2" t="s">
        <v>11</v>
      </c>
      <c r="B2" s="14">
        <v>320</v>
      </c>
      <c r="C2" s="15">
        <v>100</v>
      </c>
      <c r="D2" s="16">
        <f t="shared" ref="D2:D6" si="0">B2*C2</f>
        <v>32000</v>
      </c>
      <c r="E2" s="16">
        <v>355</v>
      </c>
      <c r="F2" s="38">
        <v>400</v>
      </c>
      <c r="G2" s="17">
        <f t="shared" ref="G2:G6" si="1">E2*F2</f>
        <v>142000</v>
      </c>
      <c r="H2" s="15">
        <f t="shared" ref="H2:I5" si="2">C2+F2</f>
        <v>500</v>
      </c>
      <c r="I2" s="17">
        <f t="shared" si="2"/>
        <v>174000</v>
      </c>
      <c r="J2" s="31">
        <f t="shared" ref="J2:J6" si="3">I2/H2</f>
        <v>348</v>
      </c>
      <c r="K2" s="2">
        <v>355.75</v>
      </c>
    </row>
    <row r="3" spans="1:12" x14ac:dyDescent="0.25">
      <c r="A3" t="s">
        <v>12</v>
      </c>
      <c r="B3" s="12">
        <v>14</v>
      </c>
      <c r="C3" s="5">
        <v>1200</v>
      </c>
      <c r="D3" s="6">
        <f t="shared" si="0"/>
        <v>16800</v>
      </c>
      <c r="E3" s="6">
        <v>37</v>
      </c>
      <c r="F3" s="37">
        <v>1200</v>
      </c>
      <c r="G3" s="13">
        <f t="shared" si="1"/>
        <v>44400</v>
      </c>
      <c r="H3" s="5">
        <f t="shared" si="2"/>
        <v>2400</v>
      </c>
      <c r="I3" s="13">
        <f t="shared" si="2"/>
        <v>61200</v>
      </c>
      <c r="J3" s="7">
        <f t="shared" si="3"/>
        <v>25.5</v>
      </c>
      <c r="K3">
        <v>14.03</v>
      </c>
    </row>
    <row r="4" spans="1:12" x14ac:dyDescent="0.25">
      <c r="A4" t="s">
        <v>13</v>
      </c>
      <c r="B4" s="12">
        <v>2.44</v>
      </c>
      <c r="C4" s="5">
        <v>9000</v>
      </c>
      <c r="D4" s="6">
        <f t="shared" si="0"/>
        <v>21960</v>
      </c>
      <c r="E4" s="6">
        <v>4.96</v>
      </c>
      <c r="F4" s="37">
        <v>9000</v>
      </c>
      <c r="G4" s="13">
        <f t="shared" si="1"/>
        <v>44640</v>
      </c>
      <c r="H4" s="5">
        <f t="shared" si="2"/>
        <v>18000</v>
      </c>
      <c r="I4" s="13">
        <f t="shared" si="2"/>
        <v>66600</v>
      </c>
      <c r="J4" s="7">
        <f t="shared" si="3"/>
        <v>3.7</v>
      </c>
      <c r="K4">
        <v>2.4700000000000002</v>
      </c>
    </row>
    <row r="5" spans="1:12" x14ac:dyDescent="0.25">
      <c r="A5" t="s">
        <v>14</v>
      </c>
      <c r="B5" s="12">
        <v>10</v>
      </c>
      <c r="C5" s="5">
        <v>2000</v>
      </c>
      <c r="D5" s="6">
        <f t="shared" si="0"/>
        <v>20000</v>
      </c>
      <c r="E5" s="6">
        <v>21.7</v>
      </c>
      <c r="F5" s="37">
        <v>4000</v>
      </c>
      <c r="G5" s="13">
        <f t="shared" si="1"/>
        <v>86800</v>
      </c>
      <c r="H5" s="5">
        <f t="shared" si="2"/>
        <v>6000</v>
      </c>
      <c r="I5" s="13">
        <f t="shared" si="2"/>
        <v>106800</v>
      </c>
      <c r="J5" s="7">
        <f t="shared" si="3"/>
        <v>17.8</v>
      </c>
      <c r="K5">
        <v>13.96</v>
      </c>
    </row>
    <row r="6" spans="1:12" s="1" customFormat="1" x14ac:dyDescent="0.3">
      <c r="A6" s="1" t="s">
        <v>15</v>
      </c>
      <c r="B6" s="8">
        <v>6.75</v>
      </c>
      <c r="C6" s="9">
        <v>8000</v>
      </c>
      <c r="D6" s="10">
        <f t="shared" si="0"/>
        <v>54000</v>
      </c>
      <c r="E6" s="10">
        <v>7.75</v>
      </c>
      <c r="F6" s="36">
        <v>72000</v>
      </c>
      <c r="G6" s="11">
        <f t="shared" si="1"/>
        <v>558000</v>
      </c>
      <c r="H6" s="9">
        <f>C6+F6</f>
        <v>80000</v>
      </c>
      <c r="I6" s="11">
        <f>D6+G6</f>
        <v>612000</v>
      </c>
      <c r="J6" s="30">
        <f t="shared" si="3"/>
        <v>7.65</v>
      </c>
    </row>
    <row r="7" spans="1:12" s="1" customFormat="1" x14ac:dyDescent="0.3">
      <c r="A7" s="1" t="s">
        <v>16</v>
      </c>
      <c r="B7" s="8">
        <v>8.75</v>
      </c>
      <c r="C7" s="9">
        <v>5000</v>
      </c>
      <c r="D7" s="10">
        <f>B7*C7</f>
        <v>43750</v>
      </c>
      <c r="E7" s="10">
        <v>9.6</v>
      </c>
      <c r="F7" s="36">
        <v>37500</v>
      </c>
      <c r="G7" s="11">
        <f>E7*F7</f>
        <v>360000</v>
      </c>
      <c r="H7" s="9">
        <f>C7+F7</f>
        <v>42500</v>
      </c>
      <c r="I7" s="11">
        <f>D7+G7</f>
        <v>403750</v>
      </c>
      <c r="J7" s="30">
        <f>I7/H7</f>
        <v>9.5</v>
      </c>
    </row>
    <row r="8" spans="1:12" x14ac:dyDescent="0.25">
      <c r="A8" t="s">
        <v>17</v>
      </c>
      <c r="B8" s="12">
        <v>10.4</v>
      </c>
      <c r="C8" s="5">
        <v>3000</v>
      </c>
      <c r="F8" s="37"/>
    </row>
    <row r="9" spans="1:12" x14ac:dyDescent="0.25">
      <c r="A9" t="s">
        <v>18</v>
      </c>
      <c r="B9" s="12">
        <v>9.1999999999999993</v>
      </c>
      <c r="C9" s="5">
        <v>2500</v>
      </c>
      <c r="D9" s="6">
        <f>B9*C9</f>
        <v>23000</v>
      </c>
      <c r="E9" s="6">
        <v>26.4</v>
      </c>
      <c r="F9" s="37">
        <v>17500</v>
      </c>
      <c r="G9" s="13">
        <f>E9*F9</f>
        <v>462000</v>
      </c>
      <c r="H9" s="5">
        <f t="shared" ref="H9:I11" si="4">C9+F9</f>
        <v>20000</v>
      </c>
      <c r="I9" s="13">
        <f t="shared" si="4"/>
        <v>485000</v>
      </c>
      <c r="J9" s="7">
        <f>I9/H9</f>
        <v>24.25</v>
      </c>
      <c r="K9">
        <v>9.66</v>
      </c>
    </row>
    <row r="10" spans="1:12" s="1" customFormat="1" x14ac:dyDescent="0.3">
      <c r="A10" s="1" t="s">
        <v>19</v>
      </c>
      <c r="B10" s="8">
        <v>6.8</v>
      </c>
      <c r="C10" s="9">
        <v>5000</v>
      </c>
      <c r="D10" s="10">
        <f>B10*C10</f>
        <v>34000</v>
      </c>
      <c r="E10" s="10">
        <v>7.2</v>
      </c>
      <c r="F10" s="36">
        <v>35000</v>
      </c>
      <c r="G10" s="11">
        <f>E10*F10</f>
        <v>252000</v>
      </c>
      <c r="H10" s="9">
        <f t="shared" si="4"/>
        <v>40000</v>
      </c>
      <c r="I10" s="11">
        <f t="shared" si="4"/>
        <v>286000</v>
      </c>
      <c r="J10" s="30">
        <f>I10/H10</f>
        <v>7.15</v>
      </c>
    </row>
    <row r="11" spans="1:12" s="2" customFormat="1" x14ac:dyDescent="0.3">
      <c r="A11" s="2" t="s">
        <v>20</v>
      </c>
      <c r="B11" s="14">
        <v>14</v>
      </c>
      <c r="C11" s="15">
        <v>2000</v>
      </c>
      <c r="D11" s="16">
        <f>B11*C11</f>
        <v>28000</v>
      </c>
      <c r="E11" s="16">
        <v>26</v>
      </c>
      <c r="F11" s="38">
        <v>1000</v>
      </c>
      <c r="G11" s="17">
        <f>E11*F11</f>
        <v>26000</v>
      </c>
      <c r="H11" s="15">
        <f t="shared" si="4"/>
        <v>3000</v>
      </c>
      <c r="I11" s="17">
        <f t="shared" si="4"/>
        <v>54000</v>
      </c>
      <c r="J11" s="31">
        <f>I11/H11</f>
        <v>18</v>
      </c>
      <c r="K11" s="2">
        <v>14.12</v>
      </c>
    </row>
    <row r="12" spans="1:12" s="1" customFormat="1" x14ac:dyDescent="0.3">
      <c r="B12" s="8"/>
      <c r="C12" s="9"/>
      <c r="D12" s="10"/>
      <c r="E12" s="10"/>
      <c r="F12" s="9"/>
      <c r="G12" s="11"/>
      <c r="H12" s="9"/>
      <c r="I12" s="11"/>
      <c r="J12" s="30"/>
    </row>
    <row r="13" spans="1:12" s="46" customFormat="1" x14ac:dyDescent="0.3">
      <c r="A13" s="46" t="s">
        <v>0</v>
      </c>
      <c r="B13" s="47" t="s">
        <v>21</v>
      </c>
      <c r="C13" s="48" t="s">
        <v>2</v>
      </c>
      <c r="D13" s="49" t="s">
        <v>1</v>
      </c>
      <c r="E13" s="49" t="s">
        <v>22</v>
      </c>
      <c r="F13" s="46" t="s">
        <v>23</v>
      </c>
      <c r="I13" s="46" t="s">
        <v>24</v>
      </c>
      <c r="J13" s="50"/>
    </row>
    <row r="14" spans="1:12" ht="15" x14ac:dyDescent="0.3">
      <c r="A14" s="18" t="s">
        <v>25</v>
      </c>
      <c r="B14" s="19">
        <v>12.5</v>
      </c>
      <c r="C14" s="20">
        <v>10000</v>
      </c>
      <c r="D14" s="21">
        <v>11.3</v>
      </c>
      <c r="E14" s="6">
        <f t="shared" ref="E14:E18" si="5">B14-D14</f>
        <v>1.1999999999999993</v>
      </c>
      <c r="F14" s="6">
        <f t="shared" ref="F14:F18" si="6">C14*E14</f>
        <v>11999.999999999993</v>
      </c>
      <c r="G14" s="22">
        <f t="shared" ref="G14:G18" si="7">E14/D14</f>
        <v>0.10619469026548665</v>
      </c>
      <c r="H14" s="23"/>
      <c r="I14" s="32">
        <f t="shared" ref="I14:I18" si="8">B14*C14</f>
        <v>125000</v>
      </c>
      <c r="J14" s="33"/>
      <c r="K14" s="4"/>
      <c r="L14" s="23" t="s">
        <v>26</v>
      </c>
    </row>
    <row r="15" spans="1:12" s="1" customFormat="1" x14ac:dyDescent="0.3">
      <c r="A15" s="1" t="s">
        <v>27</v>
      </c>
      <c r="B15" s="8">
        <v>48.25</v>
      </c>
      <c r="C15" s="9">
        <v>3000</v>
      </c>
      <c r="D15" s="10">
        <v>31.5</v>
      </c>
      <c r="E15" s="10">
        <f t="shared" si="5"/>
        <v>16.75</v>
      </c>
      <c r="F15" s="10">
        <f t="shared" si="6"/>
        <v>50250</v>
      </c>
      <c r="G15" s="39">
        <f t="shared" si="7"/>
        <v>0.53174603174603174</v>
      </c>
      <c r="H15" s="9"/>
      <c r="I15" s="40">
        <f t="shared" si="8"/>
        <v>144750</v>
      </c>
      <c r="J15" s="30"/>
      <c r="L15" s="41" t="s">
        <v>28</v>
      </c>
    </row>
    <row r="16" spans="1:12" s="3" customFormat="1" ht="15" x14ac:dyDescent="0.3">
      <c r="A16" t="s">
        <v>17</v>
      </c>
      <c r="B16" s="12">
        <v>13.1</v>
      </c>
      <c r="C16" s="5">
        <v>3000</v>
      </c>
      <c r="D16" s="6">
        <v>11.8</v>
      </c>
      <c r="E16" s="6">
        <f t="shared" si="5"/>
        <v>1.2999999999999989</v>
      </c>
      <c r="F16" s="6">
        <f t="shared" si="6"/>
        <v>3899.9999999999968</v>
      </c>
      <c r="G16" s="22">
        <f t="shared" si="7"/>
        <v>0.11016949152542363</v>
      </c>
      <c r="H16"/>
      <c r="I16" s="34">
        <f t="shared" si="8"/>
        <v>39300</v>
      </c>
      <c r="J16" s="7"/>
      <c r="K16"/>
      <c r="L16"/>
    </row>
    <row r="17" spans="1:12" s="2" customFormat="1" x14ac:dyDescent="0.3">
      <c r="A17" s="19" t="s">
        <v>29</v>
      </c>
      <c r="B17" s="42">
        <v>30</v>
      </c>
      <c r="C17" s="43">
        <v>2000</v>
      </c>
      <c r="D17" s="21">
        <v>24.9</v>
      </c>
      <c r="E17" s="16">
        <f t="shared" si="5"/>
        <v>5.1000000000000014</v>
      </c>
      <c r="F17" s="16">
        <f t="shared" si="6"/>
        <v>10200.000000000004</v>
      </c>
      <c r="G17" s="44">
        <f t="shared" si="7"/>
        <v>0.20481927710843381</v>
      </c>
      <c r="H17" s="45"/>
      <c r="I17" s="34">
        <f t="shared" si="8"/>
        <v>60000</v>
      </c>
      <c r="J17" s="33"/>
      <c r="L17" s="45" t="s">
        <v>26</v>
      </c>
    </row>
    <row r="18" spans="1:12" s="19" customFormat="1" x14ac:dyDescent="0.3">
      <c r="A18" s="19" t="s">
        <v>30</v>
      </c>
      <c r="B18" s="42">
        <v>9</v>
      </c>
      <c r="C18" s="43">
        <v>10000</v>
      </c>
      <c r="D18" s="21">
        <v>7.7</v>
      </c>
      <c r="E18" s="16">
        <f t="shared" si="5"/>
        <v>1.2999999999999998</v>
      </c>
      <c r="F18" s="16">
        <f t="shared" si="6"/>
        <v>12999.999999999998</v>
      </c>
      <c r="G18" s="44">
        <f t="shared" si="7"/>
        <v>0.1688311688311688</v>
      </c>
      <c r="H18" s="45"/>
      <c r="I18" s="34">
        <f t="shared" si="8"/>
        <v>90000</v>
      </c>
      <c r="J18" s="33"/>
      <c r="K18" s="2"/>
      <c r="L18" s="45" t="s">
        <v>26</v>
      </c>
    </row>
    <row r="19" spans="1:12" ht="15" x14ac:dyDescent="0.3">
      <c r="A19" s="24"/>
      <c r="B19" s="25"/>
      <c r="C19" s="26"/>
      <c r="D19" s="27"/>
      <c r="E19" s="27"/>
      <c r="F19" s="28"/>
      <c r="G19" s="28"/>
      <c r="H19" s="28"/>
      <c r="I19" s="28"/>
      <c r="J19" s="35"/>
    </row>
    <row r="20" spans="1:12" ht="15" x14ac:dyDescent="0.3">
      <c r="A20" s="24"/>
      <c r="B20" s="29"/>
      <c r="C20" s="26"/>
      <c r="D20" s="27"/>
      <c r="E20" s="27"/>
      <c r="F20" s="26"/>
      <c r="G20" s="26"/>
      <c r="H20" s="26"/>
      <c r="I20" s="26"/>
      <c r="J20" s="35"/>
    </row>
  </sheetData>
  <sortState xmlns:xlrd2="http://schemas.microsoft.com/office/spreadsheetml/2017/richdata2" ref="A14:L19">
    <sortCondition ref="A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 Soontarinka</dc:creator>
  <cp:lastModifiedBy>Santi Soontarinka</cp:lastModifiedBy>
  <dcterms:created xsi:type="dcterms:W3CDTF">2026-09-29T16:44:00Z</dcterms:created>
  <dcterms:modified xsi:type="dcterms:W3CDTF">2026-10-15T08:04:49Z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ED9AC8B017364E4B87255A59F8B6C045_12</vt:lpwstr>
  </property>
  <property fmtid="{D5CDD505-2E9C-101B-9397-08002B2CF9AE}" pid="3" name="KSOProductBuildVer">
    <vt:lpwstr>2057-12.2.0.23206</vt:lpwstr>
  </property>
</Properties>
</file>