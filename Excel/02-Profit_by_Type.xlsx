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698" documentId="13_ncr:1_{952C9640-4145-4BFE-A933-8C66170A3FDB}" xr6:coauthVersionLast="47" xr6:coauthVersionMax="47" xr10:uidLastSave="{0A7CCE2F-D6BD-4EC0-8071-1ECFEC2127D8}"/>
  <bookViews>
    <workbookView xWindow="9060" yWindow="1308" windowWidth="10992" windowHeight="10764" tabRatio="461" firstSheet="23" activeTab="23" xr2:uid="{00000000-000D-0000-FFFF-FFFF00000000}"/>
  </bookViews>
  <sheets>
    <sheet name="PTTGC" sheetId="42" r:id="rId1"/>
    <sheet name="STA" sheetId="197" r:id="rId2"/>
    <sheet name="3BBIF" sheetId="46" r:id="rId3"/>
    <sheet name="AH" sheetId="217" r:id="rId4"/>
    <sheet name="AIMIRT" sheetId="210" r:id="rId5"/>
    <sheet name="AWC" sheetId="212" r:id="rId6"/>
    <sheet name="BCH" sheetId="150" r:id="rId7"/>
    <sheet name="CPF" sheetId="223" r:id="rId8"/>
    <sheet name="CPNREIT" sheetId="194" r:id="rId9"/>
    <sheet name="DIF" sheetId="57" r:id="rId10"/>
    <sheet name="GVREIT" sheetId="195" r:id="rId11"/>
    <sheet name="IVL" sheetId="19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PTG" sheetId="216" r:id="rId18"/>
    <sheet name="PTT" sheetId="224" r:id="rId19"/>
    <sheet name="RCL" sheetId="161" r:id="rId20"/>
    <sheet name="SENA" sheetId="183" r:id="rId21"/>
    <sheet name="SINGER" sheetId="203" r:id="rId22"/>
    <sheet name="SYNEX" sheetId="199" r:id="rId23"/>
    <sheet name="TFFIF" sheetId="214" r:id="rId24"/>
    <sheet name="TOA" sheetId="218" r:id="rId25"/>
    <sheet name="TVO" sheetId="221" r:id="rId26"/>
    <sheet name="WHAIR" sheetId="157" r:id="rId27"/>
    <sheet name="WHART" sheetId="171" r:id="rId2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10" l="1"/>
  <c r="E10" i="210"/>
  <c r="C9" i="210"/>
  <c r="C35" i="204" l="1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C61" i="20"/>
  <c r="B61" i="20"/>
  <c r="E60" i="20"/>
  <c r="G60" i="20" s="1"/>
  <c r="G61" i="20" s="1"/>
  <c r="A59" i="20"/>
  <c r="E58" i="20"/>
  <c r="E56" i="20"/>
  <c r="E72" i="20"/>
  <c r="B74" i="20"/>
  <c r="A74" i="20"/>
  <c r="C73" i="20"/>
  <c r="E73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F7" i="212" l="1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H61" i="20" s="1"/>
  <c r="E61" i="20"/>
  <c r="D61" i="20" s="1"/>
  <c r="F60" i="20"/>
  <c r="H58" i="20"/>
  <c r="G58" i="20"/>
  <c r="F58" i="20"/>
  <c r="I58" i="20" s="1"/>
  <c r="H56" i="20"/>
  <c r="F56" i="20"/>
  <c r="G56" i="20"/>
  <c r="H72" i="20"/>
  <c r="F72" i="20"/>
  <c r="G72" i="20"/>
  <c r="E74" i="20"/>
  <c r="H73" i="20"/>
  <c r="G73" i="20"/>
  <c r="F73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I6" i="212" l="1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I61" i="20" s="1"/>
  <c r="F61" i="20"/>
  <c r="J58" i="20"/>
  <c r="I56" i="20"/>
  <c r="J56" i="20"/>
  <c r="I73" i="20"/>
  <c r="J73" i="20" s="1"/>
  <c r="I72" i="20"/>
  <c r="J72" i="20" s="1"/>
  <c r="J74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J61" i="20" s="1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C23" i="199"/>
  <c r="B23" i="199"/>
  <c r="E22" i="199"/>
  <c r="G22" i="199" s="1"/>
  <c r="G23" i="199" s="1"/>
  <c r="H22" i="199" l="1"/>
  <c r="H23" i="199" s="1"/>
  <c r="E23" i="199"/>
  <c r="D23" i="199" s="1"/>
  <c r="F22" i="199"/>
  <c r="B40" i="199"/>
  <c r="C39" i="199"/>
  <c r="E39" i="199" s="1"/>
  <c r="E38" i="199"/>
  <c r="H38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4" i="157"/>
  <c r="C17" i="157"/>
  <c r="C8" i="196"/>
  <c r="B16" i="196"/>
  <c r="C15" i="196"/>
  <c r="E15" i="196" s="1"/>
  <c r="I22" i="199" l="1"/>
  <c r="I23" i="199" s="1"/>
  <c r="F23" i="199"/>
  <c r="J22" i="199"/>
  <c r="J23" i="199" s="1"/>
  <c r="H39" i="199"/>
  <c r="G39" i="199"/>
  <c r="E40" i="199"/>
  <c r="F39" i="199"/>
  <c r="F38" i="199"/>
  <c r="G38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39" i="199"/>
  <c r="J39" i="199"/>
  <c r="I38" i="199"/>
  <c r="J38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9" i="210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69" i="20"/>
  <c r="H69" i="20" s="1"/>
  <c r="A71" i="20"/>
  <c r="B71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B18" i="199"/>
  <c r="C17" i="199"/>
  <c r="E17" i="199" s="1"/>
  <c r="C17" i="197"/>
  <c r="E17" i="197"/>
  <c r="E20" i="199"/>
  <c r="E21" i="199" s="1"/>
  <c r="C41" i="161"/>
  <c r="E41" i="161" s="1"/>
  <c r="E29" i="161"/>
  <c r="H29" i="161" s="1"/>
  <c r="E7" i="194"/>
  <c r="E27" i="161"/>
  <c r="H27" i="161" s="1"/>
  <c r="E25" i="199"/>
  <c r="B37" i="199"/>
  <c r="C36" i="199"/>
  <c r="E36" i="199" s="1"/>
  <c r="E35" i="199"/>
  <c r="G35" i="199" s="1"/>
  <c r="B34" i="199"/>
  <c r="C33" i="199"/>
  <c r="E33" i="199" s="1"/>
  <c r="E32" i="199"/>
  <c r="B31" i="199"/>
  <c r="C30" i="199"/>
  <c r="E30" i="199" s="1"/>
  <c r="E29" i="199"/>
  <c r="F29" i="199" s="1"/>
  <c r="B27" i="199"/>
  <c r="C26" i="199"/>
  <c r="E26" i="199" s="1"/>
  <c r="E16" i="199"/>
  <c r="E14" i="199"/>
  <c r="E12" i="199"/>
  <c r="G12" i="199" s="1"/>
  <c r="C11" i="199"/>
  <c r="C13" i="199" s="1"/>
  <c r="C15" i="199" s="1"/>
  <c r="B11" i="199"/>
  <c r="E10" i="199"/>
  <c r="E9" i="199"/>
  <c r="E11" i="199" s="1"/>
  <c r="E8" i="199"/>
  <c r="H8" i="199" s="1"/>
  <c r="E7" i="199"/>
  <c r="H7" i="199" s="1"/>
  <c r="E6" i="199"/>
  <c r="G6" i="199" s="1"/>
  <c r="E5" i="199"/>
  <c r="C4" i="199"/>
  <c r="B4" i="199"/>
  <c r="E3" i="199"/>
  <c r="G3" i="199" s="1"/>
  <c r="E2" i="199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68" i="20"/>
  <c r="A68" i="20"/>
  <c r="C67" i="20"/>
  <c r="E67" i="20" s="1"/>
  <c r="E66" i="20"/>
  <c r="E9" i="183"/>
  <c r="E63" i="20"/>
  <c r="H63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5" i="20"/>
  <c r="A65" i="20"/>
  <c r="C64" i="20"/>
  <c r="E64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E15" i="161"/>
  <c r="G15" i="161" s="1"/>
  <c r="E26" i="42"/>
  <c r="C22" i="42"/>
  <c r="B22" i="42"/>
  <c r="E21" i="4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E2" i="150"/>
  <c r="E34" i="57"/>
  <c r="H34" i="57" s="1"/>
  <c r="E33" i="57"/>
  <c r="H33" i="57" s="1"/>
  <c r="E50" i="20"/>
  <c r="H50" i="20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E49" i="20" s="1"/>
  <c r="D49" i="20" s="1"/>
  <c r="E47" i="20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H48" i="20"/>
  <c r="G48" i="20"/>
  <c r="F48" i="20"/>
  <c r="F47" i="20"/>
  <c r="F49" i="20" s="1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F7" i="20"/>
  <c r="E9" i="20"/>
  <c r="G9" i="20" s="1"/>
  <c r="H9" i="20"/>
  <c r="C10" i="20"/>
  <c r="E10" i="20" s="1"/>
  <c r="A11" i="20"/>
  <c r="E12" i="20"/>
  <c r="F12" i="20" s="1"/>
  <c r="G12" i="20"/>
  <c r="H12" i="20"/>
  <c r="C13" i="20"/>
  <c r="E13" i="20"/>
  <c r="F13" i="20" s="1"/>
  <c r="I13" i="20" s="1"/>
  <c r="A14" i="20"/>
  <c r="E15" i="20"/>
  <c r="G15" i="20" s="1"/>
  <c r="F15" i="20"/>
  <c r="C16" i="20"/>
  <c r="E16" i="20"/>
  <c r="A17" i="20"/>
  <c r="E18" i="20"/>
  <c r="H18" i="20" s="1"/>
  <c r="I18" i="20" s="1"/>
  <c r="C19" i="20"/>
  <c r="E19" i="20" s="1"/>
  <c r="A20" i="20"/>
  <c r="E21" i="20"/>
  <c r="F21" i="20" s="1"/>
  <c r="E22" i="20"/>
  <c r="F22" i="20" s="1"/>
  <c r="A23" i="20"/>
  <c r="E23" i="20"/>
  <c r="E24" i="20"/>
  <c r="E26" i="20" s="1"/>
  <c r="D26" i="20" s="1"/>
  <c r="E25" i="20"/>
  <c r="G25" i="20" s="1"/>
  <c r="C26" i="20"/>
  <c r="C28" i="20" s="1"/>
  <c r="C30" i="20" s="1"/>
  <c r="C32" i="20" s="1"/>
  <c r="C34" i="20" s="1"/>
  <c r="C36" i="20" s="1"/>
  <c r="E27" i="20"/>
  <c r="F27" i="20"/>
  <c r="E29" i="20"/>
  <c r="J29" i="20" s="1"/>
  <c r="F29" i="20"/>
  <c r="I29" i="20" s="1"/>
  <c r="E31" i="20"/>
  <c r="G31" i="20" s="1"/>
  <c r="H31" i="20"/>
  <c r="E33" i="20"/>
  <c r="F33" i="20"/>
  <c r="E35" i="20"/>
  <c r="F35" i="20" s="1"/>
  <c r="E38" i="20"/>
  <c r="G38" i="20" s="1"/>
  <c r="E39" i="20"/>
  <c r="H39" i="20"/>
  <c r="I39" i="20" s="1"/>
  <c r="J39" i="20" s="1"/>
  <c r="E40" i="20"/>
  <c r="H40" i="20" s="1"/>
  <c r="E41" i="20"/>
  <c r="F41" i="20" s="1"/>
  <c r="E42" i="20"/>
  <c r="G42" i="20" s="1"/>
  <c r="I42" i="20" s="1"/>
  <c r="J42" i="20" s="1"/>
  <c r="E43" i="20"/>
  <c r="H43" i="20" s="1"/>
  <c r="E44" i="20"/>
  <c r="G44" i="20" s="1"/>
  <c r="I44" i="20" s="1"/>
  <c r="J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6" i="20"/>
  <c r="G66" i="20"/>
  <c r="F66" i="20"/>
  <c r="I66" i="20" s="1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6" i="20" s="1"/>
  <c r="H54" i="20"/>
  <c r="G54" i="20"/>
  <c r="G55" i="20" s="1"/>
  <c r="G57" i="20" s="1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H55" i="20" s="1"/>
  <c r="H57" i="20" s="1"/>
  <c r="G53" i="20"/>
  <c r="F53" i="20"/>
  <c r="H9" i="117"/>
  <c r="G9" i="117"/>
  <c r="F9" i="117"/>
  <c r="H52" i="20"/>
  <c r="G52" i="20"/>
  <c r="F52" i="20"/>
  <c r="I52" i="20" s="1"/>
  <c r="H26" i="42"/>
  <c r="G26" i="42"/>
  <c r="F26" i="42"/>
  <c r="E22" i="42"/>
  <c r="H21" i="42"/>
  <c r="H22" i="42"/>
  <c r="G21" i="42"/>
  <c r="G22" i="42"/>
  <c r="F21" i="4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D55" i="20"/>
  <c r="B57" i="20" s="1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F20" i="199"/>
  <c r="F21" i="199" s="1"/>
  <c r="G29" i="161"/>
  <c r="F29" i="161"/>
  <c r="H7" i="194"/>
  <c r="G7" i="194"/>
  <c r="F7" i="194"/>
  <c r="H2" i="199"/>
  <c r="G2" i="199"/>
  <c r="F2" i="199"/>
  <c r="H3" i="199"/>
  <c r="H4" i="199" s="1"/>
  <c r="H5" i="199"/>
  <c r="G5" i="199"/>
  <c r="F5" i="199"/>
  <c r="H6" i="199"/>
  <c r="F6" i="199"/>
  <c r="G7" i="199"/>
  <c r="G8" i="199"/>
  <c r="F8" i="199"/>
  <c r="I8" i="199" s="1"/>
  <c r="J8" i="199" s="1"/>
  <c r="H10" i="199"/>
  <c r="G10" i="199"/>
  <c r="F10" i="199"/>
  <c r="H16" i="199"/>
  <c r="G16" i="199"/>
  <c r="F16" i="199"/>
  <c r="I16" i="199" s="1"/>
  <c r="J16" i="199" s="1"/>
  <c r="H32" i="199"/>
  <c r="G32" i="199"/>
  <c r="F32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32" i="199"/>
  <c r="I10" i="199"/>
  <c r="J10" i="199" s="1"/>
  <c r="I5" i="199"/>
  <c r="J5" i="199" s="1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D4" i="221"/>
  <c r="H3" i="221"/>
  <c r="H4" i="221" s="1"/>
  <c r="F3" i="221"/>
  <c r="F4" i="221" s="1"/>
  <c r="H16" i="157"/>
  <c r="F18" i="184"/>
  <c r="I18" i="184" s="1"/>
  <c r="G18" i="184"/>
  <c r="H18" i="184"/>
  <c r="F16" i="20"/>
  <c r="G16" i="20"/>
  <c r="H16" i="20"/>
  <c r="H7" i="20"/>
  <c r="G2" i="20"/>
  <c r="F50" i="20"/>
  <c r="G39" i="20"/>
  <c r="G7" i="20"/>
  <c r="G50" i="20"/>
  <c r="F39" i="20"/>
  <c r="H29" i="20"/>
  <c r="F51" i="20"/>
  <c r="G51" i="20"/>
  <c r="I51" i="20" s="1"/>
  <c r="J51" i="20" s="1"/>
  <c r="G22" i="20"/>
  <c r="H5" i="20"/>
  <c r="H33" i="20"/>
  <c r="G33" i="20"/>
  <c r="I33" i="20" s="1"/>
  <c r="J33" i="20" s="1"/>
  <c r="F44" i="20"/>
  <c r="F42" i="20"/>
  <c r="F40" i="20"/>
  <c r="F38" i="20"/>
  <c r="I38" i="20" s="1"/>
  <c r="H35" i="20"/>
  <c r="F25" i="20"/>
  <c r="G18" i="20"/>
  <c r="H13" i="20"/>
  <c r="G3" i="20"/>
  <c r="G35" i="20"/>
  <c r="F18" i="20"/>
  <c r="G13" i="20"/>
  <c r="F9" i="20"/>
  <c r="F3" i="20"/>
  <c r="E17" i="20"/>
  <c r="G47" i="20"/>
  <c r="H2" i="20"/>
  <c r="H4" i="20" s="1"/>
  <c r="H6" i="20" s="1"/>
  <c r="H47" i="20"/>
  <c r="I47" i="20" s="1"/>
  <c r="E57" i="20"/>
  <c r="G29" i="20"/>
  <c r="E4" i="20"/>
  <c r="E6" i="20" s="1"/>
  <c r="E14" i="20"/>
  <c r="H44" i="20"/>
  <c r="H42" i="20"/>
  <c r="H38" i="20"/>
  <c r="H25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0" i="20"/>
  <c r="E70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H6" i="210" l="1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F31" i="20"/>
  <c r="G24" i="20"/>
  <c r="G26" i="20" s="1"/>
  <c r="D4" i="20"/>
  <c r="H15" i="20"/>
  <c r="I15" i="20" s="1"/>
  <c r="J15" i="20" s="1"/>
  <c r="J17" i="20" s="1"/>
  <c r="I16" i="20"/>
  <c r="J16" i="20" s="1"/>
  <c r="I53" i="20"/>
  <c r="J53" i="20" s="1"/>
  <c r="F24" i="20"/>
  <c r="I25" i="20"/>
  <c r="G40" i="20"/>
  <c r="I40" i="20" s="1"/>
  <c r="J40" i="20" s="1"/>
  <c r="H24" i="20"/>
  <c r="J66" i="20"/>
  <c r="I7" i="20"/>
  <c r="I48" i="20"/>
  <c r="J48" i="20" s="1"/>
  <c r="H49" i="20"/>
  <c r="I54" i="20"/>
  <c r="E28" i="20"/>
  <c r="E30" i="20" s="1"/>
  <c r="I3" i="20"/>
  <c r="J3" i="20" s="1"/>
  <c r="F43" i="20"/>
  <c r="I35" i="20"/>
  <c r="H26" i="20"/>
  <c r="H28" i="20" s="1"/>
  <c r="H30" i="20" s="1"/>
  <c r="H32" i="20" s="1"/>
  <c r="H34" i="20" s="1"/>
  <c r="H36" i="20" s="1"/>
  <c r="G49" i="20"/>
  <c r="F63" i="20"/>
  <c r="H45" i="20"/>
  <c r="I12" i="20"/>
  <c r="J12" i="20" s="1"/>
  <c r="J38" i="20"/>
  <c r="I50" i="20"/>
  <c r="G63" i="20"/>
  <c r="I55" i="20"/>
  <c r="F64" i="20"/>
  <c r="E65" i="20"/>
  <c r="H64" i="20"/>
  <c r="G64" i="20"/>
  <c r="H10" i="20"/>
  <c r="F10" i="20"/>
  <c r="E11" i="20"/>
  <c r="G10" i="20"/>
  <c r="D6" i="20"/>
  <c r="E8" i="20"/>
  <c r="F45" i="20"/>
  <c r="I27" i="20"/>
  <c r="J27" i="20" s="1"/>
  <c r="J47" i="20"/>
  <c r="J49" i="20" s="1"/>
  <c r="G67" i="20"/>
  <c r="E68" i="20"/>
  <c r="H67" i="20"/>
  <c r="F67" i="20"/>
  <c r="I67" i="20" s="1"/>
  <c r="G70" i="20"/>
  <c r="F70" i="20"/>
  <c r="E71" i="20"/>
  <c r="H70" i="20"/>
  <c r="E20" i="20"/>
  <c r="F19" i="20"/>
  <c r="H19" i="20"/>
  <c r="G19" i="20"/>
  <c r="F4" i="20"/>
  <c r="I2" i="20"/>
  <c r="I31" i="20"/>
  <c r="J31" i="20" s="1"/>
  <c r="G5" i="20"/>
  <c r="I9" i="20"/>
  <c r="J9" i="20" s="1"/>
  <c r="D57" i="20"/>
  <c r="B59" i="20" s="1"/>
  <c r="E59" i="20"/>
  <c r="D59" i="20" s="1"/>
  <c r="G4" i="20"/>
  <c r="F55" i="20"/>
  <c r="F57" i="20" s="1"/>
  <c r="G41" i="20"/>
  <c r="H27" i="20"/>
  <c r="F5" i="20"/>
  <c r="J52" i="20"/>
  <c r="H22" i="20"/>
  <c r="I22" i="20" s="1"/>
  <c r="J25" i="20"/>
  <c r="J18" i="20"/>
  <c r="J50" i="20"/>
  <c r="F69" i="20"/>
  <c r="E45" i="20"/>
  <c r="D45" i="20" s="1"/>
  <c r="G69" i="20"/>
  <c r="G27" i="20"/>
  <c r="G28" i="20" s="1"/>
  <c r="G30" i="20" s="1"/>
  <c r="G32" i="20" s="1"/>
  <c r="G34" i="20" s="1"/>
  <c r="G36" i="20" s="1"/>
  <c r="G43" i="20"/>
  <c r="J54" i="20"/>
  <c r="H21" i="20"/>
  <c r="J13" i="20"/>
  <c r="J14" i="20" s="1"/>
  <c r="J35" i="20"/>
  <c r="J7" i="20"/>
  <c r="G21" i="20"/>
  <c r="I21" i="20" s="1"/>
  <c r="J21" i="20" s="1"/>
  <c r="I57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H9" i="210"/>
  <c r="G9" i="210"/>
  <c r="F9" i="210"/>
  <c r="I9" i="210"/>
  <c r="J9" i="210" s="1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4" i="199"/>
  <c r="I2" i="199"/>
  <c r="F14" i="199"/>
  <c r="G14" i="199"/>
  <c r="F35" i="199"/>
  <c r="H14" i="199"/>
  <c r="E4" i="199"/>
  <c r="D4" i="199" s="1"/>
  <c r="I3" i="199"/>
  <c r="J3" i="199" s="1"/>
  <c r="J32" i="199"/>
  <c r="H12" i="199"/>
  <c r="I12" i="199" s="1"/>
  <c r="H35" i="199"/>
  <c r="F3" i="199"/>
  <c r="F12" i="199"/>
  <c r="G29" i="199"/>
  <c r="E37" i="199"/>
  <c r="F36" i="199"/>
  <c r="H36" i="199"/>
  <c r="G36" i="199"/>
  <c r="J2" i="199"/>
  <c r="E18" i="199"/>
  <c r="H17" i="199"/>
  <c r="G17" i="199"/>
  <c r="F17" i="199"/>
  <c r="E13" i="199"/>
  <c r="D11" i="199"/>
  <c r="B13" i="199" s="1"/>
  <c r="E31" i="199"/>
  <c r="H30" i="199"/>
  <c r="G30" i="199"/>
  <c r="F30" i="199"/>
  <c r="I30" i="199" s="1"/>
  <c r="J6" i="199"/>
  <c r="E27" i="199"/>
  <c r="F26" i="199"/>
  <c r="H26" i="199"/>
  <c r="G26" i="199"/>
  <c r="H33" i="199"/>
  <c r="E34" i="199"/>
  <c r="G33" i="199"/>
  <c r="F33" i="199"/>
  <c r="I33" i="199" s="1"/>
  <c r="I6" i="199"/>
  <c r="G4" i="199"/>
  <c r="H29" i="199"/>
  <c r="I29" i="199" s="1"/>
  <c r="J29" i="199" s="1"/>
  <c r="F7" i="199"/>
  <c r="I7" i="199" s="1"/>
  <c r="F9" i="199"/>
  <c r="F25" i="199"/>
  <c r="G9" i="199"/>
  <c r="G11" i="199" s="1"/>
  <c r="G13" i="199" s="1"/>
  <c r="G25" i="199"/>
  <c r="H9" i="199"/>
  <c r="H11" i="199" s="1"/>
  <c r="H25" i="199"/>
  <c r="D21" i="199"/>
  <c r="J40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5" i="214" l="1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J26" i="20"/>
  <c r="J24" i="20"/>
  <c r="I24" i="20"/>
  <c r="I26" i="20" s="1"/>
  <c r="I4" i="20"/>
  <c r="I70" i="20"/>
  <c r="D28" i="20"/>
  <c r="I43" i="20"/>
  <c r="J43" i="20" s="1"/>
  <c r="G45" i="20"/>
  <c r="I10" i="20"/>
  <c r="F26" i="20"/>
  <c r="F28" i="20" s="1"/>
  <c r="F30" i="20" s="1"/>
  <c r="F32" i="20" s="1"/>
  <c r="F34" i="20" s="1"/>
  <c r="F36" i="20" s="1"/>
  <c r="J10" i="20"/>
  <c r="J11" i="20" s="1"/>
  <c r="G6" i="20"/>
  <c r="I63" i="20"/>
  <c r="J63" i="20" s="1"/>
  <c r="I69" i="20"/>
  <c r="J69" i="20" s="1"/>
  <c r="I49" i="20"/>
  <c r="J28" i="20"/>
  <c r="J30" i="20" s="1"/>
  <c r="J32" i="20" s="1"/>
  <c r="J34" i="20" s="1"/>
  <c r="J36" i="20" s="1"/>
  <c r="J67" i="20"/>
  <c r="J68" i="20" s="1"/>
  <c r="I41" i="20"/>
  <c r="I64" i="20"/>
  <c r="J64" i="20" s="1"/>
  <c r="J65" i="20" s="1"/>
  <c r="I5" i="20"/>
  <c r="I6" i="20" s="1"/>
  <c r="F6" i="20"/>
  <c r="I19" i="20"/>
  <c r="J19" i="20" s="1"/>
  <c r="J20" i="20" s="1"/>
  <c r="I28" i="20"/>
  <c r="I30" i="20" s="1"/>
  <c r="I32" i="20" s="1"/>
  <c r="I34" i="20" s="1"/>
  <c r="I36" i="20" s="1"/>
  <c r="J2" i="20"/>
  <c r="J4" i="20" s="1"/>
  <c r="J22" i="20"/>
  <c r="J23" i="20" s="1"/>
  <c r="J55" i="20"/>
  <c r="J57" i="20" s="1"/>
  <c r="J59" i="20" s="1"/>
  <c r="D30" i="20"/>
  <c r="E32" i="20"/>
  <c r="J70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5" i="199"/>
  <c r="J35" i="199" s="1"/>
  <c r="I4" i="199"/>
  <c r="I14" i="199"/>
  <c r="J4" i="199"/>
  <c r="J12" i="199"/>
  <c r="J7" i="199"/>
  <c r="H13" i="199"/>
  <c r="H15" i="199" s="1"/>
  <c r="G15" i="199"/>
  <c r="I17" i="199"/>
  <c r="J17" i="199" s="1"/>
  <c r="J18" i="199" s="1"/>
  <c r="J14" i="199"/>
  <c r="J30" i="199"/>
  <c r="J31" i="199" s="1"/>
  <c r="J33" i="199"/>
  <c r="J34" i="199" s="1"/>
  <c r="I36" i="199"/>
  <c r="I9" i="199"/>
  <c r="I11" i="199" s="1"/>
  <c r="I13" i="199" s="1"/>
  <c r="F11" i="199"/>
  <c r="F13" i="199" s="1"/>
  <c r="F15" i="199" s="1"/>
  <c r="I25" i="199"/>
  <c r="E15" i="199"/>
  <c r="D15" i="199" s="1"/>
  <c r="D13" i="199"/>
  <c r="B15" i="199" s="1"/>
  <c r="I26" i="199"/>
  <c r="J26" i="199" s="1"/>
  <c r="J25" i="199"/>
  <c r="J36" i="199"/>
  <c r="J37" i="199" s="1"/>
  <c r="J20" i="199"/>
  <c r="J21" i="199" s="1"/>
  <c r="I21" i="199"/>
  <c r="I36" i="205"/>
  <c r="J36" i="205" s="1"/>
  <c r="D4" i="117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B8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38" i="205" l="1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1" i="20"/>
  <c r="E34" i="20"/>
  <c r="D32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7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</calcChain>
</file>

<file path=xl/sharedStrings.xml><?xml version="1.0" encoding="utf-8"?>
<sst xmlns="http://schemas.openxmlformats.org/spreadsheetml/2006/main" count="556" uniqueCount="41">
  <si>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</si>
  <si>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</si>
  <si>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</si>
  <si>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</si>
  <si>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</si>
  <si>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</si>
  <si>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</si>
  <si>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</si>
  <si>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</si>
  <si>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</si>
  <si>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</si>
  <si>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</si>
  <si>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</si>
  <si>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</si>
  <si>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</si>
  <si>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</si>
  <si>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</si>
  <si>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</si>
  <si>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</si>
  <si>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</si>
  <si>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</si>
  <si>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</si>
  <si>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</si>
  <si>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</si>
  <si>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</si>
  <si>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</si>
  <si>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</si>
  <si>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SENA</t>
  </si>
  <si>
    <t>SINGER</t>
  </si>
  <si>
    <t>SYNEX</t>
  </si>
  <si>
    <t>TFFIF</t>
  </si>
  <si>
    <t>TOA</t>
  </si>
  <si>
    <t>WHART</t>
  </si>
  <si>
    <t>WHAIR</t>
  </si>
  <si>
    <t>-----------</t>
  </si>
  <si>
    <t>CPF</t>
  </si>
  <si>
    <t>ORI-W2</t>
  </si>
  <si>
    <t>DIVIDEND</t>
  </si>
  <si>
    <t>3BBIF</t>
  </si>
  <si>
    <t>PLANB</t>
  </si>
  <si>
    <t>PTT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</si>
</sst>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\฿#,##0.00"/>
    <numFmt numFmtId="166" formatCode="[$฿-41E]#,##0.00"/>
    <numFmt numFmtId="167" formatCode="\฿#,##0.000"/>
    <numFmt numFmtId="168" formatCode="#,##0.0000"/>
    <numFmt numFmtId="169" formatCode="0.0000"/>
    <numFmt numFmtId="170" formatCode="yyyy\-mm\-dd;@"/>
    <numFmt numFmtId="171" formatCode="&quot;฿&quot;#,##0.00"/>
    <numFmt numFmtId="172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166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66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68" fontId="6" fillId="0" borderId="0" xfId="0" applyNumberFormat="1" applyFont="1"/>
    <xf numFmtId="4" fontId="3" fillId="0" borderId="0" xfId="0" applyNumberFormat="1" applyFont="1"/>
    <xf numFmtId="167" fontId="3" fillId="0" borderId="0" xfId="0" applyNumberFormat="1" applyFont="1"/>
    <xf numFmtId="168" fontId="2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169" fontId="4" fillId="0" borderId="0" xfId="0" applyNumberFormat="1" applyFont="1"/>
    <xf numFmtId="168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69" fontId="1" fillId="0" borderId="0" xfId="0" applyNumberFormat="1" applyFont="1"/>
    <xf numFmtId="168" fontId="3" fillId="0" borderId="0" xfId="0" applyNumberFormat="1" applyFont="1"/>
    <xf numFmtId="168" fontId="1" fillId="0" borderId="0" xfId="0" applyNumberFormat="1" applyFont="1"/>
    <xf numFmtId="4" fontId="2" fillId="0" borderId="0" xfId="0" applyNumberFormat="1" applyFont="1"/>
    <xf numFmtId="170" fontId="4" fillId="0" borderId="0" xfId="0" applyNumberFormat="1" applyFont="1"/>
    <xf numFmtId="170" fontId="1" fillId="0" borderId="0" xfId="0" applyNumberFormat="1" applyFont="1"/>
    <xf numFmtId="3" fontId="8" fillId="0" borderId="0" xfId="0" applyNumberFormat="1" applyFont="1"/>
    <xf numFmtId="168" fontId="8" fillId="0" borderId="0" xfId="0" applyNumberFormat="1" applyFont="1"/>
    <xf numFmtId="166" fontId="1" fillId="0" borderId="0" xfId="0" applyNumberFormat="1" applyFont="1"/>
    <xf numFmtId="170" fontId="8" fillId="0" borderId="0" xfId="0" applyNumberFormat="1" applyFont="1"/>
    <xf numFmtId="170" fontId="3" fillId="0" borderId="0" xfId="0" applyNumberFormat="1" applyFont="1"/>
    <xf numFmtId="165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65" fontId="12" fillId="0" borderId="0" xfId="0" applyNumberFormat="1" applyFont="1"/>
    <xf numFmtId="171" fontId="3" fillId="0" borderId="0" xfId="0" applyNumberFormat="1" applyFont="1"/>
    <xf numFmtId="0" fontId="12" fillId="0" borderId="0" xfId="0" applyFont="1"/>
    <xf numFmtId="169" fontId="3" fillId="0" borderId="0" xfId="0" applyNumberFormat="1" applyFont="1"/>
    <xf numFmtId="169" fontId="6" fillId="0" borderId="0" xfId="0" applyNumberFormat="1" applyFont="1"/>
    <xf numFmtId="169" fontId="2" fillId="0" borderId="0" xfId="0" applyNumberFormat="1" applyFont="1"/>
    <xf numFmtId="164" fontId="3" fillId="0" borderId="0" xfId="0" applyNumberFormat="1" applyFont="1"/>
    <xf numFmtId="171" fontId="6" fillId="0" borderId="0" xfId="0" applyNumberFormat="1" applyFont="1"/>
    <xf numFmtId="171" fontId="4" fillId="0" borderId="0" xfId="0" applyNumberFormat="1" applyFont="1"/>
    <xf numFmtId="164" fontId="2" fillId="0" borderId="0" xfId="0" applyNumberFormat="1" applyFont="1"/>
    <xf numFmtId="171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65" fontId="17" fillId="0" borderId="0" xfId="0" applyNumberFormat="1" applyFont="1"/>
    <xf numFmtId="166" fontId="17" fillId="0" borderId="0" xfId="0" applyNumberFormat="1" applyFont="1"/>
    <xf numFmtId="10" fontId="17" fillId="0" borderId="0" xfId="0" applyNumberFormat="1" applyFont="1"/>
    <xf numFmtId="170" fontId="6" fillId="0" borderId="0" xfId="0" applyNumberFormat="1" applyFont="1"/>
    <xf numFmtId="170" fontId="2" fillId="0" borderId="0" xfId="0" applyNumberFormat="1" applyFont="1"/>
    <xf numFmtId="0" fontId="15" fillId="0" borderId="0" xfId="0" applyFont="1"/>
    <xf numFmtId="166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68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65" fontId="13" fillId="0" borderId="0" xfId="0" applyNumberFormat="1" applyFont="1"/>
    <xf numFmtId="166" fontId="8" fillId="0" borderId="0" xfId="0" applyNumberFormat="1" applyFont="1"/>
    <xf numFmtId="172" fontId="3" fillId="0" borderId="0" xfId="0" applyNumberFormat="1" applyFont="1"/>
    <xf numFmtId="172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38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J19" sqref="J19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>
        <v>45525</v>
      </c>
      <c r="B9" s="12" t="s">
        <v>2</v>
      </c>
      <c r="C9" s="9">
        <f>C8</f>
        <v>17500</v>
      </c>
      <c r="D9" s="32">
        <v>11.1</v>
      </c>
      <c r="E9" s="10">
        <f>C9*D9</f>
        <v>194250</v>
      </c>
      <c r="F9" s="33">
        <f>E9*0.002</f>
        <v>388.5</v>
      </c>
      <c r="G9" s="32">
        <f>E9*0.000068</f>
        <v>13.209</v>
      </c>
      <c r="H9" s="32">
        <f>E9*0.00001</f>
        <v>1.9425000000000001</v>
      </c>
      <c r="I9" s="32">
        <f>(F9+G9+H9)*0.07</f>
        <v>28.255605000000003</v>
      </c>
      <c r="J9" s="32">
        <f>E9-F9-G9-H9-I9</f>
        <v>193818.09289499998</v>
      </c>
      <c r="K9" s="1"/>
      <c r="L9" s="1"/>
      <c r="M9" s="1"/>
      <c r="N9" s="1"/>
    </row>
    <row r="10" spans="1:14">
      <c r="A10" s="52"/>
      <c r="B10" s="11"/>
      <c r="C10" s="9"/>
      <c r="D10" s="32"/>
      <c r="E10" s="10">
        <f>E9-E8</f>
        <v>8750</v>
      </c>
      <c r="F10" s="33"/>
      <c r="G10" s="32"/>
      <c r="H10" s="32"/>
      <c r="I10" s="32"/>
      <c r="J10" s="10">
        <f>J9-J8</f>
        <v>7907.2289449999516</v>
      </c>
    </row>
    <row r="11" spans="1:14">
      <c r="A11" s="52"/>
      <c r="B11" s="12"/>
      <c r="C11" s="9"/>
      <c r="D11" s="10"/>
      <c r="E11" s="19"/>
      <c r="F11" s="19"/>
      <c r="G11" s="19"/>
      <c r="H11" s="19"/>
      <c r="I11" s="19"/>
      <c r="J11" s="19"/>
    </row>
    <row r="12" spans="1:14">
      <c r="J12" s="5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35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37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39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35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E18" sqref="E1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(D7-D15)/D15</f>
        <v>-0.12663755458515277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workbookViewId="0">
      <selection activeCell="J1" sqref="J1:J104857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76"/>
  <sheetViews>
    <sheetView topLeftCell="A61" workbookViewId="0">
      <selection activeCell="A76" sqref="A76:XFD76"/>
    </sheetView>
  </sheetViews>
  <sheetFormatPr defaultColWidth="8.88671875" defaultRowHeight="13.8"/>
  <cols>
    <col min="1" max="1" width="10.109375" style="41" bestFit="1" customWidth="1"/>
    <col min="2" max="2" width="7.44140625" style="20" bestFit="1" customWidth="1"/>
    <col min="3" max="3" width="6.44140625" style="20" bestFit="1" customWidth="1"/>
    <col min="4" max="4" width="5.5546875" style="97" bestFit="1" customWidth="1"/>
    <col min="5" max="5" width="11.44140625" style="97" bestFit="1" customWidth="1"/>
    <col min="6" max="6" width="8" style="97" bestFit="1" customWidth="1"/>
    <col min="7" max="8" width="5.5546875" style="97" bestFit="1" customWidth="1"/>
    <col min="9" max="9" width="6.5546875" style="97" bestFit="1" customWidth="1"/>
    <col min="10" max="10" width="12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13">
        <v>42633</v>
      </c>
      <c r="B3" s="14" t="s">
        <v>0</v>
      </c>
      <c r="C3" s="15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13">
        <v>42656</v>
      </c>
      <c r="B5" s="14" t="s">
        <v>0</v>
      </c>
      <c r="C5" s="15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13">
        <v>42674</v>
      </c>
      <c r="B21" s="14" t="s">
        <v>0</v>
      </c>
      <c r="C21" s="15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13">
        <v>42688</v>
      </c>
      <c r="B25" s="14" t="s">
        <v>0</v>
      </c>
      <c r="C25" s="15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13">
        <v>42691</v>
      </c>
      <c r="B33" s="14" t="s">
        <v>0</v>
      </c>
      <c r="C33" s="15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13">
        <v>44669</v>
      </c>
      <c r="B54" s="14" t="s">
        <v>0</v>
      </c>
      <c r="C54" s="15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J58-J57</f>
        <v>-1151177.546232</v>
      </c>
    </row>
    <row r="60" spans="1:10" s="12" customFormat="1">
      <c r="A60" s="7">
        <v>45709</v>
      </c>
      <c r="B60" s="12" t="s">
        <v>0</v>
      </c>
      <c r="C60" s="9">
        <v>5000</v>
      </c>
      <c r="D60" s="32">
        <v>8</v>
      </c>
      <c r="E60" s="32">
        <f>C60*D60</f>
        <v>40000</v>
      </c>
      <c r="F60" s="32">
        <f>E60*0.002</f>
        <v>80</v>
      </c>
      <c r="G60" s="32">
        <f>E60*0.000068</f>
        <v>2.72</v>
      </c>
      <c r="H60" s="32">
        <f>E60*0.00001</f>
        <v>0.4</v>
      </c>
      <c r="I60" s="32">
        <f>(F60+G60+H60)*0.07</f>
        <v>5.8184000000000005</v>
      </c>
      <c r="J60" s="32">
        <f>E60+F60+I60+G60+H60</f>
        <v>40088.938399999999</v>
      </c>
    </row>
    <row r="61" spans="1:10">
      <c r="B61" s="11">
        <f>(D60-D59)/D59</f>
        <v>-0.47753396029258094</v>
      </c>
      <c r="C61" s="21">
        <f>SUM(C59:C60)</f>
        <v>80000</v>
      </c>
      <c r="D61" s="97">
        <f>E61/C61</f>
        <v>14.855</v>
      </c>
      <c r="E61" s="97">
        <f t="shared" ref="E61:J61" si="18">SUM(E59:E60)</f>
        <v>1188400</v>
      </c>
      <c r="F61" s="97">
        <f t="shared" si="18"/>
        <v>80</v>
      </c>
      <c r="G61" s="97">
        <f t="shared" si="18"/>
        <v>2.72</v>
      </c>
      <c r="H61" s="97">
        <f t="shared" si="18"/>
        <v>0.4</v>
      </c>
      <c r="I61" s="97">
        <f t="shared" si="18"/>
        <v>5.8184000000000005</v>
      </c>
      <c r="J61" s="97">
        <f t="shared" si="18"/>
        <v>-1111088.6078319999</v>
      </c>
    </row>
    <row r="63" spans="1:10" s="12" customFormat="1">
      <c r="A63" s="13">
        <v>44672</v>
      </c>
      <c r="B63" s="14" t="s">
        <v>0</v>
      </c>
      <c r="C63" s="15">
        <v>15000</v>
      </c>
      <c r="D63" s="24">
        <v>12.1</v>
      </c>
      <c r="E63" s="24">
        <f>C63*D63</f>
        <v>181500</v>
      </c>
      <c r="F63" s="24">
        <f>E63*0.002</f>
        <v>363</v>
      </c>
      <c r="G63" s="24">
        <f>E63*0.000068</f>
        <v>12.342000000000001</v>
      </c>
      <c r="H63" s="24">
        <f>E63*0.00001</f>
        <v>1.8150000000000002</v>
      </c>
      <c r="I63" s="24">
        <f>(F63+G63+H63)*0.07</f>
        <v>26.40099</v>
      </c>
      <c r="J63" s="24">
        <f>E63+F63+I63+G63+H63</f>
        <v>181903.55799</v>
      </c>
    </row>
    <row r="64" spans="1:10">
      <c r="A64" s="46">
        <v>44679</v>
      </c>
      <c r="B64" s="14" t="s">
        <v>2</v>
      </c>
      <c r="C64" s="15">
        <f>C63</f>
        <v>15000</v>
      </c>
      <c r="D64" s="24">
        <v>12.5</v>
      </c>
      <c r="E64" s="24">
        <f>C64*D64</f>
        <v>187500</v>
      </c>
      <c r="F64" s="24">
        <f>E64*0.002</f>
        <v>375</v>
      </c>
      <c r="G64" s="24">
        <f>E64*0.000068</f>
        <v>12.75</v>
      </c>
      <c r="H64" s="24">
        <f>E64*0.00001</f>
        <v>1.8750000000000002</v>
      </c>
      <c r="I64" s="24">
        <f>(F64+G64+H64)*0.07</f>
        <v>27.273750000000003</v>
      </c>
      <c r="J64" s="24">
        <f>E64-F64-G64-H64-I64</f>
        <v>187083.10125000001</v>
      </c>
    </row>
    <row r="65" spans="1:10">
      <c r="A65" s="26">
        <f>DAYS360(A63,A64)</f>
        <v>7</v>
      </c>
      <c r="B65" s="28">
        <f>(D64-D63)/D63</f>
        <v>3.305785123966945E-2</v>
      </c>
      <c r="C65" s="15"/>
      <c r="D65" s="24"/>
      <c r="E65" s="24">
        <f>E64-E63</f>
        <v>6000</v>
      </c>
      <c r="F65" s="24"/>
      <c r="G65" s="24"/>
      <c r="H65" s="24"/>
      <c r="I65" s="24"/>
      <c r="J65" s="24">
        <f>J64-J63</f>
        <v>5179.5432600000058</v>
      </c>
    </row>
    <row r="66" spans="1:10" s="12" customFormat="1">
      <c r="A66" s="13">
        <v>44740</v>
      </c>
      <c r="B66" s="14" t="s">
        <v>0</v>
      </c>
      <c r="C66" s="15">
        <v>3000</v>
      </c>
      <c r="D66" s="24">
        <v>7.6</v>
      </c>
      <c r="E66" s="24">
        <f>C66*D66</f>
        <v>22800</v>
      </c>
      <c r="F66" s="24">
        <f>E66*0.002</f>
        <v>45.6</v>
      </c>
      <c r="G66" s="24">
        <f>E66*0.000068</f>
        <v>1.5504</v>
      </c>
      <c r="H66" s="24">
        <f>E66*0.00001</f>
        <v>0.22800000000000001</v>
      </c>
      <c r="I66" s="24">
        <f>(F66+G66+H66)*0.07</f>
        <v>3.3164880000000005</v>
      </c>
      <c r="J66" s="24">
        <f>E66+F66+I66+G66+H66</f>
        <v>22850.694887999998</v>
      </c>
    </row>
    <row r="67" spans="1:10">
      <c r="A67" s="46">
        <v>44741</v>
      </c>
      <c r="B67" s="14" t="s">
        <v>2</v>
      </c>
      <c r="C67" s="15">
        <f>C66</f>
        <v>3000</v>
      </c>
      <c r="D67" s="24">
        <v>11.7</v>
      </c>
      <c r="E67" s="24">
        <f>C67*D67</f>
        <v>35100</v>
      </c>
      <c r="F67" s="24">
        <f>E67*0.002</f>
        <v>70.2</v>
      </c>
      <c r="G67" s="24">
        <f>E67*0.000068</f>
        <v>2.3868</v>
      </c>
      <c r="H67" s="24">
        <f>E67*0.00001</f>
        <v>0.35100000000000003</v>
      </c>
      <c r="I67" s="24">
        <f>(F67+G67+H67)*0.07</f>
        <v>5.1056460000000001</v>
      </c>
      <c r="J67" s="24">
        <f>E67-F67-G67-H67-I67</f>
        <v>35021.956553999997</v>
      </c>
    </row>
    <row r="68" spans="1:10">
      <c r="A68" s="26">
        <f>DAYS360(A66,A67)</f>
        <v>1</v>
      </c>
      <c r="B68" s="28">
        <f>(D67-D66)/D66</f>
        <v>0.53947368421052633</v>
      </c>
      <c r="C68" s="15"/>
      <c r="D68" s="24"/>
      <c r="E68" s="24">
        <f>E67-E66</f>
        <v>12300</v>
      </c>
      <c r="F68" s="24"/>
      <c r="G68" s="24"/>
      <c r="H68" s="24"/>
      <c r="I68" s="24"/>
      <c r="J68" s="24">
        <f>J67-J66</f>
        <v>12171.261665999999</v>
      </c>
    </row>
    <row r="69" spans="1:10" s="14" customFormat="1">
      <c r="A69" s="13">
        <v>45063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45560</v>
      </c>
      <c r="B70" s="14" t="s">
        <v>2</v>
      </c>
      <c r="C70" s="15">
        <f>C69</f>
        <v>3000</v>
      </c>
      <c r="D70" s="24">
        <v>8.0500000000000007</v>
      </c>
      <c r="E70" s="24">
        <f>C70*D70</f>
        <v>24150.000000000004</v>
      </c>
      <c r="F70" s="24">
        <f>E70*0.002</f>
        <v>48.300000000000011</v>
      </c>
      <c r="G70" s="24">
        <f>E70*0.000068</f>
        <v>1.6422000000000003</v>
      </c>
      <c r="H70" s="24">
        <f>E70*0.00001</f>
        <v>0.24150000000000005</v>
      </c>
      <c r="I70" s="24">
        <f>(F70+G70+H70)*0.07</f>
        <v>3.5128590000000015</v>
      </c>
      <c r="J70" s="24">
        <f>E70-F70-G70-H70-I70</f>
        <v>24096.303441000007</v>
      </c>
    </row>
    <row r="71" spans="1:10">
      <c r="A71" s="26">
        <f>DAYS360(A69,A70)</f>
        <v>488</v>
      </c>
      <c r="B71" s="28">
        <f>(D70-D69)/D69</f>
        <v>5.9210526315789616E-2</v>
      </c>
      <c r="C71" s="15"/>
      <c r="D71" s="24"/>
      <c r="E71" s="24">
        <f>E70-E69</f>
        <v>1350.0000000000036</v>
      </c>
      <c r="F71" s="24"/>
      <c r="G71" s="24"/>
      <c r="H71" s="24"/>
      <c r="I71" s="24"/>
      <c r="J71" s="24">
        <f>J70-J69</f>
        <v>1245.6085530000091</v>
      </c>
    </row>
    <row r="72" spans="1:10" s="12" customFormat="1">
      <c r="A72" s="13">
        <v>45709</v>
      </c>
      <c r="B72" s="14" t="s">
        <v>0</v>
      </c>
      <c r="C72" s="15">
        <v>6000</v>
      </c>
      <c r="D72" s="24">
        <v>7.3</v>
      </c>
      <c r="E72" s="24">
        <f>C72*D72</f>
        <v>43800</v>
      </c>
      <c r="F72" s="24">
        <f>E72*0.002</f>
        <v>87.600000000000009</v>
      </c>
      <c r="G72" s="24">
        <f>E72*0.000068</f>
        <v>2.9784000000000002</v>
      </c>
      <c r="H72" s="24">
        <f>E72*0.00001</f>
        <v>0.43800000000000006</v>
      </c>
      <c r="I72" s="24">
        <f>(F72+G72+H72)*0.07</f>
        <v>6.3711480000000007</v>
      </c>
      <c r="J72" s="24">
        <f>E72+F72+I72+G72+H72</f>
        <v>43897.387547999999</v>
      </c>
    </row>
    <row r="73" spans="1:10">
      <c r="A73" s="46">
        <v>45896</v>
      </c>
      <c r="B73" s="14" t="s">
        <v>2</v>
      </c>
      <c r="C73" s="15">
        <f>C72</f>
        <v>6000</v>
      </c>
      <c r="D73" s="24">
        <v>8.4</v>
      </c>
      <c r="E73" s="24">
        <f>C73*D73</f>
        <v>50400</v>
      </c>
      <c r="F73" s="24">
        <f>E73*0.002</f>
        <v>100.8</v>
      </c>
      <c r="G73" s="24">
        <f>E73*0.000068</f>
        <v>3.4272</v>
      </c>
      <c r="H73" s="24">
        <f>E73*0.00001</f>
        <v>0.504</v>
      </c>
      <c r="I73" s="24">
        <f>(F73+G73+H73)*0.07</f>
        <v>7.3311840000000004</v>
      </c>
      <c r="J73" s="24">
        <f>E73-F73-G73-H73-I73</f>
        <v>50287.937615999996</v>
      </c>
    </row>
    <row r="74" spans="1:10">
      <c r="A74" s="26">
        <f>DAYS360(A72,A73)</f>
        <v>186</v>
      </c>
      <c r="B74" s="28">
        <f>(D73-D72)/D72</f>
        <v>0.15068493150684939</v>
      </c>
      <c r="C74" s="15"/>
      <c r="D74" s="24"/>
      <c r="E74" s="24">
        <f>E73-E72</f>
        <v>6600</v>
      </c>
      <c r="F74" s="24"/>
      <c r="G74" s="24"/>
      <c r="H74" s="24"/>
      <c r="I74" s="24"/>
      <c r="J74" s="24">
        <f>J73-J72</f>
        <v>6390.5500679999968</v>
      </c>
    </row>
    <row r="76" spans="1:10">
      <c r="E76" s="97">
        <f>E55+E72</f>
        <v>1198800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4.5599999999999996</v>
      </c>
      <c r="E10" s="19">
        <f>C10*D10</f>
        <v>22799.999999999996</v>
      </c>
      <c r="F10" s="19">
        <f>E10*0.002</f>
        <v>45.599999999999994</v>
      </c>
      <c r="G10" s="19">
        <f>E10*0.00006</f>
        <v>1.3679999999999999</v>
      </c>
      <c r="H10" s="19">
        <f>E10*0.00001</f>
        <v>0.22799999999999998</v>
      </c>
      <c r="I10" s="19">
        <f>(F10+G10+H10)*0.07</f>
        <v>3.3037200000000002</v>
      </c>
      <c r="J10" s="19">
        <f>E10+F10+I10+G10+H10</f>
        <v>22850.499719999993</v>
      </c>
    </row>
    <row r="11" spans="1:13" s="1" customFormat="1">
      <c r="A11" s="52"/>
      <c r="B11" s="11">
        <f>(D10-D9)/D9</f>
        <v>-0.3879194630872484</v>
      </c>
      <c r="C11" s="9">
        <f>SUM(C9:C10)</f>
        <v>32000</v>
      </c>
      <c r="D11" s="60">
        <f>E11/C11</f>
        <v>6.9984374999999996</v>
      </c>
      <c r="E11" s="9">
        <f t="shared" ref="E11:J11" si="3">SUM(E9:E10)</f>
        <v>223950</v>
      </c>
      <c r="F11" s="9">
        <f t="shared" si="3"/>
        <v>447.9</v>
      </c>
      <c r="G11" s="9">
        <f t="shared" si="3"/>
        <v>13.437000000000001</v>
      </c>
      <c r="H11" s="9">
        <f t="shared" si="3"/>
        <v>2.2395000000000005</v>
      </c>
      <c r="I11" s="9">
        <f t="shared" si="3"/>
        <v>32.450355000000009</v>
      </c>
      <c r="J11" s="9">
        <f t="shared" si="3"/>
        <v>224446.02685499997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36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40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17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0"/>
  <sheetViews>
    <sheetView topLeftCell="A15" workbookViewId="0">
      <selection activeCell="D23" sqref="D2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9.6</v>
      </c>
      <c r="E22" s="19">
        <f>C22*D22</f>
        <v>24000</v>
      </c>
      <c r="F22" s="19">
        <f>E22*0.002</f>
        <v>48</v>
      </c>
      <c r="G22" s="19">
        <f>E22*0.000068</f>
        <v>1.6319999999999999</v>
      </c>
      <c r="H22" s="19">
        <f>E22*0.00001</f>
        <v>0.24000000000000002</v>
      </c>
      <c r="I22" s="19">
        <f>(F22+G22+H22)*0.07</f>
        <v>3.4910400000000004</v>
      </c>
      <c r="J22" s="19">
        <f>E22+F22+I22+G22+H22</f>
        <v>24053.363040000004</v>
      </c>
      <c r="M22" s="20"/>
    </row>
    <row r="23" spans="1:13">
      <c r="A23" s="41"/>
      <c r="B23" s="23">
        <f>(D22-D21)/D21</f>
        <v>-0.63636363636363624</v>
      </c>
      <c r="C23" s="21">
        <f>SUM(C21:C22)</f>
        <v>20000</v>
      </c>
      <c r="D23" s="61">
        <f>E23/C23</f>
        <v>24.3</v>
      </c>
      <c r="E23" s="21">
        <f t="shared" ref="E23:J23" si="11">SUM(E21:E22)</f>
        <v>486000</v>
      </c>
      <c r="F23" s="21">
        <f t="shared" si="11"/>
        <v>972</v>
      </c>
      <c r="G23" s="21">
        <f t="shared" si="11"/>
        <v>33.047999999999995</v>
      </c>
      <c r="H23" s="21">
        <f t="shared" si="11"/>
        <v>4.8600000000000003</v>
      </c>
      <c r="I23" s="21">
        <f t="shared" si="11"/>
        <v>70.693560000000005</v>
      </c>
      <c r="J23" s="21">
        <f t="shared" si="11"/>
        <v>487080.60156000004</v>
      </c>
      <c r="K23" s="22"/>
      <c r="L23" s="23"/>
      <c r="M23" s="20"/>
    </row>
    <row r="24" spans="1:13">
      <c r="C24" s="96" t="s">
        <v>34</v>
      </c>
    </row>
    <row r="25" spans="1:13">
      <c r="A25" s="13">
        <v>44641</v>
      </c>
      <c r="B25" s="14" t="s">
        <v>0</v>
      </c>
      <c r="C25" s="15">
        <v>3000</v>
      </c>
      <c r="D25" s="16">
        <v>24.5</v>
      </c>
      <c r="E25" s="17">
        <f>C25*D25</f>
        <v>73500</v>
      </c>
      <c r="F25" s="17">
        <f>E25*0.002</f>
        <v>147</v>
      </c>
      <c r="G25" s="17">
        <f>E25*0.000068</f>
        <v>4.9980000000000002</v>
      </c>
      <c r="H25" s="17">
        <f>E25*0.00001</f>
        <v>0.7350000000000001</v>
      </c>
      <c r="I25" s="17">
        <f>(F25+G25+H25)*0.07</f>
        <v>10.691310000000001</v>
      </c>
      <c r="J25" s="17">
        <f>E25+F25+I25+G25+H25</f>
        <v>73663.424310000002</v>
      </c>
      <c r="M25" s="20"/>
    </row>
    <row r="26" spans="1:13" s="12" customFormat="1">
      <c r="A26" s="13">
        <v>44867</v>
      </c>
      <c r="B26" s="14" t="s">
        <v>2</v>
      </c>
      <c r="C26" s="15">
        <f>C25</f>
        <v>3000</v>
      </c>
      <c r="D26" s="24">
        <v>16.100000000000001</v>
      </c>
      <c r="E26" s="16">
        <f>C26*D26</f>
        <v>48300.000000000007</v>
      </c>
      <c r="F26" s="25">
        <f>E26*0.002</f>
        <v>96.600000000000023</v>
      </c>
      <c r="G26" s="24">
        <f>E26*0.000068</f>
        <v>3.2844000000000007</v>
      </c>
      <c r="H26" s="24">
        <f>E26*0.00001</f>
        <v>0.4830000000000001</v>
      </c>
      <c r="I26" s="24">
        <f>(F26+G26+H26)*0.07</f>
        <v>7.025718000000003</v>
      </c>
      <c r="J26" s="24">
        <f>E26-F26-G26-H26-I26</f>
        <v>48192.606882000015</v>
      </c>
    </row>
    <row r="27" spans="1:13" s="29" customFormat="1" ht="18.600000000000001">
      <c r="A27" s="13" t="s">
        <v>3</v>
      </c>
      <c r="B27" s="6">
        <f>(D26-D25)/D25</f>
        <v>-0.3428571428571428</v>
      </c>
      <c r="C27" s="15"/>
      <c r="D27" s="16"/>
      <c r="E27" s="17">
        <f>E26-E25</f>
        <v>-25199.999999999993</v>
      </c>
      <c r="F27" s="17"/>
      <c r="G27" s="17"/>
      <c r="H27" s="17"/>
      <c r="I27" s="17"/>
      <c r="J27" s="17">
        <f>J26-J25</f>
        <v>-25470.817427999988</v>
      </c>
      <c r="K27" s="11"/>
    </row>
    <row r="28" spans="1:13" s="29" customFormat="1" ht="18.600000000000001">
      <c r="A28" s="7"/>
      <c r="B28" s="23"/>
      <c r="C28" s="9"/>
      <c r="D28" s="10"/>
      <c r="E28" s="19"/>
      <c r="F28" s="19"/>
      <c r="G28" s="19"/>
      <c r="H28" s="19"/>
      <c r="I28" s="19"/>
      <c r="J28" s="19"/>
      <c r="K28" s="11"/>
    </row>
    <row r="29" spans="1:13" s="12" customFormat="1">
      <c r="A29" s="36">
        <v>44372</v>
      </c>
      <c r="B29" s="14" t="s">
        <v>0</v>
      </c>
      <c r="C29" s="15">
        <v>1500</v>
      </c>
      <c r="D29" s="16">
        <v>24.5</v>
      </c>
      <c r="E29" s="17">
        <f>C29*D29</f>
        <v>36750</v>
      </c>
      <c r="F29" s="17">
        <f>E29*0.002</f>
        <v>73.5</v>
      </c>
      <c r="G29" s="17">
        <f>E29*0.00006</f>
        <v>2.2050000000000001</v>
      </c>
      <c r="H29" s="17">
        <f>E29*0.00001</f>
        <v>0.36750000000000005</v>
      </c>
      <c r="I29" s="17">
        <f>(F29+G29+H29)*0.07</f>
        <v>5.3250750000000009</v>
      </c>
      <c r="J29" s="17">
        <f>E29+F29+I29+G29+H29</f>
        <v>36831.397575000003</v>
      </c>
      <c r="K29" s="30"/>
      <c r="L29" s="10"/>
      <c r="M29" s="11"/>
    </row>
    <row r="30" spans="1:13" s="12" customFormat="1">
      <c r="A30" s="13">
        <v>44533</v>
      </c>
      <c r="B30" s="14" t="s">
        <v>2</v>
      </c>
      <c r="C30" s="15">
        <f>C29</f>
        <v>1500</v>
      </c>
      <c r="D30" s="24">
        <v>32</v>
      </c>
      <c r="E30" s="16">
        <f>C30*D30</f>
        <v>48000</v>
      </c>
      <c r="F30" s="25">
        <f>E30*0.002</f>
        <v>96</v>
      </c>
      <c r="G30" s="24">
        <f>E30*0.000068</f>
        <v>3.2639999999999998</v>
      </c>
      <c r="H30" s="24">
        <f>E30*0.00001</f>
        <v>0.48000000000000004</v>
      </c>
      <c r="I30" s="24">
        <f>(F30+G30+H30)*0.07</f>
        <v>6.9820800000000007</v>
      </c>
      <c r="J30" s="24">
        <f>E30-F30-G30-H30-I30</f>
        <v>47893.273919999992</v>
      </c>
    </row>
    <row r="31" spans="1:13" s="29" customFormat="1" ht="18.600000000000001">
      <c r="A31" s="13" t="s">
        <v>3</v>
      </c>
      <c r="B31" s="6">
        <f>(D30-D29)/D29</f>
        <v>0.30612244897959184</v>
      </c>
      <c r="C31" s="15"/>
      <c r="D31" s="16"/>
      <c r="E31" s="17">
        <f>E30-E29</f>
        <v>11250</v>
      </c>
      <c r="F31" s="17"/>
      <c r="G31" s="17"/>
      <c r="H31" s="17"/>
      <c r="I31" s="17"/>
      <c r="J31" s="17">
        <f>J30-J29</f>
        <v>11061.87634499999</v>
      </c>
      <c r="K31" s="11"/>
    </row>
    <row r="32" spans="1:13" s="12" customFormat="1">
      <c r="A32" s="36">
        <v>44372</v>
      </c>
      <c r="B32" s="14" t="s">
        <v>0</v>
      </c>
      <c r="C32" s="15">
        <v>1500</v>
      </c>
      <c r="D32" s="16">
        <v>24.5</v>
      </c>
      <c r="E32" s="17">
        <f>C32*D32</f>
        <v>36750</v>
      </c>
      <c r="F32" s="17">
        <f>E32*0.002</f>
        <v>73.5</v>
      </c>
      <c r="G32" s="17">
        <f>E32*0.00006</f>
        <v>2.2050000000000001</v>
      </c>
      <c r="H32" s="17">
        <f>E32*0.00001</f>
        <v>0.36750000000000005</v>
      </c>
      <c r="I32" s="17">
        <f>(F32+G32+H32)*0.07</f>
        <v>5.3250750000000009</v>
      </c>
      <c r="J32" s="17">
        <f>E32+F32+I32+G32+H32</f>
        <v>36831.397575000003</v>
      </c>
      <c r="K32" s="30"/>
      <c r="L32" s="10"/>
      <c r="M32" s="11"/>
    </row>
    <row r="33" spans="1:13" s="12" customFormat="1">
      <c r="A33" s="13">
        <v>44537</v>
      </c>
      <c r="B33" s="14" t="s">
        <v>2</v>
      </c>
      <c r="C33" s="15">
        <f>C32</f>
        <v>1500</v>
      </c>
      <c r="D33" s="24">
        <v>33</v>
      </c>
      <c r="E33" s="16">
        <f>C33*D33</f>
        <v>49500</v>
      </c>
      <c r="F33" s="25">
        <f>E33*0.002</f>
        <v>99</v>
      </c>
      <c r="G33" s="24">
        <f>E33*0.000068</f>
        <v>3.3660000000000001</v>
      </c>
      <c r="H33" s="24">
        <f>E33*0.00001</f>
        <v>0.49500000000000005</v>
      </c>
      <c r="I33" s="24">
        <f>(F33+G33+H33)*0.07</f>
        <v>7.2002700000000006</v>
      </c>
      <c r="J33" s="24">
        <f>E33-F33-G33-H33-I33</f>
        <v>49389.938729999994</v>
      </c>
    </row>
    <row r="34" spans="1:13" s="29" customFormat="1" ht="18.600000000000001">
      <c r="A34" s="13" t="s">
        <v>3</v>
      </c>
      <c r="B34" s="6">
        <f>(D33-D32)/D32</f>
        <v>0.34693877551020408</v>
      </c>
      <c r="C34" s="15"/>
      <c r="D34" s="16"/>
      <c r="E34" s="17">
        <f>E33-E32</f>
        <v>12750</v>
      </c>
      <c r="F34" s="17"/>
      <c r="G34" s="17"/>
      <c r="H34" s="17"/>
      <c r="I34" s="17"/>
      <c r="J34" s="17">
        <f>J33-J32</f>
        <v>12558.541154999992</v>
      </c>
      <c r="K34" s="11"/>
    </row>
    <row r="35" spans="1:13" s="12" customFormat="1">
      <c r="A35" s="36">
        <v>44372</v>
      </c>
      <c r="B35" s="14" t="s">
        <v>0</v>
      </c>
      <c r="C35" s="15">
        <v>1500</v>
      </c>
      <c r="D35" s="16">
        <v>31.5</v>
      </c>
      <c r="E35" s="17">
        <f>C35*D35</f>
        <v>47250</v>
      </c>
      <c r="F35" s="17">
        <f>E35*0.002</f>
        <v>94.5</v>
      </c>
      <c r="G35" s="17">
        <f>E35*0.00006</f>
        <v>2.835</v>
      </c>
      <c r="H35" s="17">
        <f>E35*0.00001</f>
        <v>0.47250000000000003</v>
      </c>
      <c r="I35" s="17">
        <f>(F35+G35+H35)*0.07</f>
        <v>6.8465249999999997</v>
      </c>
      <c r="J35" s="17">
        <f>E35+F35+I35+G35+H35</f>
        <v>47354.654025000003</v>
      </c>
      <c r="K35" s="30"/>
      <c r="L35" s="10"/>
      <c r="M35" s="11"/>
    </row>
    <row r="36" spans="1:13" s="12" customFormat="1">
      <c r="A36" s="13">
        <v>44574</v>
      </c>
      <c r="B36" s="14" t="s">
        <v>2</v>
      </c>
      <c r="C36" s="15">
        <f>C35</f>
        <v>1500</v>
      </c>
      <c r="D36" s="24">
        <v>33</v>
      </c>
      <c r="E36" s="16">
        <f>C36*D36</f>
        <v>49500</v>
      </c>
      <c r="F36" s="25">
        <f>E36*0.002</f>
        <v>99</v>
      </c>
      <c r="G36" s="24">
        <f>E36*0.000068</f>
        <v>3.3660000000000001</v>
      </c>
      <c r="H36" s="24">
        <f>E36*0.00001</f>
        <v>0.49500000000000005</v>
      </c>
      <c r="I36" s="24">
        <f>(F36+G36+H36)*0.07</f>
        <v>7.2002700000000006</v>
      </c>
      <c r="J36" s="24">
        <f>E36-F36-G36-H36-I36</f>
        <v>49389.938729999994</v>
      </c>
    </row>
    <row r="37" spans="1:13" s="29" customFormat="1" ht="18.600000000000001">
      <c r="A37" s="13" t="s">
        <v>3</v>
      </c>
      <c r="B37" s="6">
        <f>(D36-D35)/D35</f>
        <v>4.7619047619047616E-2</v>
      </c>
      <c r="C37" s="15"/>
      <c r="D37" s="16"/>
      <c r="E37" s="17">
        <f>E36-E35</f>
        <v>2250</v>
      </c>
      <c r="F37" s="17"/>
      <c r="G37" s="17"/>
      <c r="H37" s="17"/>
      <c r="I37" s="17"/>
      <c r="J37" s="17">
        <f>J36-J35</f>
        <v>2035.2847049999909</v>
      </c>
      <c r="K37" s="11"/>
    </row>
    <row r="38" spans="1:13" s="12" customFormat="1">
      <c r="A38" s="63">
        <v>44372</v>
      </c>
      <c r="B38" s="12" t="s">
        <v>0</v>
      </c>
      <c r="C38" s="9">
        <v>2500</v>
      </c>
      <c r="D38" s="10">
        <v>12.6</v>
      </c>
      <c r="E38" s="19">
        <f>C38*D38</f>
        <v>31500</v>
      </c>
      <c r="F38" s="19">
        <f>E38*0.002</f>
        <v>63</v>
      </c>
      <c r="G38" s="19">
        <f>E38*0.00006</f>
        <v>1.8900000000000001</v>
      </c>
      <c r="H38" s="19">
        <f>E38*0.00001</f>
        <v>0.315</v>
      </c>
      <c r="I38" s="19">
        <f>(F38+G38+H38)*0.07</f>
        <v>4.5643500000000001</v>
      </c>
      <c r="J38" s="19">
        <f>E38+F38+I38+G38+H38</f>
        <v>31569.769349999999</v>
      </c>
      <c r="K38" s="30"/>
      <c r="L38" s="10"/>
      <c r="M38" s="11"/>
    </row>
    <row r="39" spans="1:13" s="12" customFormat="1">
      <c r="A39" s="7">
        <v>44574</v>
      </c>
      <c r="B39" s="12" t="s">
        <v>2</v>
      </c>
      <c r="C39" s="9">
        <f>C38</f>
        <v>2500</v>
      </c>
      <c r="D39" s="32">
        <v>12.8</v>
      </c>
      <c r="E39" s="10">
        <f>C39*D39</f>
        <v>32000</v>
      </c>
      <c r="F39" s="33">
        <f>E39*0.002</f>
        <v>64</v>
      </c>
      <c r="G39" s="32">
        <f>E39*0.000068</f>
        <v>2.1760000000000002</v>
      </c>
      <c r="H39" s="32">
        <f>E39*0.00001</f>
        <v>0.32</v>
      </c>
      <c r="I39" s="32">
        <f>(F39+G39+H39)*0.07</f>
        <v>4.6547200000000002</v>
      </c>
      <c r="J39" s="32">
        <f>E39-F39-G39-H39-I39</f>
        <v>31928.849280000002</v>
      </c>
    </row>
    <row r="40" spans="1:13" s="29" customFormat="1" ht="18.600000000000001">
      <c r="A40" s="7" t="s">
        <v>3</v>
      </c>
      <c r="B40" s="23">
        <f>(D39-D38)/D38</f>
        <v>1.5873015873015959E-2</v>
      </c>
      <c r="C40" s="9"/>
      <c r="D40" s="10"/>
      <c r="E40" s="19">
        <f>E39-E38</f>
        <v>500</v>
      </c>
      <c r="F40" s="19"/>
      <c r="G40" s="19"/>
      <c r="H40" s="19"/>
      <c r="I40" s="19"/>
      <c r="J40" s="19">
        <f>J39-J38</f>
        <v>359.07993000000351</v>
      </c>
      <c r="K4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abSelected="1"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30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6.4</v>
      </c>
      <c r="E7" s="19">
        <f>C7*D7</f>
        <v>32000</v>
      </c>
      <c r="F7" s="19">
        <f>E7*0.002</f>
        <v>64</v>
      </c>
      <c r="G7" s="19">
        <f>E7*0.000068</f>
        <v>2.1760000000000002</v>
      </c>
      <c r="H7" s="19">
        <f>E7*0.00001</f>
        <v>0.32</v>
      </c>
      <c r="I7" s="19">
        <f>(F7+G7+H7)*0.07</f>
        <v>4.6547200000000002</v>
      </c>
      <c r="J7" s="19">
        <f>E7+F7+I7+G7+H7</f>
        <v>32071.150719999998</v>
      </c>
    </row>
    <row r="8" spans="1:11" s="20" customFormat="1">
      <c r="A8" s="41"/>
      <c r="B8" s="23">
        <f>(D7-D6)/D6</f>
        <v>-0.12328767123287664</v>
      </c>
      <c r="C8" s="21">
        <f>SUM(C6:C7)</f>
        <v>30000</v>
      </c>
      <c r="D8" s="31">
        <f>E8/C8</f>
        <v>7.15</v>
      </c>
      <c r="E8" s="21">
        <f t="shared" ref="E8:J8" si="2">SUM(E6:E7)</f>
        <v>214500</v>
      </c>
      <c r="F8" s="21">
        <f t="shared" si="2"/>
        <v>429</v>
      </c>
      <c r="G8" s="21">
        <f t="shared" si="2"/>
        <v>13.982000000000001</v>
      </c>
      <c r="H8" s="21">
        <f t="shared" si="2"/>
        <v>2.145</v>
      </c>
      <c r="I8" s="21">
        <f t="shared" si="2"/>
        <v>31.158890000000007</v>
      </c>
      <c r="J8" s="21">
        <f t="shared" si="2"/>
        <v>214976.28589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31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workbookViewId="0">
      <selection activeCell="E17" sqref="E17:J1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33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10000</v>
      </c>
      <c r="D13" s="43">
        <v>4.5</v>
      </c>
      <c r="E13" s="19">
        <f>C13*D13</f>
        <v>45000</v>
      </c>
      <c r="F13" s="19">
        <f>E13*0.002</f>
        <v>90</v>
      </c>
      <c r="G13" s="19">
        <f>E13*0.000068</f>
        <v>3.06</v>
      </c>
      <c r="H13" s="19">
        <f>E13*0.00001</f>
        <v>0.45</v>
      </c>
      <c r="I13" s="19">
        <f>(F13+G13+H13)*0.07</f>
        <v>6.545700000000001</v>
      </c>
      <c r="J13" s="19">
        <f>E13+F13+I13+G13+H13</f>
        <v>45100.055699999997</v>
      </c>
    </row>
    <row r="14" spans="1:11" s="20" customFormat="1">
      <c r="A14" s="41"/>
      <c r="B14" s="70">
        <f>(D13-D12)/D12</f>
        <v>-0.48275862068965514</v>
      </c>
      <c r="C14" s="21">
        <f>C12+C13</f>
        <v>60000</v>
      </c>
      <c r="D14" s="31">
        <f>E14/C14</f>
        <v>8</v>
      </c>
      <c r="E14" s="21">
        <f t="shared" ref="E14:J14" si="5">E12+E13</f>
        <v>480000</v>
      </c>
      <c r="F14" s="21">
        <f t="shared" si="5"/>
        <v>960</v>
      </c>
      <c r="G14" s="21">
        <f t="shared" si="5"/>
        <v>31.911999999999999</v>
      </c>
      <c r="H14" s="21">
        <f t="shared" si="5"/>
        <v>4.8000000000000007</v>
      </c>
      <c r="I14" s="21">
        <f t="shared" si="5"/>
        <v>69.769840000000002</v>
      </c>
      <c r="J14" s="21">
        <f t="shared" si="5"/>
        <v>481066.48184000002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PTTGC</vt:lpstr>
      <vt:lpstr>STA</vt:lpstr>
      <vt:lpstr>3BBIF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2026-03-19T07:38:05Z</dcterms:modified>
  <cp:category/>
  <cp:contentStatus/>
</cp:coreProperties>
</file>