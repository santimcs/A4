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893" documentId="13_ncr:1_{952C9640-4145-4BFE-A933-8C66170A3FDB}" xr6:coauthVersionLast="47" xr6:coauthVersionMax="47" xr10:uidLastSave="{75909B50-2D8F-4175-B0B2-E5E2FC91BB5E}"/>
  <bookViews>
    <workbookView xWindow="7200" yWindow="684" windowWidth="15840" windowHeight="9672" tabRatio="461" xr2:uid="{00000000-000D-0000-FFFF-FFFF00000000}"/>
  </bookViews>
  <sheets>
    <sheet name="Sheet1" sheetId="226" r:id="rId1"/>
    <sheet name="PTTGC" sheetId="42" r:id="rId2"/>
    <sheet name="STA" sheetId="197" r:id="rId3"/>
    <sheet name="3BBIF" sheetId="46" r:id="rId4"/>
    <sheet name="ADVANC" sheetId="225" r:id="rId5"/>
    <sheet name="AH" sheetId="217" r:id="rId6"/>
    <sheet name="AIMIRT" sheetId="210" r:id="rId7"/>
    <sheet name="AWC" sheetId="212" r:id="rId8"/>
    <sheet name="BCH" sheetId="150" r:id="rId9"/>
    <sheet name="CPF" sheetId="223" r:id="rId10"/>
    <sheet name="CPNREIT" sheetId="194" r:id="rId11"/>
    <sheet name="DIF" sheetId="57" r:id="rId12"/>
    <sheet name="GVREIT" sheetId="195" r:id="rId13"/>
    <sheet name="IVL" sheetId="196" r:id="rId14"/>
    <sheet name="JMART" sheetId="204" r:id="rId15"/>
    <sheet name="JMT" sheetId="205" r:id="rId16"/>
    <sheet name="MCS" sheetId="20" r:id="rId17"/>
    <sheet name="NER" sheetId="117" r:id="rId18"/>
    <sheet name="ORI" sheetId="184" r:id="rId19"/>
    <sheet name="PTG" sheetId="216" r:id="rId20"/>
    <sheet name="PTT" sheetId="224" r:id="rId21"/>
    <sheet name="RCL" sheetId="161" r:id="rId22"/>
    <sheet name="SENA" sheetId="183" r:id="rId23"/>
    <sheet name="SINGER" sheetId="203" r:id="rId24"/>
    <sheet name="SYNEX" sheetId="199" r:id="rId25"/>
    <sheet name="TFFIF" sheetId="214" r:id="rId26"/>
    <sheet name="TOA" sheetId="218" r:id="rId27"/>
    <sheet name="TVO" sheetId="221" r:id="rId28"/>
    <sheet name="WHAIR" sheetId="157" r:id="rId29"/>
    <sheet name="WHART" sheetId="171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10" l="1"/>
  <c r="B12" i="210"/>
  <c r="E11" i="210"/>
  <c r="E10" i="210"/>
  <c r="G10" i="210" s="1"/>
  <c r="C14" i="157"/>
  <c r="E24" i="199"/>
  <c r="G24" i="199" s="1"/>
  <c r="D62" i="20"/>
  <c r="E61" i="20"/>
  <c r="E11" i="225"/>
  <c r="F11" i="225" s="1"/>
  <c r="C12" i="225"/>
  <c r="E9" i="225"/>
  <c r="E7" i="225"/>
  <c r="F7" i="225" s="1"/>
  <c r="C4" i="225"/>
  <c r="C6" i="225" s="1"/>
  <c r="C8" i="225" s="1"/>
  <c r="C10" i="225" s="1"/>
  <c r="B4" i="225"/>
  <c r="E3" i="225"/>
  <c r="E2" i="225"/>
  <c r="B8" i="196"/>
  <c r="H10" i="210" l="1"/>
  <c r="E12" i="210"/>
  <c r="D12" i="210" s="1"/>
  <c r="F11" i="210"/>
  <c r="G11" i="210"/>
  <c r="G12" i="210" s="1"/>
  <c r="H11" i="210"/>
  <c r="H12" i="210" s="1"/>
  <c r="F10" i="210"/>
  <c r="H24" i="199"/>
  <c r="F24" i="199"/>
  <c r="F61" i="20"/>
  <c r="H61" i="20"/>
  <c r="G61" i="20"/>
  <c r="H11" i="225"/>
  <c r="G11" i="225"/>
  <c r="G9" i="225"/>
  <c r="H9" i="225"/>
  <c r="F9" i="225"/>
  <c r="G7" i="225"/>
  <c r="H7" i="225"/>
  <c r="E4" i="225"/>
  <c r="D4" i="225" s="1"/>
  <c r="F2" i="225"/>
  <c r="G2" i="225"/>
  <c r="H2" i="225"/>
  <c r="F3" i="225"/>
  <c r="G3" i="225"/>
  <c r="H3" i="225"/>
  <c r="C35" i="204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E60" i="20"/>
  <c r="G60" i="20" s="1"/>
  <c r="A59" i="20"/>
  <c r="E58" i="20"/>
  <c r="E56" i="20"/>
  <c r="E75" i="20"/>
  <c r="B77" i="20"/>
  <c r="A77" i="20"/>
  <c r="C76" i="20"/>
  <c r="E76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I11" i="210" l="1"/>
  <c r="F12" i="210"/>
  <c r="I10" i="210"/>
  <c r="I12" i="210" s="1"/>
  <c r="J10" i="210"/>
  <c r="J11" i="210"/>
  <c r="I24" i="199"/>
  <c r="I61" i="20"/>
  <c r="J61" i="20" s="1"/>
  <c r="I11" i="225"/>
  <c r="J11" i="225" s="1"/>
  <c r="I9" i="225"/>
  <c r="J9" i="225"/>
  <c r="I7" i="225"/>
  <c r="F4" i="225"/>
  <c r="G4" i="225"/>
  <c r="H4" i="225"/>
  <c r="I3" i="225"/>
  <c r="J3" i="225" s="1"/>
  <c r="I2" i="225"/>
  <c r="F7" i="212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F60" i="20"/>
  <c r="H58" i="20"/>
  <c r="G58" i="20"/>
  <c r="F58" i="20"/>
  <c r="H56" i="20"/>
  <c r="F56" i="20"/>
  <c r="G56" i="20"/>
  <c r="H75" i="20"/>
  <c r="F75" i="20"/>
  <c r="G75" i="20"/>
  <c r="E77" i="20"/>
  <c r="H76" i="20"/>
  <c r="G76" i="20"/>
  <c r="F76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J12" i="210" l="1"/>
  <c r="J24" i="199"/>
  <c r="I58" i="20"/>
  <c r="J7" i="225"/>
  <c r="I4" i="225"/>
  <c r="J2" i="225"/>
  <c r="J4" i="225" s="1"/>
  <c r="I6" i="212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J58" i="20"/>
  <c r="I56" i="20"/>
  <c r="J56" i="20"/>
  <c r="I76" i="20"/>
  <c r="J76" i="20" s="1"/>
  <c r="I75" i="20"/>
  <c r="J75" i="20" s="1"/>
  <c r="J77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E22" i="199"/>
  <c r="G22" i="199" s="1"/>
  <c r="H22" i="199" l="1"/>
  <c r="F22" i="199"/>
  <c r="B42" i="199"/>
  <c r="C41" i="199"/>
  <c r="E41" i="199" s="1"/>
  <c r="E40" i="199"/>
  <c r="H40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7" i="157"/>
  <c r="C8" i="196"/>
  <c r="B16" i="196"/>
  <c r="C15" i="196"/>
  <c r="E15" i="196" s="1"/>
  <c r="I22" i="199" l="1"/>
  <c r="J22" i="199"/>
  <c r="H41" i="199"/>
  <c r="G41" i="199"/>
  <c r="E42" i="199"/>
  <c r="F41" i="199"/>
  <c r="F40" i="199"/>
  <c r="G40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41" i="199"/>
  <c r="J41" i="199"/>
  <c r="I40" i="199"/>
  <c r="J40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G28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72" i="20"/>
  <c r="H72" i="20" s="1"/>
  <c r="A74" i="20"/>
  <c r="B74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C23" i="199" s="1"/>
  <c r="C25" i="199" s="1"/>
  <c r="B18" i="199"/>
  <c r="C17" i="199"/>
  <c r="E17" i="199" s="1"/>
  <c r="C17" i="197"/>
  <c r="E17" i="197"/>
  <c r="E20" i="199"/>
  <c r="E21" i="199" s="1"/>
  <c r="E23" i="199" s="1"/>
  <c r="E25" i="199" s="1"/>
  <c r="C41" i="161"/>
  <c r="E41" i="161" s="1"/>
  <c r="E29" i="161"/>
  <c r="H29" i="161" s="1"/>
  <c r="E7" i="194"/>
  <c r="E27" i="161"/>
  <c r="H27" i="161" s="1"/>
  <c r="E27" i="199"/>
  <c r="B39" i="199"/>
  <c r="C38" i="199"/>
  <c r="E38" i="199" s="1"/>
  <c r="E37" i="199"/>
  <c r="G37" i="199" s="1"/>
  <c r="B36" i="199"/>
  <c r="C35" i="199"/>
  <c r="E35" i="199" s="1"/>
  <c r="E34" i="199"/>
  <c r="B33" i="199"/>
  <c r="C32" i="199"/>
  <c r="E32" i="199" s="1"/>
  <c r="E31" i="199"/>
  <c r="F31" i="199" s="1"/>
  <c r="B29" i="199"/>
  <c r="C28" i="199"/>
  <c r="E28" i="199" s="1"/>
  <c r="E16" i="199"/>
  <c r="H16" i="199" s="1"/>
  <c r="E14" i="199"/>
  <c r="E12" i="199"/>
  <c r="G12" i="199" s="1"/>
  <c r="C11" i="199"/>
  <c r="C13" i="199" s="1"/>
  <c r="C15" i="199" s="1"/>
  <c r="B11" i="199"/>
  <c r="E10" i="199"/>
  <c r="F10" i="199" s="1"/>
  <c r="E9" i="199"/>
  <c r="E8" i="199"/>
  <c r="H8" i="199" s="1"/>
  <c r="E7" i="199"/>
  <c r="H7" i="199" s="1"/>
  <c r="E6" i="199"/>
  <c r="G6" i="199" s="1"/>
  <c r="E5" i="199"/>
  <c r="H5" i="199" s="1"/>
  <c r="C4" i="199"/>
  <c r="B4" i="199"/>
  <c r="E3" i="199"/>
  <c r="G3" i="199" s="1"/>
  <c r="E2" i="199"/>
  <c r="H2" i="199" s="1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71" i="20"/>
  <c r="A71" i="20"/>
  <c r="C70" i="20"/>
  <c r="E70" i="20" s="1"/>
  <c r="E69" i="20"/>
  <c r="G69" i="20" s="1"/>
  <c r="E9" i="183"/>
  <c r="E66" i="20"/>
  <c r="H66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8" i="20"/>
  <c r="A68" i="20"/>
  <c r="C67" i="20"/>
  <c r="E67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F52" i="20" s="1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 s="1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G48" i="20" s="1"/>
  <c r="E47" i="20"/>
  <c r="H47" i="20" s="1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G7" i="20" s="1"/>
  <c r="F7" i="20"/>
  <c r="E9" i="20"/>
  <c r="G9" i="20" s="1"/>
  <c r="C10" i="20"/>
  <c r="E10" i="20" s="1"/>
  <c r="A11" i="20"/>
  <c r="E12" i="20"/>
  <c r="F12" i="20" s="1"/>
  <c r="C13" i="20"/>
  <c r="E13" i="20" s="1"/>
  <c r="A14" i="20"/>
  <c r="E15" i="20"/>
  <c r="G15" i="20" s="1"/>
  <c r="C16" i="20"/>
  <c r="E16" i="20" s="1"/>
  <c r="A17" i="20"/>
  <c r="E18" i="20"/>
  <c r="H18" i="20" s="1"/>
  <c r="C19" i="20"/>
  <c r="E19" i="20" s="1"/>
  <c r="A20" i="20"/>
  <c r="E21" i="20"/>
  <c r="F21" i="20" s="1"/>
  <c r="E22" i="20"/>
  <c r="F22" i="20" s="1"/>
  <c r="A23" i="20"/>
  <c r="E24" i="20"/>
  <c r="E25" i="20"/>
  <c r="G25" i="20" s="1"/>
  <c r="C26" i="20"/>
  <c r="C28" i="20" s="1"/>
  <c r="C30" i="20" s="1"/>
  <c r="C32" i="20" s="1"/>
  <c r="C34" i="20" s="1"/>
  <c r="C36" i="20" s="1"/>
  <c r="E27" i="20"/>
  <c r="F27" i="20" s="1"/>
  <c r="E29" i="20"/>
  <c r="F29" i="20" s="1"/>
  <c r="E31" i="20"/>
  <c r="G31" i="20" s="1"/>
  <c r="E33" i="20"/>
  <c r="F33" i="20" s="1"/>
  <c r="E35" i="20"/>
  <c r="F35" i="20" s="1"/>
  <c r="E38" i="20"/>
  <c r="G38" i="20" s="1"/>
  <c r="E39" i="20"/>
  <c r="H39" i="20" s="1"/>
  <c r="E40" i="20"/>
  <c r="H40" i="20" s="1"/>
  <c r="E41" i="20"/>
  <c r="F41" i="20" s="1"/>
  <c r="E42" i="20"/>
  <c r="G42" i="20" s="1"/>
  <c r="E43" i="20"/>
  <c r="H43" i="20" s="1"/>
  <c r="E44" i="20"/>
  <c r="G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9" i="20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9" i="20" s="1"/>
  <c r="H54" i="20"/>
  <c r="G54" i="20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G53" i="20"/>
  <c r="F53" i="20"/>
  <c r="H9" i="117"/>
  <c r="G9" i="117"/>
  <c r="F9" i="117"/>
  <c r="H52" i="20"/>
  <c r="G52" i="20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G23" i="199" s="1"/>
  <c r="G25" i="199" s="1"/>
  <c r="F20" i="199"/>
  <c r="F21" i="199" s="1"/>
  <c r="F23" i="199" s="1"/>
  <c r="F25" i="199" s="1"/>
  <c r="G29" i="161"/>
  <c r="F29" i="161"/>
  <c r="H7" i="194"/>
  <c r="G7" i="194"/>
  <c r="F7" i="194"/>
  <c r="G2" i="199"/>
  <c r="H3" i="199"/>
  <c r="F5" i="199"/>
  <c r="H6" i="199"/>
  <c r="F6" i="199"/>
  <c r="G7" i="199"/>
  <c r="G8" i="199"/>
  <c r="F8" i="199"/>
  <c r="I8" i="199" s="1"/>
  <c r="J8" i="199" s="1"/>
  <c r="H34" i="199"/>
  <c r="G34" i="199"/>
  <c r="F34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H23" i="199" s="1"/>
  <c r="H25" i="199" s="1"/>
  <c r="D4" i="221"/>
  <c r="H3" i="221"/>
  <c r="H4" i="221" s="1"/>
  <c r="F3" i="221"/>
  <c r="F4" i="221" s="1"/>
  <c r="H16" i="157"/>
  <c r="F18" i="184"/>
  <c r="I18" i="184" s="1"/>
  <c r="G18" i="184"/>
  <c r="H18" i="184"/>
  <c r="H7" i="20"/>
  <c r="G2" i="20"/>
  <c r="F50" i="20"/>
  <c r="G39" i="20"/>
  <c r="G50" i="20"/>
  <c r="H5" i="20"/>
  <c r="F44" i="20"/>
  <c r="F42" i="20"/>
  <c r="F38" i="20"/>
  <c r="H35" i="20"/>
  <c r="G18" i="20"/>
  <c r="G35" i="20"/>
  <c r="F9" i="20"/>
  <c r="H2" i="20"/>
  <c r="H44" i="20"/>
  <c r="H42" i="20"/>
  <c r="H38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3" i="20"/>
  <c r="E73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F8" i="203" s="1"/>
  <c r="I3" i="184"/>
  <c r="J3" i="184" s="1"/>
  <c r="I7" i="195"/>
  <c r="J7" i="195" s="1"/>
  <c r="I5" i="195"/>
  <c r="J5" i="195"/>
  <c r="J2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B28" i="195"/>
  <c r="E28" i="195" l="1"/>
  <c r="D28" i="195" s="1"/>
  <c r="H27" i="195"/>
  <c r="H28" i="195" s="1"/>
  <c r="F27" i="195"/>
  <c r="F28" i="195" s="1"/>
  <c r="D25" i="199"/>
  <c r="G10" i="199"/>
  <c r="H10" i="199"/>
  <c r="I34" i="199"/>
  <c r="E11" i="199"/>
  <c r="F16" i="199"/>
  <c r="G5" i="199"/>
  <c r="I5" i="199" s="1"/>
  <c r="J5" i="199" s="1"/>
  <c r="G16" i="199"/>
  <c r="H4" i="199"/>
  <c r="D23" i="199"/>
  <c r="B25" i="199" s="1"/>
  <c r="F2" i="199"/>
  <c r="F16" i="20"/>
  <c r="G16" i="20"/>
  <c r="H16" i="20"/>
  <c r="F15" i="20"/>
  <c r="H29" i="20"/>
  <c r="G29" i="20"/>
  <c r="H31" i="20"/>
  <c r="H25" i="20"/>
  <c r="I25" i="20" s="1"/>
  <c r="F40" i="20"/>
  <c r="F45" i="20" s="1"/>
  <c r="H12" i="20"/>
  <c r="E57" i="20"/>
  <c r="E59" i="20" s="1"/>
  <c r="D59" i="20" s="1"/>
  <c r="H55" i="20"/>
  <c r="H57" i="20" s="1"/>
  <c r="G51" i="20"/>
  <c r="F51" i="20"/>
  <c r="F47" i="20"/>
  <c r="I38" i="20"/>
  <c r="F69" i="20"/>
  <c r="F48" i="20"/>
  <c r="E17" i="20"/>
  <c r="F18" i="20"/>
  <c r="I18" i="20" s="1"/>
  <c r="J18" i="20" s="1"/>
  <c r="F13" i="20"/>
  <c r="E14" i="20"/>
  <c r="G13" i="20"/>
  <c r="H13" i="20"/>
  <c r="F25" i="20"/>
  <c r="H4" i="20"/>
  <c r="H6" i="20" s="1"/>
  <c r="F39" i="20"/>
  <c r="I39" i="20" s="1"/>
  <c r="J39" i="20" s="1"/>
  <c r="I44" i="20"/>
  <c r="J44" i="20" s="1"/>
  <c r="G12" i="20"/>
  <c r="I12" i="20" s="1"/>
  <c r="J12" i="20" s="1"/>
  <c r="G47" i="20"/>
  <c r="G49" i="20" s="1"/>
  <c r="I69" i="20"/>
  <c r="I29" i="20"/>
  <c r="I52" i="20"/>
  <c r="J52" i="20" s="1"/>
  <c r="I42" i="20"/>
  <c r="J42" i="20" s="1"/>
  <c r="J29" i="20"/>
  <c r="F3" i="20"/>
  <c r="H9" i="20"/>
  <c r="I9" i="20" s="1"/>
  <c r="J9" i="20" s="1"/>
  <c r="G33" i="20"/>
  <c r="G55" i="20"/>
  <c r="G57" i="20" s="1"/>
  <c r="E26" i="20"/>
  <c r="D26" i="20" s="1"/>
  <c r="E49" i="20"/>
  <c r="D49" i="20" s="1"/>
  <c r="H33" i="20"/>
  <c r="E4" i="20"/>
  <c r="E6" i="20" s="1"/>
  <c r="D6" i="20" s="1"/>
  <c r="G3" i="20"/>
  <c r="G22" i="20"/>
  <c r="E23" i="20"/>
  <c r="D55" i="20"/>
  <c r="B57" i="20" s="1"/>
  <c r="H48" i="20"/>
  <c r="H6" i="210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H45" i="20" s="1"/>
  <c r="F31" i="20"/>
  <c r="I31" i="20" s="1"/>
  <c r="J31" i="20" s="1"/>
  <c r="G24" i="20"/>
  <c r="G26" i="20" s="1"/>
  <c r="H15" i="20"/>
  <c r="I16" i="20"/>
  <c r="J16" i="20" s="1"/>
  <c r="I53" i="20"/>
  <c r="J53" i="20" s="1"/>
  <c r="F24" i="20"/>
  <c r="G40" i="20"/>
  <c r="H24" i="20"/>
  <c r="H26" i="20" s="1"/>
  <c r="I7" i="20"/>
  <c r="I54" i="20"/>
  <c r="F43" i="20"/>
  <c r="I35" i="20"/>
  <c r="J35" i="20" s="1"/>
  <c r="F66" i="20"/>
  <c r="J38" i="20"/>
  <c r="I50" i="20"/>
  <c r="J50" i="20" s="1"/>
  <c r="G66" i="20"/>
  <c r="F67" i="20"/>
  <c r="E68" i="20"/>
  <c r="H67" i="20"/>
  <c r="G67" i="20"/>
  <c r="H10" i="20"/>
  <c r="F10" i="20"/>
  <c r="E11" i="20"/>
  <c r="G10" i="20"/>
  <c r="G70" i="20"/>
  <c r="E71" i="20"/>
  <c r="H70" i="20"/>
  <c r="F70" i="20"/>
  <c r="G73" i="20"/>
  <c r="F73" i="20"/>
  <c r="E74" i="20"/>
  <c r="H73" i="20"/>
  <c r="E20" i="20"/>
  <c r="F19" i="20"/>
  <c r="H19" i="20"/>
  <c r="G19" i="20"/>
  <c r="I2" i="20"/>
  <c r="G5" i="20"/>
  <c r="G4" i="20"/>
  <c r="F55" i="20"/>
  <c r="F57" i="20" s="1"/>
  <c r="G41" i="20"/>
  <c r="H27" i="20"/>
  <c r="F5" i="20"/>
  <c r="H22" i="20"/>
  <c r="F72" i="20"/>
  <c r="E45" i="20"/>
  <c r="D45" i="20" s="1"/>
  <c r="G72" i="20"/>
  <c r="G27" i="20"/>
  <c r="G28" i="20" s="1"/>
  <c r="G30" i="20" s="1"/>
  <c r="G32" i="20" s="1"/>
  <c r="G34" i="20" s="1"/>
  <c r="G36" i="20" s="1"/>
  <c r="G43" i="20"/>
  <c r="H21" i="20"/>
  <c r="J7" i="20"/>
  <c r="G21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G6" i="210"/>
  <c r="G8" i="210" s="1"/>
  <c r="F4" i="210"/>
  <c r="F6" i="210" s="1"/>
  <c r="F8" i="210" s="1"/>
  <c r="I27" i="195"/>
  <c r="J27" i="195" s="1"/>
  <c r="J28" i="195" s="1"/>
  <c r="E20" i="195"/>
  <c r="D18" i="195"/>
  <c r="B20" i="195" s="1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14" i="199"/>
  <c r="G14" i="199"/>
  <c r="F37" i="199"/>
  <c r="H14" i="199"/>
  <c r="E4" i="199"/>
  <c r="D4" i="199" s="1"/>
  <c r="J34" i="199"/>
  <c r="H12" i="199"/>
  <c r="H37" i="199"/>
  <c r="F3" i="199"/>
  <c r="I3" i="199" s="1"/>
  <c r="J3" i="199" s="1"/>
  <c r="F12" i="199"/>
  <c r="G31" i="199"/>
  <c r="E39" i="199"/>
  <c r="F38" i="199"/>
  <c r="H38" i="199"/>
  <c r="G38" i="199"/>
  <c r="E18" i="199"/>
  <c r="H17" i="199"/>
  <c r="G17" i="199"/>
  <c r="F17" i="199"/>
  <c r="E13" i="199"/>
  <c r="D11" i="199"/>
  <c r="B13" i="199" s="1"/>
  <c r="E33" i="199"/>
  <c r="H32" i="199"/>
  <c r="G32" i="199"/>
  <c r="F32" i="199"/>
  <c r="E29" i="199"/>
  <c r="F28" i="199"/>
  <c r="H28" i="199"/>
  <c r="G28" i="199"/>
  <c r="H35" i="199"/>
  <c r="E36" i="199"/>
  <c r="G35" i="199"/>
  <c r="F35" i="199"/>
  <c r="I35" i="199" s="1"/>
  <c r="I6" i="199"/>
  <c r="J6" i="199" s="1"/>
  <c r="G4" i="199"/>
  <c r="H31" i="199"/>
  <c r="F7" i="199"/>
  <c r="I7" i="199" s="1"/>
  <c r="F9" i="199"/>
  <c r="F27" i="199"/>
  <c r="G9" i="199"/>
  <c r="G11" i="199" s="1"/>
  <c r="G13" i="199" s="1"/>
  <c r="G27" i="199"/>
  <c r="H9" i="199"/>
  <c r="H11" i="199" s="1"/>
  <c r="H27" i="199"/>
  <c r="D21" i="199"/>
  <c r="B23" i="199" s="1"/>
  <c r="J42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28" i="195" l="1"/>
  <c r="I2" i="199"/>
  <c r="J2" i="199" s="1"/>
  <c r="J4" i="199" s="1"/>
  <c r="I10" i="199"/>
  <c r="J10" i="199" s="1"/>
  <c r="F4" i="199"/>
  <c r="I12" i="199"/>
  <c r="I32" i="199"/>
  <c r="J32" i="199" s="1"/>
  <c r="J33" i="199" s="1"/>
  <c r="I16" i="199"/>
  <c r="J16" i="199" s="1"/>
  <c r="I31" i="199"/>
  <c r="J31" i="199" s="1"/>
  <c r="I40" i="20"/>
  <c r="J40" i="20" s="1"/>
  <c r="J69" i="20"/>
  <c r="I22" i="20"/>
  <c r="E8" i="20"/>
  <c r="D57" i="20"/>
  <c r="B59" i="20" s="1"/>
  <c r="I15" i="20"/>
  <c r="J15" i="20" s="1"/>
  <c r="J17" i="20" s="1"/>
  <c r="I27" i="20"/>
  <c r="J27" i="20" s="1"/>
  <c r="D4" i="20"/>
  <c r="I3" i="20"/>
  <c r="J3" i="20" s="1"/>
  <c r="J25" i="20"/>
  <c r="H28" i="20"/>
  <c r="H30" i="20" s="1"/>
  <c r="H32" i="20" s="1"/>
  <c r="H34" i="20" s="1"/>
  <c r="H36" i="20" s="1"/>
  <c r="I33" i="20"/>
  <c r="J33" i="20" s="1"/>
  <c r="F49" i="20"/>
  <c r="I48" i="20"/>
  <c r="J48" i="20" s="1"/>
  <c r="I51" i="20"/>
  <c r="J51" i="20" s="1"/>
  <c r="E28" i="20"/>
  <c r="E30" i="20" s="1"/>
  <c r="D30" i="20" s="1"/>
  <c r="I55" i="20"/>
  <c r="I57" i="20" s="1"/>
  <c r="F4" i="20"/>
  <c r="F6" i="20" s="1"/>
  <c r="J54" i="20"/>
  <c r="J55" i="20" s="1"/>
  <c r="J57" i="20" s="1"/>
  <c r="J59" i="20" s="1"/>
  <c r="H49" i="20"/>
  <c r="I47" i="20"/>
  <c r="J47" i="20" s="1"/>
  <c r="J49" i="20" s="1"/>
  <c r="I21" i="20"/>
  <c r="J21" i="20" s="1"/>
  <c r="I70" i="20"/>
  <c r="J70" i="20" s="1"/>
  <c r="J71" i="20" s="1"/>
  <c r="I13" i="20"/>
  <c r="J13" i="20" s="1"/>
  <c r="J14" i="20" s="1"/>
  <c r="I5" i="214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I24" i="20"/>
  <c r="I26" i="20" s="1"/>
  <c r="I28" i="20" s="1"/>
  <c r="I30" i="20" s="1"/>
  <c r="I32" i="20" s="1"/>
  <c r="I73" i="20"/>
  <c r="J73" i="20" s="1"/>
  <c r="D28" i="20"/>
  <c r="I43" i="20"/>
  <c r="J43" i="20" s="1"/>
  <c r="G45" i="20"/>
  <c r="I10" i="20"/>
  <c r="J10" i="20" s="1"/>
  <c r="J11" i="20" s="1"/>
  <c r="F26" i="20"/>
  <c r="F28" i="20" s="1"/>
  <c r="F30" i="20" s="1"/>
  <c r="F32" i="20" s="1"/>
  <c r="F34" i="20" s="1"/>
  <c r="F36" i="20" s="1"/>
  <c r="G6" i="20"/>
  <c r="I66" i="20"/>
  <c r="J66" i="20" s="1"/>
  <c r="I72" i="20"/>
  <c r="J72" i="20" s="1"/>
  <c r="I41" i="20"/>
  <c r="I67" i="20"/>
  <c r="J67" i="20" s="1"/>
  <c r="I5" i="20"/>
  <c r="I19" i="20"/>
  <c r="J19" i="20" s="1"/>
  <c r="J20" i="20" s="1"/>
  <c r="J2" i="20"/>
  <c r="J22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7" i="199"/>
  <c r="J37" i="199" s="1"/>
  <c r="I4" i="199"/>
  <c r="I14" i="199"/>
  <c r="J14" i="199" s="1"/>
  <c r="J12" i="199"/>
  <c r="J7" i="199"/>
  <c r="H13" i="199"/>
  <c r="H15" i="199" s="1"/>
  <c r="G15" i="199"/>
  <c r="I17" i="199"/>
  <c r="J17" i="199" s="1"/>
  <c r="J18" i="199" s="1"/>
  <c r="J35" i="199"/>
  <c r="J36" i="199" s="1"/>
  <c r="I38" i="199"/>
  <c r="J38" i="199" s="1"/>
  <c r="J39" i="199" s="1"/>
  <c r="I9" i="199"/>
  <c r="I11" i="199" s="1"/>
  <c r="I13" i="199" s="1"/>
  <c r="F11" i="199"/>
  <c r="F13" i="199" s="1"/>
  <c r="F15" i="199" s="1"/>
  <c r="I27" i="199"/>
  <c r="E15" i="199"/>
  <c r="D15" i="199" s="1"/>
  <c r="D13" i="199"/>
  <c r="B15" i="199" s="1"/>
  <c r="I28" i="199"/>
  <c r="J28" i="199" s="1"/>
  <c r="J27" i="199"/>
  <c r="J20" i="199"/>
  <c r="J21" i="199" s="1"/>
  <c r="J23" i="199" s="1"/>
  <c r="J25" i="199" s="1"/>
  <c r="I21" i="199"/>
  <c r="I23" i="199" s="1"/>
  <c r="I25" i="199" s="1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23" i="20" l="1"/>
  <c r="I4" i="20"/>
  <c r="I34" i="20"/>
  <c r="I36" i="20" s="1"/>
  <c r="I6" i="20"/>
  <c r="J4" i="20"/>
  <c r="I49" i="20"/>
  <c r="E32" i="20"/>
  <c r="D32" i="20" s="1"/>
  <c r="J24" i="20"/>
  <c r="J26" i="20" s="1"/>
  <c r="J28" i="20" s="1"/>
  <c r="J30" i="20" s="1"/>
  <c r="J32" i="20" s="1"/>
  <c r="J34" i="20" s="1"/>
  <c r="J36" i="20" s="1"/>
  <c r="J68" i="20"/>
  <c r="J38" i="205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4" i="20"/>
  <c r="E34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9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  <c r="B6" i="225"/>
  <c r="E5" i="225"/>
  <c r="E6" i="225"/>
  <c r="D6" i="225" s="1"/>
  <c r="B8" i="225" s="1"/>
  <c r="E8" i="225" l="1"/>
  <c r="F5" i="225"/>
  <c r="G5" i="225"/>
  <c r="G6" i="225" s="1"/>
  <c r="G8" i="225" s="1"/>
  <c r="G10" i="225" s="1"/>
  <c r="G12" i="225" s="1"/>
  <c r="H5" i="225"/>
  <c r="H6" i="225" s="1"/>
  <c r="H8" i="225" s="1"/>
  <c r="H10" i="225" s="1"/>
  <c r="H12" i="225" s="1"/>
  <c r="E10" i="225" l="1"/>
  <c r="E12" i="225" s="1"/>
  <c r="D12" i="225" s="1"/>
  <c r="D8" i="225"/>
  <c r="B10" i="225" s="1"/>
  <c r="I5" i="225"/>
  <c r="F6" i="225"/>
  <c r="F8" i="225" s="1"/>
  <c r="F10" i="225" s="1"/>
  <c r="F12" i="225" s="1"/>
  <c r="D10" i="225" l="1"/>
  <c r="B12" i="225" s="1"/>
  <c r="I6" i="225"/>
  <c r="I8" i="225" s="1"/>
  <c r="I10" i="225" s="1"/>
  <c r="I12" i="225" s="1"/>
  <c r="J5" i="225"/>
  <c r="J6" i="225" s="1"/>
  <c r="J8" i="225" s="1"/>
  <c r="J10" i="225" s="1"/>
  <c r="J12" i="225" s="1"/>
</calcChain>
</file>

<file path=xl/sharedStrings.xml><?xml version="1.0" encoding="utf-8"?>
<sst xmlns="http://schemas.openxmlformats.org/spreadsheetml/2006/main" count="572" uniqueCount="44">
  <si>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</si>
  <si>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</si>
  <si>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</si>
  <si>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</si>
  <si>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</si>
  <si>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</si>
  <si>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</si>
  <si>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</si>
  <si>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</si>
  <si>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</si>
  <si>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</si>
  <si>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</si>
  <si>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</si>
  <si>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</si>
  <si>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</si>
  <si>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</si>
  <si>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</si>
  <si>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</si>
  <si>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</si>
  <si>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</si>
  <si>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</si>
  <si>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</si>
  <si>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</si>
  <si>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</si>
  <si>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</si>
  <si>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</si>
  <si>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</si>
  <si>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</si>
  <si>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</si>
  <si>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</si>
  <si>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</si>
  <si>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</si>
  <si>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</si>
  <si>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</si>
  <si>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CPF</t>
  </si>
  <si>
    <t>ORI-W2</t>
  </si>
  <si>
    <t>DIVIDEND</t>
  </si>
  <si>
    <t>3BBIF</t>
  </si>
  <si>
    <t>PLANB</t>
  </si>
  <si>
    <t>PTT</t>
  </si>
  <si>
    <t>ADVANC</t>
  </si>
  <si>
    <t>Active</t>
  </si>
  <si>
    <t>HD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</si>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</sst>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  <numFmt numFmtId="195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193" fontId="6" fillId="0" borderId="0" xfId="0" applyNumberFormat="1" applyFont="1"/>
    <xf numFmtId="193" fontId="2" fillId="0" borderId="0" xfId="0" applyNumberFormat="1" applyFont="1"/>
    <xf numFmtId="0" fontId="15" fillId="0" borderId="0" xfId="0" applyFont="1"/>
    <xf numFmtId="189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91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88" fontId="13" fillId="0" borderId="0" xfId="0" applyNumberFormat="1" applyFont="1"/>
    <xf numFmtId="189" fontId="8" fillId="0" borderId="0" xfId="0" applyNumberFormat="1" applyFont="1"/>
    <xf numFmtId="195" fontId="3" fillId="0" borderId="0" xfId="0" applyNumberFormat="1" applyFont="1"/>
    <xf numFmtId="195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89" fontId="2" fillId="0" borderId="0" xfId="0" applyNumberFormat="1" applyFont="1"/>
    <xf numFmtId="14" fontId="4" fillId="2" borderId="0" xfId="0" applyNumberFormat="1" applyFont="1" applyFill="1"/>
    <xf numFmtId="0" fontId="4" fillId="2" borderId="0" xfId="0" applyFont="1" applyFill="1"/>
    <xf numFmtId="3" fontId="4" fillId="2" borderId="0" xfId="0" applyNumberFormat="1" applyFont="1" applyFill="1"/>
    <xf numFmtId="0" fontId="6" fillId="3" borderId="0" xfId="0" applyFont="1" applyFill="1" applyAlignment="1">
      <alignment horizontal="right" vertical="center" wrapText="1"/>
    </xf>
    <xf numFmtId="14" fontId="6" fillId="3" borderId="0" xfId="0" applyNumberFormat="1" applyFont="1" applyFill="1" applyAlignment="1">
      <alignment horizontal="right" vertical="center" wrapText="1"/>
    </xf>
    <xf numFmtId="3" fontId="6" fillId="3" borderId="0" xfId="0" applyNumberFormat="1" applyFont="1" applyFill="1" applyAlignment="1">
      <alignment horizontal="right" vertical="center" wrapText="1"/>
    </xf>
    <xf numFmtId="4" fontId="6" fillId="3" borderId="0" xfId="0" applyNumberFormat="1" applyFont="1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D5FC0-1BDB-4806-B210-A8463FD70908}">
  <dimension ref="A2:C3"/>
  <sheetViews>
    <sheetView tabSelected="1" workbookViewId="0">
      <selection activeCell="D3" sqref="D3"/>
    </sheetView>
  </sheetViews>
  <sheetFormatPr defaultRowHeight="14.4"/>
  <sheetData>
    <row r="2" spans="1:3">
      <c r="A2" t="s">
        <v>17</v>
      </c>
      <c r="B2">
        <v>7.2</v>
      </c>
      <c r="C2">
        <v>3000</v>
      </c>
    </row>
    <row r="3" spans="1:3">
      <c r="A3" t="s">
        <v>28</v>
      </c>
      <c r="B3">
        <v>10.4</v>
      </c>
      <c r="C3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37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E39D-E0DC-4E64-B1B9-8FC123E1523A}">
  <dimension ref="A1:N13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8.5546875" style="88" bestFit="1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40</v>
      </c>
    </row>
    <row r="2" spans="1:14" s="1" customFormat="1">
      <c r="A2" s="46">
        <v>46080</v>
      </c>
      <c r="B2" s="14" t="s">
        <v>0</v>
      </c>
      <c r="C2" s="15">
        <v>100</v>
      </c>
      <c r="D2" s="27">
        <v>380</v>
      </c>
      <c r="E2" s="17">
        <f>C2*D2</f>
        <v>38000</v>
      </c>
      <c r="F2" s="17">
        <f>E2*0.002</f>
        <v>76</v>
      </c>
      <c r="G2" s="17">
        <f>E2*0.00006</f>
        <v>2.2800000000000002</v>
      </c>
      <c r="H2" s="17">
        <f>E2*0.00001</f>
        <v>0.38</v>
      </c>
      <c r="I2" s="17">
        <f>(F2+G2+H2)*0.07</f>
        <v>5.5062000000000006</v>
      </c>
      <c r="J2" s="17">
        <f>E2+F2+I2+G2+H2</f>
        <v>38084.1662</v>
      </c>
    </row>
    <row r="3" spans="1:14" s="12" customFormat="1">
      <c r="A3" s="36">
        <v>46134</v>
      </c>
      <c r="B3" s="14" t="s">
        <v>0</v>
      </c>
      <c r="C3" s="15">
        <v>200</v>
      </c>
      <c r="D3" s="27">
        <v>350</v>
      </c>
      <c r="E3" s="17">
        <f>C3*D3</f>
        <v>70000</v>
      </c>
      <c r="F3" s="17">
        <f>E3*0.002</f>
        <v>140</v>
      </c>
      <c r="G3" s="17">
        <f>E3*0.00006</f>
        <v>4.2</v>
      </c>
      <c r="H3" s="17">
        <f>E3*0.00001</f>
        <v>0.70000000000000007</v>
      </c>
      <c r="I3" s="17">
        <f>(F3+G3+H3)*0.07</f>
        <v>10.142999999999999</v>
      </c>
      <c r="J3" s="17">
        <f>E3+F3+I3+G3+H3</f>
        <v>70155.042999999991</v>
      </c>
      <c r="K3" s="30"/>
      <c r="L3" s="10"/>
      <c r="M3" s="11"/>
    </row>
    <row r="4" spans="1:14" s="59" customFormat="1" ht="21">
      <c r="A4" s="46"/>
      <c r="B4" s="71">
        <f>(D3-D2)/D2</f>
        <v>-7.8947368421052627E-2</v>
      </c>
      <c r="C4" s="15">
        <f>SUM(C2:C3)</f>
        <v>300</v>
      </c>
      <c r="D4" s="27">
        <f>E4/C4</f>
        <v>360</v>
      </c>
      <c r="E4" s="15">
        <f t="shared" ref="E4:J4" si="0">SUM(E2:E3)</f>
        <v>108000</v>
      </c>
      <c r="F4" s="15">
        <f t="shared" si="0"/>
        <v>216</v>
      </c>
      <c r="G4" s="15">
        <f t="shared" si="0"/>
        <v>6.48</v>
      </c>
      <c r="H4" s="15">
        <f t="shared" si="0"/>
        <v>1.08</v>
      </c>
      <c r="I4" s="15">
        <f t="shared" si="0"/>
        <v>15.6492</v>
      </c>
      <c r="J4" s="15">
        <f t="shared" si="0"/>
        <v>108239.20919999998</v>
      </c>
      <c r="K4" s="10"/>
      <c r="L4" s="12"/>
      <c r="M4" s="58"/>
      <c r="N4" s="58"/>
    </row>
    <row r="5" spans="1:14" s="12" customFormat="1">
      <c r="A5" s="36">
        <v>46142</v>
      </c>
      <c r="B5" s="14" t="s">
        <v>0</v>
      </c>
      <c r="C5" s="15">
        <v>100</v>
      </c>
      <c r="D5" s="27">
        <v>340</v>
      </c>
      <c r="E5" s="17">
        <f>C5*D5</f>
        <v>34000</v>
      </c>
      <c r="F5" s="17">
        <f>E5*0.002</f>
        <v>68</v>
      </c>
      <c r="G5" s="17">
        <f>E5*0.00006</f>
        <v>2.04</v>
      </c>
      <c r="H5" s="17">
        <f>E5*0.00001</f>
        <v>0.34</v>
      </c>
      <c r="I5" s="17">
        <f>(F5+G5+H5)*0.07</f>
        <v>4.9266000000000014</v>
      </c>
      <c r="J5" s="17">
        <f>E5+F5+I5+G5+H5</f>
        <v>34075.306599999996</v>
      </c>
      <c r="K5" s="30"/>
      <c r="L5" s="10"/>
      <c r="M5" s="11"/>
    </row>
    <row r="6" spans="1:14" s="59" customFormat="1" ht="21">
      <c r="A6" s="46"/>
      <c r="B6" s="71">
        <f>(D5-D4)/D4</f>
        <v>-5.5555555555555552E-2</v>
      </c>
      <c r="C6" s="15">
        <f>SUM(C4:C5)</f>
        <v>400</v>
      </c>
      <c r="D6" s="27">
        <f>E6/C6</f>
        <v>355</v>
      </c>
      <c r="E6" s="15">
        <f t="shared" ref="E6:J6" si="1">SUM(E4:E5)</f>
        <v>142000</v>
      </c>
      <c r="F6" s="15">
        <f t="shared" si="1"/>
        <v>284</v>
      </c>
      <c r="G6" s="15">
        <f t="shared" si="1"/>
        <v>8.52</v>
      </c>
      <c r="H6" s="15">
        <f t="shared" si="1"/>
        <v>1.4200000000000002</v>
      </c>
      <c r="I6" s="15">
        <f t="shared" si="1"/>
        <v>20.575800000000001</v>
      </c>
      <c r="J6" s="15">
        <f t="shared" si="1"/>
        <v>142314.51579999999</v>
      </c>
      <c r="K6" s="10"/>
      <c r="L6" s="12"/>
      <c r="M6" s="58"/>
      <c r="N6" s="58"/>
    </row>
    <row r="7" spans="1:14" s="12" customFormat="1">
      <c r="A7" s="63">
        <v>44473</v>
      </c>
      <c r="B7" s="12" t="s">
        <v>0</v>
      </c>
      <c r="C7" s="9">
        <v>100</v>
      </c>
      <c r="D7" s="30">
        <v>330</v>
      </c>
      <c r="E7" s="19">
        <f>C7*D7</f>
        <v>33000</v>
      </c>
      <c r="F7" s="19">
        <f>E7*0.002</f>
        <v>66</v>
      </c>
      <c r="G7" s="19">
        <f>E7*0.00006</f>
        <v>1.98</v>
      </c>
      <c r="H7" s="19">
        <f>E7*0.00001</f>
        <v>0.33</v>
      </c>
      <c r="I7" s="19">
        <f>(F7+G7+H7)*0.07</f>
        <v>4.7817000000000007</v>
      </c>
      <c r="J7" s="19">
        <f>E7+F7+I7+G7+H7</f>
        <v>33073.091700000004</v>
      </c>
      <c r="K7" s="30"/>
      <c r="L7" s="10"/>
      <c r="M7" s="11"/>
    </row>
    <row r="8" spans="1:14" s="59" customFormat="1" ht="21">
      <c r="A8" s="52"/>
      <c r="B8" s="72">
        <f>(D7-D6)/D6</f>
        <v>-7.0422535211267609E-2</v>
      </c>
      <c r="C8" s="9">
        <f>SUM(C6:C7)</f>
        <v>500</v>
      </c>
      <c r="D8" s="30">
        <f>E8/C8</f>
        <v>350</v>
      </c>
      <c r="E8" s="9">
        <f t="shared" ref="E8:J8" si="2">SUM(E6:E7)</f>
        <v>175000</v>
      </c>
      <c r="F8" s="9">
        <f t="shared" si="2"/>
        <v>350</v>
      </c>
      <c r="G8" s="9">
        <f t="shared" si="2"/>
        <v>10.5</v>
      </c>
      <c r="H8" s="9">
        <f t="shared" si="2"/>
        <v>1.7500000000000002</v>
      </c>
      <c r="I8" s="9">
        <f t="shared" si="2"/>
        <v>25.357500000000002</v>
      </c>
      <c r="J8" s="9">
        <f t="shared" si="2"/>
        <v>175387.60749999998</v>
      </c>
      <c r="K8" s="10"/>
      <c r="L8" s="12"/>
      <c r="M8" s="58"/>
      <c r="N8" s="58"/>
    </row>
    <row r="9" spans="1:14" s="12" customFormat="1">
      <c r="A9" s="63">
        <v>44473</v>
      </c>
      <c r="B9" s="12" t="s">
        <v>0</v>
      </c>
      <c r="C9" s="9">
        <v>100</v>
      </c>
      <c r="D9" s="30">
        <v>320</v>
      </c>
      <c r="E9" s="19">
        <f>C9*D9</f>
        <v>32000</v>
      </c>
      <c r="F9" s="19">
        <f>E9*0.002</f>
        <v>64</v>
      </c>
      <c r="G9" s="19">
        <f>E9*0.00006</f>
        <v>1.9200000000000002</v>
      </c>
      <c r="H9" s="19">
        <f>E9*0.00001</f>
        <v>0.32</v>
      </c>
      <c r="I9" s="19">
        <f>(F9+G9+H9)*0.07</f>
        <v>4.6368</v>
      </c>
      <c r="J9" s="19">
        <f>E9+F9+I9+G9+H9</f>
        <v>32070.876799999998</v>
      </c>
      <c r="K9" s="30"/>
      <c r="L9" s="10"/>
      <c r="M9" s="11"/>
    </row>
    <row r="10" spans="1:14" s="59" customFormat="1" ht="21">
      <c r="A10" s="52"/>
      <c r="B10" s="72">
        <f>(D9-D8)/D8</f>
        <v>-8.5714285714285715E-2</v>
      </c>
      <c r="C10" s="9">
        <f>SUM(C8:C9)</f>
        <v>600</v>
      </c>
      <c r="D10" s="30">
        <f>E10/C10</f>
        <v>345</v>
      </c>
      <c r="E10" s="9">
        <f t="shared" ref="E10:J10" si="3">SUM(E8:E9)</f>
        <v>207000</v>
      </c>
      <c r="F10" s="9">
        <f t="shared" si="3"/>
        <v>414</v>
      </c>
      <c r="G10" s="9">
        <f t="shared" si="3"/>
        <v>12.42</v>
      </c>
      <c r="H10" s="9">
        <f t="shared" si="3"/>
        <v>2.0700000000000003</v>
      </c>
      <c r="I10" s="9">
        <f t="shared" si="3"/>
        <v>29.994300000000003</v>
      </c>
      <c r="J10" s="9">
        <f t="shared" si="3"/>
        <v>207458.48429999998</v>
      </c>
      <c r="K10" s="10"/>
      <c r="L10" s="12"/>
      <c r="M10" s="58"/>
      <c r="N10" s="58"/>
    </row>
    <row r="11" spans="1:14" s="12" customFormat="1">
      <c r="A11" s="63">
        <v>44473</v>
      </c>
      <c r="B11" s="12" t="s">
        <v>0</v>
      </c>
      <c r="C11" s="9">
        <v>100</v>
      </c>
      <c r="D11" s="30">
        <v>310</v>
      </c>
      <c r="E11" s="19">
        <f>C11*D11</f>
        <v>31000</v>
      </c>
      <c r="F11" s="19">
        <f>E11*0.002</f>
        <v>62</v>
      </c>
      <c r="G11" s="19">
        <f>E11*0.00006</f>
        <v>1.86</v>
      </c>
      <c r="H11" s="19">
        <f>E11*0.00001</f>
        <v>0.31</v>
      </c>
      <c r="I11" s="19">
        <f>(F11+G11+H11)*0.07</f>
        <v>4.4919000000000002</v>
      </c>
      <c r="J11" s="19">
        <f>E11+F11+I11+G11+H11</f>
        <v>31068.661900000003</v>
      </c>
      <c r="K11" s="30"/>
      <c r="L11" s="10"/>
      <c r="M11" s="11"/>
    </row>
    <row r="12" spans="1:14" s="59" customFormat="1" ht="21">
      <c r="A12" s="52"/>
      <c r="B12" s="72">
        <f>(D11-D10)/D10</f>
        <v>-0.10144927536231885</v>
      </c>
      <c r="C12" s="9">
        <f>SUM(C10:C11)</f>
        <v>700</v>
      </c>
      <c r="D12" s="30">
        <f>E12/C12</f>
        <v>340</v>
      </c>
      <c r="E12" s="9">
        <f t="shared" ref="E12:J12" si="4">SUM(E10:E11)</f>
        <v>238000</v>
      </c>
      <c r="F12" s="9">
        <f t="shared" si="4"/>
        <v>476</v>
      </c>
      <c r="G12" s="9">
        <f t="shared" si="4"/>
        <v>14.28</v>
      </c>
      <c r="H12" s="9">
        <f t="shared" si="4"/>
        <v>2.3800000000000003</v>
      </c>
      <c r="I12" s="9">
        <f t="shared" si="4"/>
        <v>34.486200000000004</v>
      </c>
      <c r="J12" s="9">
        <f t="shared" si="4"/>
        <v>238527.14619999999</v>
      </c>
      <c r="K12" s="10"/>
      <c r="L12" s="12"/>
      <c r="M12" s="58"/>
      <c r="N12" s="58"/>
    </row>
    <row r="13" spans="1:14">
      <c r="E13" s="2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A10" sqref="A10:J12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/>
      <c r="B9" s="12"/>
      <c r="C9" s="9"/>
      <c r="D9" s="32"/>
      <c r="E9" s="10"/>
      <c r="F9" s="33"/>
      <c r="G9" s="32"/>
      <c r="H9" s="32"/>
      <c r="I9" s="32"/>
      <c r="J9" s="32"/>
      <c r="K9" s="1"/>
      <c r="L9" s="1"/>
      <c r="M9" s="1"/>
      <c r="N9" s="1"/>
    </row>
    <row r="10" spans="1:14" s="18" customFormat="1" ht="15.6">
      <c r="A10" s="46">
        <v>46163</v>
      </c>
      <c r="B10" s="14" t="s">
        <v>0</v>
      </c>
      <c r="C10" s="15">
        <v>900</v>
      </c>
      <c r="D10" s="38">
        <v>11.4</v>
      </c>
      <c r="E10" s="17">
        <f>C10*D10</f>
        <v>10260</v>
      </c>
      <c r="F10" s="17">
        <f>E10*0.002</f>
        <v>20.52</v>
      </c>
      <c r="G10" s="17">
        <f>E10*0.00006</f>
        <v>0.61560000000000004</v>
      </c>
      <c r="H10" s="17">
        <f>E10*0.00001</f>
        <v>0.10260000000000001</v>
      </c>
      <c r="I10" s="17">
        <f>(F10+G10+H10)*0.07</f>
        <v>1.4866740000000001</v>
      </c>
      <c r="J10" s="17">
        <f>E10+F10+I10+G10+H10</f>
        <v>10282.724874</v>
      </c>
    </row>
    <row r="11" spans="1:14" s="59" customFormat="1" ht="21">
      <c r="A11" s="36">
        <v>46164</v>
      </c>
      <c r="B11" s="14" t="s">
        <v>0</v>
      </c>
      <c r="C11" s="15">
        <v>9100</v>
      </c>
      <c r="D11" s="16">
        <v>11.3</v>
      </c>
      <c r="E11" s="17">
        <f>C11*D11</f>
        <v>102830</v>
      </c>
      <c r="F11" s="17">
        <f>E11*0.002</f>
        <v>205.66</v>
      </c>
      <c r="G11" s="17">
        <f>E11*0.00006</f>
        <v>6.1698000000000004</v>
      </c>
      <c r="H11" s="17">
        <f>E11*0.00001</f>
        <v>1.0283</v>
      </c>
      <c r="I11" s="17">
        <f>(F11+G11+H11)*0.07</f>
        <v>14.900067000000002</v>
      </c>
      <c r="J11" s="17">
        <f>E11+F11+I11+G11+H11</f>
        <v>103057.75816700001</v>
      </c>
      <c r="K11" s="30"/>
      <c r="L11" s="10"/>
      <c r="M11" s="11"/>
      <c r="N11" s="12"/>
    </row>
    <row r="12" spans="1:14" s="59" customFormat="1" ht="21">
      <c r="A12" s="46"/>
      <c r="B12" s="71">
        <f>(D11-D10)/D10</f>
        <v>-8.7719298245613718E-3</v>
      </c>
      <c r="C12" s="15">
        <f>SUM(C10:C11)</f>
        <v>10000</v>
      </c>
      <c r="D12" s="37">
        <f>E12/C12</f>
        <v>11.308999999999999</v>
      </c>
      <c r="E12" s="15">
        <f t="shared" ref="E12:J12" si="3">SUM(E10:E11)</f>
        <v>113090</v>
      </c>
      <c r="F12" s="15">
        <f t="shared" si="3"/>
        <v>226.18</v>
      </c>
      <c r="G12" s="15">
        <f t="shared" si="3"/>
        <v>6.7854000000000001</v>
      </c>
      <c r="H12" s="15">
        <f t="shared" si="3"/>
        <v>1.1309</v>
      </c>
      <c r="I12" s="15">
        <f t="shared" si="3"/>
        <v>16.386741000000001</v>
      </c>
      <c r="J12" s="15">
        <f t="shared" si="3"/>
        <v>113340.483041</v>
      </c>
      <c r="K12" s="10"/>
      <c r="L12" s="12"/>
      <c r="M12" s="58"/>
      <c r="N12" s="58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34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36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38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34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14" workbookViewId="0">
      <selection activeCell="J29" sqref="J29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3000</v>
      </c>
      <c r="D27" s="10">
        <v>7.2</v>
      </c>
      <c r="E27" s="19">
        <f>C27*D27</f>
        <v>21600</v>
      </c>
      <c r="F27" s="19">
        <f>E27*0.002</f>
        <v>43.2</v>
      </c>
      <c r="G27" s="19">
        <f>E27*0.000068</f>
        <v>1.4687999999999999</v>
      </c>
      <c r="H27" s="19">
        <f>E27*0.00001</f>
        <v>0.21600000000000003</v>
      </c>
      <c r="I27" s="19">
        <f>(F27+G27+H27)*0.07</f>
        <v>3.1419360000000007</v>
      </c>
      <c r="J27" s="19">
        <f>E27+F27+I27+G27+H27</f>
        <v>21648.026736</v>
      </c>
    </row>
    <row r="28" spans="1:14" s="20" customFormat="1">
      <c r="A28" s="41"/>
      <c r="B28" s="23">
        <f>(D27-D26)/D26</f>
        <v>-7.382550335570473E-2</v>
      </c>
      <c r="C28" s="21">
        <f>SUM(C26:C27)</f>
        <v>72000</v>
      </c>
      <c r="D28" s="61">
        <f>E28/C28</f>
        <v>7.75</v>
      </c>
      <c r="E28" s="21">
        <f t="shared" ref="E28:J28" si="10">SUM(E26:E27)</f>
        <v>558000</v>
      </c>
      <c r="F28" s="21">
        <f t="shared" si="10"/>
        <v>1116.0000000000002</v>
      </c>
      <c r="G28" s="21">
        <f t="shared" si="10"/>
        <v>37.944000000000003</v>
      </c>
      <c r="H28" s="21">
        <f t="shared" si="10"/>
        <v>5.580000000000001</v>
      </c>
      <c r="I28" s="21">
        <f t="shared" si="10"/>
        <v>81.166679999999999</v>
      </c>
      <c r="J28" s="21">
        <f t="shared" si="10"/>
        <v>559240.69068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(D7-D6)/D6</f>
        <v>-0.5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81"/>
  <sheetViews>
    <sheetView topLeftCell="A46" workbookViewId="0">
      <selection activeCell="D62" sqref="D62"/>
    </sheetView>
  </sheetViews>
  <sheetFormatPr defaultColWidth="8.88671875" defaultRowHeight="13.8"/>
  <cols>
    <col min="1" max="1" width="10.109375" style="41" bestFit="1" customWidth="1"/>
    <col min="2" max="2" width="7.5546875" style="20" bestFit="1" customWidth="1"/>
    <col min="3" max="3" width="6.5546875" style="21" bestFit="1" customWidth="1"/>
    <col min="4" max="4" width="10.109375" style="97" bestFit="1" customWidth="1"/>
    <col min="5" max="5" width="11.5546875" style="97" bestFit="1" customWidth="1"/>
    <col min="6" max="6" width="8.109375" style="97" bestFit="1" customWidth="1"/>
    <col min="7" max="7" width="6.44140625" style="97" bestFit="1" customWidth="1"/>
    <col min="8" max="8" width="5.6640625" style="97" bestFit="1" customWidth="1"/>
    <col min="9" max="9" width="6.5546875" style="97" bestFit="1" customWidth="1"/>
    <col min="10" max="10" width="12.109375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99">
        <v>42633</v>
      </c>
      <c r="B3" s="100" t="s">
        <v>0</v>
      </c>
      <c r="C3" s="101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99">
        <v>42656</v>
      </c>
      <c r="B5" s="100" t="s">
        <v>0</v>
      </c>
      <c r="C5" s="101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99">
        <v>42674</v>
      </c>
      <c r="B21" s="100" t="s">
        <v>0</v>
      </c>
      <c r="C21" s="101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99">
        <v>42688</v>
      </c>
      <c r="B25" s="100" t="s">
        <v>0</v>
      </c>
      <c r="C25" s="101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99">
        <v>42691</v>
      </c>
      <c r="B33" s="100" t="s">
        <v>0</v>
      </c>
      <c r="C33" s="101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99">
        <v>44669</v>
      </c>
      <c r="B54" s="100" t="s">
        <v>0</v>
      </c>
      <c r="C54" s="101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J57-J58</f>
        <v>1151177.546232</v>
      </c>
    </row>
    <row r="60" spans="1:10" s="12" customFormat="1">
      <c r="A60" s="13">
        <v>46139</v>
      </c>
      <c r="B60" s="14" t="s">
        <v>0</v>
      </c>
      <c r="C60" s="15">
        <v>5000</v>
      </c>
      <c r="D60" s="24">
        <v>8</v>
      </c>
      <c r="E60" s="24">
        <f>C60*D60</f>
        <v>40000</v>
      </c>
      <c r="F60" s="24">
        <f>E60*0.002</f>
        <v>80</v>
      </c>
      <c r="G60" s="24">
        <f>E60*0.000068</f>
        <v>2.72</v>
      </c>
      <c r="H60" s="24">
        <f>E60*0.00001</f>
        <v>0.4</v>
      </c>
      <c r="I60" s="24">
        <f>(F60+G60+H60)*0.07</f>
        <v>5.8184000000000005</v>
      </c>
      <c r="J60" s="24">
        <f>E60+F60+I60+G60+H60</f>
        <v>40088.938399999999</v>
      </c>
    </row>
    <row r="61" spans="1:10">
      <c r="A61" s="46">
        <v>46153</v>
      </c>
      <c r="B61" s="14" t="s">
        <v>2</v>
      </c>
      <c r="C61" s="15">
        <v>5000</v>
      </c>
      <c r="D61" s="24">
        <v>7.8</v>
      </c>
      <c r="E61" s="24">
        <f>C61*D61</f>
        <v>39000</v>
      </c>
      <c r="F61" s="24">
        <f>E61*0.002</f>
        <v>78</v>
      </c>
      <c r="G61" s="24">
        <f>E61*0.000068</f>
        <v>2.6520000000000001</v>
      </c>
      <c r="H61" s="24">
        <f>E61*0.00001</f>
        <v>0.39</v>
      </c>
      <c r="I61" s="24">
        <f>(F61+G61+H61)*0.07</f>
        <v>5.6729400000000005</v>
      </c>
      <c r="J61" s="24">
        <f>E61-F61-G61-H61-I61</f>
        <v>38913.285060000002</v>
      </c>
    </row>
    <row r="62" spans="1:10">
      <c r="A62" s="41">
        <v>46153</v>
      </c>
      <c r="B62" s="20" t="s">
        <v>22</v>
      </c>
      <c r="C62" s="21">
        <v>75000</v>
      </c>
      <c r="D62" s="31">
        <f>E62/C62</f>
        <v>15.311999999999999</v>
      </c>
      <c r="E62" s="45">
        <v>1148400</v>
      </c>
      <c r="J62" s="97">
        <v>1151177.546232</v>
      </c>
    </row>
    <row r="63" spans="1:10">
      <c r="E63" s="45"/>
    </row>
    <row r="64" spans="1:10">
      <c r="E64" s="45"/>
    </row>
    <row r="66" spans="1:10" s="12" customFormat="1">
      <c r="A66" s="13">
        <v>44672</v>
      </c>
      <c r="B66" s="14" t="s">
        <v>0</v>
      </c>
      <c r="C66" s="15">
        <v>15000</v>
      </c>
      <c r="D66" s="24">
        <v>12.1</v>
      </c>
      <c r="E66" s="24">
        <f>C66*D66</f>
        <v>181500</v>
      </c>
      <c r="F66" s="24">
        <f>E66*0.002</f>
        <v>363</v>
      </c>
      <c r="G66" s="24">
        <f>E66*0.000068</f>
        <v>12.342000000000001</v>
      </c>
      <c r="H66" s="24">
        <f>E66*0.00001</f>
        <v>1.8150000000000002</v>
      </c>
      <c r="I66" s="24">
        <f>(F66+G66+H66)*0.07</f>
        <v>26.40099</v>
      </c>
      <c r="J66" s="24">
        <f>E66+F66+I66+G66+H66</f>
        <v>181903.55799</v>
      </c>
    </row>
    <row r="67" spans="1:10">
      <c r="A67" s="46">
        <v>44679</v>
      </c>
      <c r="B67" s="14" t="s">
        <v>2</v>
      </c>
      <c r="C67" s="15">
        <f>C66</f>
        <v>15000</v>
      </c>
      <c r="D67" s="24">
        <v>12.5</v>
      </c>
      <c r="E67" s="24">
        <f>C67*D67</f>
        <v>187500</v>
      </c>
      <c r="F67" s="24">
        <f>E67*0.002</f>
        <v>375</v>
      </c>
      <c r="G67" s="24">
        <f>E67*0.000068</f>
        <v>12.75</v>
      </c>
      <c r="H67" s="24">
        <f>E67*0.00001</f>
        <v>1.8750000000000002</v>
      </c>
      <c r="I67" s="24">
        <f>(F67+G67+H67)*0.07</f>
        <v>27.273750000000003</v>
      </c>
      <c r="J67" s="24">
        <f>E67-F67-G67-H67-I67</f>
        <v>187083.10125000001</v>
      </c>
    </row>
    <row r="68" spans="1:10">
      <c r="A68" s="26">
        <f>DAYS360(A66,A67)</f>
        <v>7</v>
      </c>
      <c r="B68" s="28">
        <f>(D67-D66)/D66</f>
        <v>3.305785123966945E-2</v>
      </c>
      <c r="C68" s="15"/>
      <c r="D68" s="24"/>
      <c r="E68" s="24">
        <f>E67-E66</f>
        <v>6000</v>
      </c>
      <c r="F68" s="24"/>
      <c r="G68" s="24"/>
      <c r="H68" s="24"/>
      <c r="I68" s="24"/>
      <c r="J68" s="24">
        <f>J67-J66</f>
        <v>5179.5432600000058</v>
      </c>
    </row>
    <row r="69" spans="1:10" s="12" customFormat="1">
      <c r="A69" s="13">
        <v>44740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44741</v>
      </c>
      <c r="B70" s="14" t="s">
        <v>2</v>
      </c>
      <c r="C70" s="15">
        <f>C69</f>
        <v>3000</v>
      </c>
      <c r="D70" s="24">
        <v>11.7</v>
      </c>
      <c r="E70" s="24">
        <f>C70*D70</f>
        <v>35100</v>
      </c>
      <c r="F70" s="24">
        <f>E70*0.002</f>
        <v>70.2</v>
      </c>
      <c r="G70" s="24">
        <f>E70*0.000068</f>
        <v>2.3868</v>
      </c>
      <c r="H70" s="24">
        <f>E70*0.00001</f>
        <v>0.35100000000000003</v>
      </c>
      <c r="I70" s="24">
        <f>(F70+G70+H70)*0.07</f>
        <v>5.1056460000000001</v>
      </c>
      <c r="J70" s="24">
        <f>E70-F70-G70-H70-I70</f>
        <v>35021.956553999997</v>
      </c>
    </row>
    <row r="71" spans="1:10">
      <c r="A71" s="26">
        <f>DAYS360(A69,A70)</f>
        <v>1</v>
      </c>
      <c r="B71" s="28">
        <f>(D70-D69)/D69</f>
        <v>0.53947368421052633</v>
      </c>
      <c r="C71" s="15"/>
      <c r="D71" s="24"/>
      <c r="E71" s="24">
        <f>E70-E69</f>
        <v>12300</v>
      </c>
      <c r="F71" s="24"/>
      <c r="G71" s="24"/>
      <c r="H71" s="24"/>
      <c r="I71" s="24"/>
      <c r="J71" s="24">
        <f>J70-J69</f>
        <v>12171.261665999999</v>
      </c>
    </row>
    <row r="72" spans="1:10" s="14" customFormat="1">
      <c r="A72" s="13">
        <v>45063</v>
      </c>
      <c r="B72" s="14" t="s">
        <v>0</v>
      </c>
      <c r="C72" s="15">
        <v>3000</v>
      </c>
      <c r="D72" s="24">
        <v>7.6</v>
      </c>
      <c r="E72" s="24">
        <f>C72*D72</f>
        <v>22800</v>
      </c>
      <c r="F72" s="24">
        <f>E72*0.002</f>
        <v>45.6</v>
      </c>
      <c r="G72" s="24">
        <f>E72*0.000068</f>
        <v>1.5504</v>
      </c>
      <c r="H72" s="24">
        <f>E72*0.00001</f>
        <v>0.22800000000000001</v>
      </c>
      <c r="I72" s="24">
        <f>(F72+G72+H72)*0.07</f>
        <v>3.3164880000000005</v>
      </c>
      <c r="J72" s="24">
        <f>E72+F72+I72+G72+H72</f>
        <v>22850.694887999998</v>
      </c>
    </row>
    <row r="73" spans="1:10">
      <c r="A73" s="46">
        <v>45560</v>
      </c>
      <c r="B73" s="14" t="s">
        <v>2</v>
      </c>
      <c r="C73" s="15">
        <f>C72</f>
        <v>3000</v>
      </c>
      <c r="D73" s="24">
        <v>8.0500000000000007</v>
      </c>
      <c r="E73" s="24">
        <f>C73*D73</f>
        <v>24150.000000000004</v>
      </c>
      <c r="F73" s="24">
        <f>E73*0.002</f>
        <v>48.300000000000011</v>
      </c>
      <c r="G73" s="24">
        <f>E73*0.000068</f>
        <v>1.6422000000000003</v>
      </c>
      <c r="H73" s="24">
        <f>E73*0.00001</f>
        <v>0.24150000000000005</v>
      </c>
      <c r="I73" s="24">
        <f>(F73+G73+H73)*0.07</f>
        <v>3.5128590000000015</v>
      </c>
      <c r="J73" s="24">
        <f>E73-F73-G73-H73-I73</f>
        <v>24096.303441000007</v>
      </c>
    </row>
    <row r="74" spans="1:10">
      <c r="A74" s="26">
        <f>DAYS360(A72,A73)</f>
        <v>488</v>
      </c>
      <c r="B74" s="28">
        <f>(D73-D72)/D72</f>
        <v>5.9210526315789616E-2</v>
      </c>
      <c r="C74" s="15"/>
      <c r="D74" s="24"/>
      <c r="E74" s="24">
        <f>E73-E72</f>
        <v>1350.0000000000036</v>
      </c>
      <c r="F74" s="24"/>
      <c r="G74" s="24"/>
      <c r="H74" s="24"/>
      <c r="I74" s="24"/>
      <c r="J74" s="24">
        <f>J73-J72</f>
        <v>1245.6085530000091</v>
      </c>
    </row>
    <row r="75" spans="1:10" s="12" customFormat="1">
      <c r="A75" s="13">
        <v>45709</v>
      </c>
      <c r="B75" s="14" t="s">
        <v>0</v>
      </c>
      <c r="C75" s="15">
        <v>6000</v>
      </c>
      <c r="D75" s="24">
        <v>7.3</v>
      </c>
      <c r="E75" s="24">
        <f>C75*D75</f>
        <v>43800</v>
      </c>
      <c r="F75" s="24">
        <f>E75*0.002</f>
        <v>87.600000000000009</v>
      </c>
      <c r="G75" s="24">
        <f>E75*0.000068</f>
        <v>2.9784000000000002</v>
      </c>
      <c r="H75" s="24">
        <f>E75*0.00001</f>
        <v>0.43800000000000006</v>
      </c>
      <c r="I75" s="24">
        <f>(F75+G75+H75)*0.07</f>
        <v>6.3711480000000007</v>
      </c>
      <c r="J75" s="24">
        <f>E75+F75+I75+G75+H75</f>
        <v>43897.387547999999</v>
      </c>
    </row>
    <row r="76" spans="1:10">
      <c r="A76" s="46">
        <v>45896</v>
      </c>
      <c r="B76" s="14" t="s">
        <v>2</v>
      </c>
      <c r="C76" s="15">
        <f>C75</f>
        <v>6000</v>
      </c>
      <c r="D76" s="24">
        <v>8.4</v>
      </c>
      <c r="E76" s="24">
        <f>C76*D76</f>
        <v>50400</v>
      </c>
      <c r="F76" s="24">
        <f>E76*0.002</f>
        <v>100.8</v>
      </c>
      <c r="G76" s="24">
        <f>E76*0.000068</f>
        <v>3.4272</v>
      </c>
      <c r="H76" s="24">
        <f>E76*0.00001</f>
        <v>0.504</v>
      </c>
      <c r="I76" s="24">
        <f>(F76+G76+H76)*0.07</f>
        <v>7.3311840000000004</v>
      </c>
      <c r="J76" s="24">
        <f>E76-F76-G76-H76-I76</f>
        <v>50287.937615999996</v>
      </c>
    </row>
    <row r="77" spans="1:10">
      <c r="A77" s="26">
        <f>DAYS360(A75,A76)</f>
        <v>186</v>
      </c>
      <c r="B77" s="28">
        <f>(D76-D75)/D75</f>
        <v>0.15068493150684939</v>
      </c>
      <c r="C77" s="15"/>
      <c r="D77" s="24"/>
      <c r="E77" s="24">
        <f>E76-E75</f>
        <v>6600</v>
      </c>
      <c r="F77" s="24"/>
      <c r="G77" s="24"/>
      <c r="H77" s="24"/>
      <c r="I77" s="24"/>
      <c r="J77" s="24">
        <f>J76-J75</f>
        <v>6390.5500679999968</v>
      </c>
    </row>
    <row r="79" spans="1:10">
      <c r="E79" s="97">
        <f>E55+E75</f>
        <v>1198800</v>
      </c>
    </row>
    <row r="81" spans="1:12">
      <c r="A81" s="102" t="s">
        <v>21</v>
      </c>
      <c r="B81" s="102">
        <v>901</v>
      </c>
      <c r="C81" s="104">
        <v>43</v>
      </c>
      <c r="D81" s="103">
        <v>42826</v>
      </c>
      <c r="E81" s="104">
        <v>10000</v>
      </c>
      <c r="F81" s="102">
        <v>16.7</v>
      </c>
      <c r="G81" s="102">
        <v>345.69</v>
      </c>
      <c r="H81" s="102">
        <v>24.2</v>
      </c>
      <c r="I81" s="102" t="s">
        <v>41</v>
      </c>
      <c r="J81" s="105">
        <v>167369.89000000001</v>
      </c>
      <c r="K81" s="102" t="s">
        <v>42</v>
      </c>
      <c r="L81" s="102" t="s">
        <v>43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35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39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D8" sqref="D8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10.4</v>
      </c>
      <c r="E7" s="19">
        <f>C7*D7</f>
        <v>31200</v>
      </c>
      <c r="F7" s="19">
        <f>E7*0.002</f>
        <v>62.4</v>
      </c>
      <c r="G7" s="19">
        <f>E7*0.00006</f>
        <v>1.8720000000000001</v>
      </c>
      <c r="H7" s="19">
        <f>E7*0.00001</f>
        <v>0.312</v>
      </c>
      <c r="I7" s="19">
        <f>(F7+G7+H7)*0.07</f>
        <v>4.5208800000000009</v>
      </c>
      <c r="J7" s="19">
        <f>E7+F7+I7+G7+H7</f>
        <v>31269.104880000003</v>
      </c>
    </row>
    <row r="8" spans="1:13" s="1" customFormat="1">
      <c r="A8" s="52"/>
      <c r="B8" s="11">
        <f>(D7-D6)/D6</f>
        <v>-0.58064516129032262</v>
      </c>
      <c r="C8" s="9">
        <f>SUM(C6:C7)</f>
        <v>9000</v>
      </c>
      <c r="D8" s="60">
        <f>E8/C8</f>
        <v>20</v>
      </c>
      <c r="E8" s="9">
        <f t="shared" ref="E8:J8" si="2">SUM(E6:E7)</f>
        <v>180000</v>
      </c>
      <c r="F8" s="9">
        <f t="shared" si="2"/>
        <v>360</v>
      </c>
      <c r="G8" s="9">
        <f t="shared" si="2"/>
        <v>10.8</v>
      </c>
      <c r="H8" s="9">
        <f t="shared" si="2"/>
        <v>1.8</v>
      </c>
      <c r="I8" s="9">
        <f t="shared" si="2"/>
        <v>26.082000000000004</v>
      </c>
      <c r="J8" s="9">
        <f t="shared" si="2"/>
        <v>180398.682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2"/>
  <sheetViews>
    <sheetView topLeftCell="A15" workbookViewId="0">
      <selection activeCell="E22" sqref="E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9.1999999999999993</v>
      </c>
      <c r="E22" s="19">
        <f>C22*D22</f>
        <v>23000</v>
      </c>
      <c r="F22" s="19">
        <f>E22*0.002</f>
        <v>46</v>
      </c>
      <c r="G22" s="19">
        <f>E22*0.000068</f>
        <v>1.5640000000000001</v>
      </c>
      <c r="H22" s="19">
        <f>E22*0.00001</f>
        <v>0.23</v>
      </c>
      <c r="I22" s="19">
        <f>(F22+G22+H22)*0.07</f>
        <v>3.34558</v>
      </c>
      <c r="J22" s="19">
        <f>E22+F22+I22+G22+H22</f>
        <v>23051.139579999999</v>
      </c>
      <c r="M22" s="20"/>
    </row>
    <row r="23" spans="1:13">
      <c r="A23" s="41"/>
      <c r="B23" s="23">
        <f>(D22-D21)/D21</f>
        <v>-0.65151515151515149</v>
      </c>
      <c r="C23" s="21">
        <f>SUM(C21:C22)</f>
        <v>20000</v>
      </c>
      <c r="D23" s="61">
        <f>E23/C23</f>
        <v>24.25</v>
      </c>
      <c r="E23" s="21">
        <f t="shared" ref="E23:J23" si="11">SUM(E21:E22)</f>
        <v>485000</v>
      </c>
      <c r="F23" s="21">
        <f t="shared" si="11"/>
        <v>970</v>
      </c>
      <c r="G23" s="21">
        <f t="shared" si="11"/>
        <v>32.97999999999999</v>
      </c>
      <c r="H23" s="21">
        <f t="shared" si="11"/>
        <v>4.8500000000000005</v>
      </c>
      <c r="I23" s="21">
        <f t="shared" si="11"/>
        <v>70.548100000000005</v>
      </c>
      <c r="J23" s="21">
        <f t="shared" si="11"/>
        <v>486078.37810000003</v>
      </c>
      <c r="K23" s="22"/>
      <c r="L23" s="23"/>
      <c r="M23" s="20"/>
    </row>
    <row r="24" spans="1:13">
      <c r="A24" s="7">
        <v>45875</v>
      </c>
      <c r="B24" s="12" t="s">
        <v>0</v>
      </c>
      <c r="C24" s="9">
        <v>4400</v>
      </c>
      <c r="D24" s="10">
        <v>9</v>
      </c>
      <c r="E24" s="19">
        <f>C24*D24</f>
        <v>39600</v>
      </c>
      <c r="F24" s="19">
        <f>E24*0.002</f>
        <v>79.2</v>
      </c>
      <c r="G24" s="19">
        <f>E24*0.000068</f>
        <v>2.6928000000000001</v>
      </c>
      <c r="H24" s="19">
        <f>E24*0.00001</f>
        <v>0.39600000000000002</v>
      </c>
      <c r="I24" s="19">
        <f>(F24+G24+H24)*0.07</f>
        <v>5.7602160000000016</v>
      </c>
      <c r="J24" s="19">
        <f>E24+F24+I24+G24+H24</f>
        <v>39688.049015999997</v>
      </c>
      <c r="M24" s="20"/>
    </row>
    <row r="25" spans="1:13">
      <c r="A25" s="41"/>
      <c r="B25" s="23">
        <f>(D24-D23)/D23</f>
        <v>-0.62886597938144329</v>
      </c>
      <c r="C25" s="21">
        <f>SUM(C23:C24)</f>
        <v>24400</v>
      </c>
      <c r="D25" s="61">
        <f>E25/C25</f>
        <v>21.5</v>
      </c>
      <c r="E25" s="21">
        <f t="shared" ref="E25:J25" si="12">SUM(E23:E24)</f>
        <v>524600</v>
      </c>
      <c r="F25" s="21">
        <f t="shared" si="12"/>
        <v>1049.2</v>
      </c>
      <c r="G25" s="21">
        <f t="shared" si="12"/>
        <v>35.672799999999988</v>
      </c>
      <c r="H25" s="21">
        <f t="shared" si="12"/>
        <v>5.2460000000000004</v>
      </c>
      <c r="I25" s="21">
        <f t="shared" si="12"/>
        <v>76.308316000000005</v>
      </c>
      <c r="J25" s="21">
        <f t="shared" si="12"/>
        <v>525766.42711599998</v>
      </c>
      <c r="K25" s="22"/>
      <c r="L25" s="23"/>
      <c r="M25" s="20"/>
    </row>
    <row r="26" spans="1:13">
      <c r="C26" s="96"/>
    </row>
    <row r="27" spans="1:13">
      <c r="A27" s="13">
        <v>44641</v>
      </c>
      <c r="B27" s="14" t="s">
        <v>0</v>
      </c>
      <c r="C27" s="15">
        <v>3000</v>
      </c>
      <c r="D27" s="16">
        <v>24.5</v>
      </c>
      <c r="E27" s="17">
        <f>C27*D27</f>
        <v>73500</v>
      </c>
      <c r="F27" s="17">
        <f>E27*0.002</f>
        <v>147</v>
      </c>
      <c r="G27" s="17">
        <f>E27*0.000068</f>
        <v>4.9980000000000002</v>
      </c>
      <c r="H27" s="17">
        <f>E27*0.00001</f>
        <v>0.7350000000000001</v>
      </c>
      <c r="I27" s="17">
        <f>(F27+G27+H27)*0.07</f>
        <v>10.691310000000001</v>
      </c>
      <c r="J27" s="17">
        <f>E27+F27+I27+G27+H27</f>
        <v>73663.424310000002</v>
      </c>
      <c r="M27" s="20"/>
    </row>
    <row r="28" spans="1:13" s="12" customFormat="1">
      <c r="A28" s="13">
        <v>44867</v>
      </c>
      <c r="B28" s="14" t="s">
        <v>2</v>
      </c>
      <c r="C28" s="15">
        <f>C27</f>
        <v>3000</v>
      </c>
      <c r="D28" s="24">
        <v>16.100000000000001</v>
      </c>
      <c r="E28" s="16">
        <f>C28*D28</f>
        <v>48300.000000000007</v>
      </c>
      <c r="F28" s="25">
        <f>E28*0.002</f>
        <v>96.600000000000023</v>
      </c>
      <c r="G28" s="24">
        <f>E28*0.000068</f>
        <v>3.2844000000000007</v>
      </c>
      <c r="H28" s="24">
        <f>E28*0.00001</f>
        <v>0.4830000000000001</v>
      </c>
      <c r="I28" s="24">
        <f>(F28+G28+H28)*0.07</f>
        <v>7.025718000000003</v>
      </c>
      <c r="J28" s="24">
        <f>E28-F28-G28-H28-I28</f>
        <v>48192.606882000015</v>
      </c>
    </row>
    <row r="29" spans="1:13" s="29" customFormat="1" ht="18.600000000000001">
      <c r="A29" s="13" t="s">
        <v>3</v>
      </c>
      <c r="B29" s="6">
        <f>(D28-D27)/D27</f>
        <v>-0.3428571428571428</v>
      </c>
      <c r="C29" s="15"/>
      <c r="D29" s="16"/>
      <c r="E29" s="17">
        <f>E28-E27</f>
        <v>-25199.999999999993</v>
      </c>
      <c r="F29" s="17"/>
      <c r="G29" s="17"/>
      <c r="H29" s="17"/>
      <c r="I29" s="17"/>
      <c r="J29" s="17">
        <f>J28-J27</f>
        <v>-25470.817427999988</v>
      </c>
      <c r="K29" s="11"/>
    </row>
    <row r="30" spans="1:13" s="29" customFormat="1" ht="18.600000000000001">
      <c r="A30" s="7"/>
      <c r="B30" s="23"/>
      <c r="C30" s="9"/>
      <c r="D30" s="10"/>
      <c r="E30" s="19"/>
      <c r="F30" s="19"/>
      <c r="G30" s="19"/>
      <c r="H30" s="19"/>
      <c r="I30" s="19"/>
      <c r="J30" s="19"/>
      <c r="K30" s="11"/>
    </row>
    <row r="31" spans="1:13" s="12" customFormat="1">
      <c r="A31" s="36">
        <v>44372</v>
      </c>
      <c r="B31" s="14" t="s">
        <v>0</v>
      </c>
      <c r="C31" s="15">
        <v>1500</v>
      </c>
      <c r="D31" s="16">
        <v>24.5</v>
      </c>
      <c r="E31" s="17">
        <f>C31*D31</f>
        <v>36750</v>
      </c>
      <c r="F31" s="17">
        <f>E31*0.002</f>
        <v>73.5</v>
      </c>
      <c r="G31" s="17">
        <f>E31*0.00006</f>
        <v>2.2050000000000001</v>
      </c>
      <c r="H31" s="17">
        <f>E31*0.00001</f>
        <v>0.36750000000000005</v>
      </c>
      <c r="I31" s="17">
        <f>(F31+G31+H31)*0.07</f>
        <v>5.3250750000000009</v>
      </c>
      <c r="J31" s="17">
        <f>E31+F31+I31+G31+H31</f>
        <v>36831.397575000003</v>
      </c>
      <c r="K31" s="30"/>
      <c r="L31" s="10"/>
      <c r="M31" s="11"/>
    </row>
    <row r="32" spans="1:13" s="12" customFormat="1">
      <c r="A32" s="13">
        <v>44533</v>
      </c>
      <c r="B32" s="14" t="s">
        <v>2</v>
      </c>
      <c r="C32" s="15">
        <f>C31</f>
        <v>1500</v>
      </c>
      <c r="D32" s="24">
        <v>32</v>
      </c>
      <c r="E32" s="16">
        <f>C32*D32</f>
        <v>48000</v>
      </c>
      <c r="F32" s="25">
        <f>E32*0.002</f>
        <v>96</v>
      </c>
      <c r="G32" s="24">
        <f>E32*0.000068</f>
        <v>3.2639999999999998</v>
      </c>
      <c r="H32" s="24">
        <f>E32*0.00001</f>
        <v>0.48000000000000004</v>
      </c>
      <c r="I32" s="24">
        <f>(F32+G32+H32)*0.07</f>
        <v>6.9820800000000007</v>
      </c>
      <c r="J32" s="24">
        <f>E32-F32-G32-H32-I32</f>
        <v>47893.273919999992</v>
      </c>
    </row>
    <row r="33" spans="1:13" s="29" customFormat="1" ht="18.600000000000001">
      <c r="A33" s="13" t="s">
        <v>3</v>
      </c>
      <c r="B33" s="6">
        <f>(D32-D31)/D31</f>
        <v>0.30612244897959184</v>
      </c>
      <c r="C33" s="15"/>
      <c r="D33" s="16"/>
      <c r="E33" s="17">
        <f>E32-E31</f>
        <v>11250</v>
      </c>
      <c r="F33" s="17"/>
      <c r="G33" s="17"/>
      <c r="H33" s="17"/>
      <c r="I33" s="17"/>
      <c r="J33" s="17">
        <f>J32-J31</f>
        <v>11061.87634499999</v>
      </c>
      <c r="K33" s="11"/>
    </row>
    <row r="34" spans="1:13" s="12" customFormat="1">
      <c r="A34" s="36">
        <v>44372</v>
      </c>
      <c r="B34" s="14" t="s">
        <v>0</v>
      </c>
      <c r="C34" s="15">
        <v>1500</v>
      </c>
      <c r="D34" s="16">
        <v>24.5</v>
      </c>
      <c r="E34" s="17">
        <f>C34*D34</f>
        <v>36750</v>
      </c>
      <c r="F34" s="17">
        <f>E34*0.002</f>
        <v>73.5</v>
      </c>
      <c r="G34" s="17">
        <f>E34*0.00006</f>
        <v>2.2050000000000001</v>
      </c>
      <c r="H34" s="17">
        <f>E34*0.00001</f>
        <v>0.36750000000000005</v>
      </c>
      <c r="I34" s="17">
        <f>(F34+G34+H34)*0.07</f>
        <v>5.3250750000000009</v>
      </c>
      <c r="J34" s="17">
        <f>E34+F34+I34+G34+H34</f>
        <v>36831.397575000003</v>
      </c>
      <c r="K34" s="30"/>
      <c r="L34" s="10"/>
      <c r="M34" s="11"/>
    </row>
    <row r="35" spans="1:13" s="12" customFormat="1">
      <c r="A35" s="13">
        <v>44537</v>
      </c>
      <c r="B35" s="14" t="s">
        <v>2</v>
      </c>
      <c r="C35" s="15">
        <f>C34</f>
        <v>1500</v>
      </c>
      <c r="D35" s="24">
        <v>33</v>
      </c>
      <c r="E35" s="16">
        <f>C35*D35</f>
        <v>49500</v>
      </c>
      <c r="F35" s="25">
        <f>E35*0.002</f>
        <v>99</v>
      </c>
      <c r="G35" s="24">
        <f>E35*0.000068</f>
        <v>3.3660000000000001</v>
      </c>
      <c r="H35" s="24">
        <f>E35*0.00001</f>
        <v>0.49500000000000005</v>
      </c>
      <c r="I35" s="24">
        <f>(F35+G35+H35)*0.07</f>
        <v>7.2002700000000006</v>
      </c>
      <c r="J35" s="24">
        <f>E35-F35-G35-H35-I35</f>
        <v>49389.938729999994</v>
      </c>
    </row>
    <row r="36" spans="1:13" s="29" customFormat="1" ht="18.600000000000001">
      <c r="A36" s="13" t="s">
        <v>3</v>
      </c>
      <c r="B36" s="6">
        <f>(D35-D34)/D34</f>
        <v>0.34693877551020408</v>
      </c>
      <c r="C36" s="15"/>
      <c r="D36" s="16"/>
      <c r="E36" s="17">
        <f>E35-E34</f>
        <v>12750</v>
      </c>
      <c r="F36" s="17"/>
      <c r="G36" s="17"/>
      <c r="H36" s="17"/>
      <c r="I36" s="17"/>
      <c r="J36" s="17">
        <f>J35-J34</f>
        <v>12558.541154999992</v>
      </c>
      <c r="K36" s="11"/>
    </row>
    <row r="37" spans="1:13" s="12" customFormat="1">
      <c r="A37" s="36">
        <v>44372</v>
      </c>
      <c r="B37" s="14" t="s">
        <v>0</v>
      </c>
      <c r="C37" s="15">
        <v>1500</v>
      </c>
      <c r="D37" s="16">
        <v>31.5</v>
      </c>
      <c r="E37" s="17">
        <f>C37*D37</f>
        <v>47250</v>
      </c>
      <c r="F37" s="17">
        <f>E37*0.002</f>
        <v>94.5</v>
      </c>
      <c r="G37" s="17">
        <f>E37*0.00006</f>
        <v>2.835</v>
      </c>
      <c r="H37" s="17">
        <f>E37*0.00001</f>
        <v>0.47250000000000003</v>
      </c>
      <c r="I37" s="17">
        <f>(F37+G37+H37)*0.07</f>
        <v>6.8465249999999997</v>
      </c>
      <c r="J37" s="17">
        <f>E37+F37+I37+G37+H37</f>
        <v>47354.654025000003</v>
      </c>
      <c r="K37" s="30"/>
      <c r="L37" s="10"/>
      <c r="M37" s="11"/>
    </row>
    <row r="38" spans="1:13" s="12" customFormat="1">
      <c r="A38" s="13">
        <v>44574</v>
      </c>
      <c r="B38" s="14" t="s">
        <v>2</v>
      </c>
      <c r="C38" s="15">
        <f>C37</f>
        <v>1500</v>
      </c>
      <c r="D38" s="24">
        <v>33</v>
      </c>
      <c r="E38" s="16">
        <f>C38*D38</f>
        <v>49500</v>
      </c>
      <c r="F38" s="25">
        <f>E38*0.002</f>
        <v>99</v>
      </c>
      <c r="G38" s="24">
        <f>E38*0.000068</f>
        <v>3.3660000000000001</v>
      </c>
      <c r="H38" s="24">
        <f>E38*0.00001</f>
        <v>0.49500000000000005</v>
      </c>
      <c r="I38" s="24">
        <f>(F38+G38+H38)*0.07</f>
        <v>7.2002700000000006</v>
      </c>
      <c r="J38" s="24">
        <f>E38-F38-G38-H38-I38</f>
        <v>49389.938729999994</v>
      </c>
    </row>
    <row r="39" spans="1:13" s="29" customFormat="1" ht="18.600000000000001">
      <c r="A39" s="13" t="s">
        <v>3</v>
      </c>
      <c r="B39" s="6">
        <f>(D38-D37)/D37</f>
        <v>4.7619047619047616E-2</v>
      </c>
      <c r="C39" s="15"/>
      <c r="D39" s="16"/>
      <c r="E39" s="17">
        <f>E38-E37</f>
        <v>2250</v>
      </c>
      <c r="F39" s="17"/>
      <c r="G39" s="17"/>
      <c r="H39" s="17"/>
      <c r="I39" s="17"/>
      <c r="J39" s="17">
        <f>J38-J37</f>
        <v>2035.2847049999909</v>
      </c>
      <c r="K39" s="11"/>
    </row>
    <row r="40" spans="1:13" s="12" customFormat="1">
      <c r="A40" s="63">
        <v>44372</v>
      </c>
      <c r="B40" s="12" t="s">
        <v>0</v>
      </c>
      <c r="C40" s="9">
        <v>2500</v>
      </c>
      <c r="D40" s="10">
        <v>12.6</v>
      </c>
      <c r="E40" s="19">
        <f>C40*D40</f>
        <v>31500</v>
      </c>
      <c r="F40" s="19">
        <f>E40*0.002</f>
        <v>63</v>
      </c>
      <c r="G40" s="19">
        <f>E40*0.00006</f>
        <v>1.8900000000000001</v>
      </c>
      <c r="H40" s="19">
        <f>E40*0.00001</f>
        <v>0.315</v>
      </c>
      <c r="I40" s="19">
        <f>(F40+G40+H40)*0.07</f>
        <v>4.5643500000000001</v>
      </c>
      <c r="J40" s="19">
        <f>E40+F40+I40+G40+H40</f>
        <v>31569.769349999999</v>
      </c>
      <c r="K40" s="30"/>
      <c r="L40" s="10"/>
      <c r="M40" s="11"/>
    </row>
    <row r="41" spans="1:13" s="12" customFormat="1">
      <c r="A41" s="7">
        <v>44574</v>
      </c>
      <c r="B41" s="12" t="s">
        <v>2</v>
      </c>
      <c r="C41" s="9">
        <f>C40</f>
        <v>2500</v>
      </c>
      <c r="D41" s="32">
        <v>12.8</v>
      </c>
      <c r="E41" s="10">
        <f>C41*D41</f>
        <v>32000</v>
      </c>
      <c r="F41" s="33">
        <f>E41*0.002</f>
        <v>64</v>
      </c>
      <c r="G41" s="32">
        <f>E41*0.000068</f>
        <v>2.1760000000000002</v>
      </c>
      <c r="H41" s="32">
        <f>E41*0.00001</f>
        <v>0.32</v>
      </c>
      <c r="I41" s="32">
        <f>(F41+G41+H41)*0.07</f>
        <v>4.6547200000000002</v>
      </c>
      <c r="J41" s="32">
        <f>E41-F41-G41-H41-I41</f>
        <v>31928.849280000002</v>
      </c>
    </row>
    <row r="42" spans="1:13" s="29" customFormat="1" ht="18.600000000000001">
      <c r="A42" s="7" t="s">
        <v>3</v>
      </c>
      <c r="B42" s="23">
        <f>(D41-D40)/D40</f>
        <v>1.5873015873015959E-2</v>
      </c>
      <c r="C42" s="9"/>
      <c r="D42" s="10"/>
      <c r="E42" s="19">
        <f>E41-E40</f>
        <v>500</v>
      </c>
      <c r="F42" s="19"/>
      <c r="G42" s="19"/>
      <c r="H42" s="19"/>
      <c r="I42" s="19"/>
      <c r="J42" s="19">
        <f>J41-J40</f>
        <v>359.07993000000351</v>
      </c>
      <c r="K42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topLeftCell="A3" workbookViewId="0">
      <selection activeCell="D14" sqref="D14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5000</v>
      </c>
      <c r="D13" s="43">
        <v>7.05</v>
      </c>
      <c r="E13" s="19">
        <f>C13*D13</f>
        <v>35250</v>
      </c>
      <c r="F13" s="19">
        <f>E13*0.002</f>
        <v>70.5</v>
      </c>
      <c r="G13" s="19">
        <f>E13*0.000068</f>
        <v>2.3969999999999998</v>
      </c>
      <c r="H13" s="19">
        <f>E13*0.00001</f>
        <v>0.35250000000000004</v>
      </c>
      <c r="I13" s="19">
        <f>(F13+G13+H13)*0.07</f>
        <v>5.1274650000000017</v>
      </c>
      <c r="J13" s="19">
        <f>E13+F13+I13+G13+H13</f>
        <v>35328.376964999996</v>
      </c>
    </row>
    <row r="14" spans="1:11" s="20" customFormat="1">
      <c r="A14" s="41"/>
      <c r="B14" s="70">
        <f>(D13-D12)/D12</f>
        <v>-0.18965517241379307</v>
      </c>
      <c r="C14" s="5">
        <f>C12+C13</f>
        <v>55000</v>
      </c>
      <c r="D14" s="31">
        <f>E14/C14</f>
        <v>8.5500000000000007</v>
      </c>
      <c r="E14" s="21">
        <f t="shared" ref="E14:J14" si="5">E12+E13</f>
        <v>470250</v>
      </c>
      <c r="F14" s="21">
        <f t="shared" si="5"/>
        <v>940.5</v>
      </c>
      <c r="G14" s="21">
        <f t="shared" si="5"/>
        <v>31.248999999999999</v>
      </c>
      <c r="H14" s="21">
        <f t="shared" si="5"/>
        <v>4.7025000000000006</v>
      </c>
      <c r="I14" s="21">
        <f t="shared" si="5"/>
        <v>68.351605000000006</v>
      </c>
      <c r="J14" s="21">
        <f t="shared" si="5"/>
        <v>471294.803105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Sheet1</vt:lpstr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2026-07-22T09:48:06Z</dcterms:modified>
  <cp:category/>
  <cp:contentStatus/>
</cp:coreProperties>
</file>